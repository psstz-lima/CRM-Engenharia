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terpa.sharepoint.com/sites/FS/Documentos Compartilhados/03.Obras/A365/03.Engenharia/06. Medições/01. Concessionária/02. CONTRATO - 381-188-2025 - RECOMPOSICAO TALUDES - SINISTRO KM 297+500/03. BM 03 - 24.09 A 23.10/BM/rev03 - 17.11.2025/"/>
    </mc:Choice>
  </mc:AlternateContent>
  <xr:revisionPtr revIDLastSave="1056" documentId="13_ncr:1_{5D192F77-ECEA-4FBB-81DE-29764FE3A3DC}" xr6:coauthVersionLast="47" xr6:coauthVersionMax="47" xr10:uidLastSave="{100E30B4-8CBB-4A27-8A3F-3CED4170878D}"/>
  <bookViews>
    <workbookView xWindow="1770" yWindow="1770" windowWidth="38700" windowHeight="15345" tabRatio="741" firstSheet="2" activeTab="25" xr2:uid="{A0177963-FBC6-4989-B895-294DBB0E1608}"/>
  </bookViews>
  <sheets>
    <sheet name="CAPA" sheetId="6" r:id="rId1"/>
    <sheet name="PQ" sheetId="1" r:id="rId2"/>
    <sheet name="RESUMO" sheetId="3" r:id="rId3"/>
    <sheet name="MUNICIPIOS" sheetId="56" r:id="rId4"/>
    <sheet name="A.1" sheetId="5" r:id="rId5"/>
    <sheet name="A.2" sheetId="7" r:id="rId6"/>
    <sheet name="A.3" sheetId="8" r:id="rId7"/>
    <sheet name="B.1.1" sheetId="9" r:id="rId8"/>
    <sheet name="B.1.2" sheetId="10" r:id="rId9"/>
    <sheet name="B.1.3" sheetId="12" r:id="rId10"/>
    <sheet name="B.1.4" sheetId="13" r:id="rId11"/>
    <sheet name="B.1.5" sheetId="14" r:id="rId12"/>
    <sheet name="B.1.6" sheetId="58" r:id="rId13"/>
    <sheet name="B.1.7" sheetId="59" r:id="rId14"/>
    <sheet name="B.1.8" sheetId="60" r:id="rId15"/>
    <sheet name="B.1.9" sheetId="57" r:id="rId16"/>
    <sheet name="B.2.1" sheetId="15" r:id="rId17"/>
    <sheet name="B.2.2" sheetId="16" r:id="rId18"/>
    <sheet name="B.2.3" sheetId="17" r:id="rId19"/>
    <sheet name="B.2.4" sheetId="18" r:id="rId20"/>
    <sheet name="B.2.5" sheetId="19" r:id="rId21"/>
    <sheet name="B.2.6" sheetId="61" r:id="rId22"/>
    <sheet name="B.2.7" sheetId="62" r:id="rId23"/>
    <sheet name="B.2.8" sheetId="64" r:id="rId24"/>
    <sheet name="B.2.9" sheetId="65" r:id="rId25"/>
    <sheet name="B.3.1" sheetId="20" r:id="rId26"/>
    <sheet name="B.3.2" sheetId="66" r:id="rId27"/>
    <sheet name="C.1.1" sheetId="21" r:id="rId28"/>
    <sheet name="C.1.2" sheetId="22" r:id="rId29"/>
    <sheet name="C.1.3" sheetId="23" r:id="rId30"/>
    <sheet name="C.1.4" sheetId="24" r:id="rId31"/>
    <sheet name="C.1.5" sheetId="67" r:id="rId32"/>
    <sheet name="C.2.1" sheetId="25" r:id="rId33"/>
    <sheet name="C.2.2" sheetId="26" r:id="rId34"/>
    <sheet name="C.2.3" sheetId="27" r:id="rId35"/>
    <sheet name="C.2.4" sheetId="28" r:id="rId36"/>
    <sheet name="C.2.5" sheetId="29" r:id="rId37"/>
    <sheet name="C.2.6" sheetId="30" r:id="rId38"/>
    <sheet name="C.3.1" sheetId="31" r:id="rId39"/>
    <sheet name="C.3.2" sheetId="32" r:id="rId40"/>
    <sheet name="C.3.3" sheetId="33" r:id="rId41"/>
    <sheet name="C.3.4" sheetId="34" r:id="rId42"/>
    <sheet name="C.3.5" sheetId="35" r:id="rId43"/>
    <sheet name="C.3.6" sheetId="36" r:id="rId44"/>
    <sheet name="C.4.1" sheetId="68" r:id="rId45"/>
    <sheet name="C.4.2" sheetId="69" r:id="rId46"/>
    <sheet name="C.4.3" sheetId="70" r:id="rId47"/>
    <sheet name="C.4.4" sheetId="71" r:id="rId48"/>
    <sheet name="C.4.5" sheetId="72" r:id="rId49"/>
    <sheet name="D.1.1" sheetId="37" r:id="rId50"/>
    <sheet name="D.1.2" sheetId="38" r:id="rId51"/>
    <sheet name="D.1.3" sheetId="39" r:id="rId52"/>
    <sheet name="D.1.4" sheetId="40" r:id="rId53"/>
    <sheet name="D.1.5" sheetId="73" r:id="rId54"/>
    <sheet name="D.2.1" sheetId="41" r:id="rId55"/>
    <sheet name="D.2.2" sheetId="42" r:id="rId56"/>
    <sheet name="D.2.3" sheetId="43" r:id="rId57"/>
    <sheet name="D.2.4" sheetId="44" r:id="rId58"/>
    <sheet name="D.2.5" sheetId="45" r:id="rId59"/>
    <sheet name="D.2.6" sheetId="46" r:id="rId60"/>
    <sheet name="D.2.7" sheetId="47" r:id="rId61"/>
    <sheet name="D.3.1" sheetId="48" r:id="rId62"/>
    <sheet name="D.3.2" sheetId="49" r:id="rId63"/>
    <sheet name="D.3.3" sheetId="50" r:id="rId64"/>
    <sheet name="D.3.4" sheetId="51" r:id="rId65"/>
    <sheet name="D.3.5" sheetId="52" r:id="rId66"/>
    <sheet name="D.3.6" sheetId="53" r:id="rId67"/>
    <sheet name="D.4.1" sheetId="74" r:id="rId68"/>
    <sheet name="D.4.2" sheetId="75" r:id="rId69"/>
    <sheet name="E.1" sheetId="54" r:id="rId70"/>
    <sheet name="F.1.1" sheetId="76" r:id="rId71"/>
    <sheet name="F.1.2" sheetId="77" r:id="rId72"/>
    <sheet name="F.1.3" sheetId="78" r:id="rId73"/>
    <sheet name="F.2.1" sheetId="79" r:id="rId74"/>
    <sheet name="F.2.2" sheetId="80" r:id="rId75"/>
    <sheet name="F.2.3" sheetId="81" r:id="rId76"/>
    <sheet name="F.2.4" sheetId="82" r:id="rId77"/>
    <sheet name="F.2.5" sheetId="83" r:id="rId78"/>
  </sheets>
  <definedNames>
    <definedName name="_xlnm.Print_Area" localSheetId="4">A.1!$B$2:$N$30</definedName>
    <definedName name="_xlnm.Print_Area" localSheetId="5">A.2!$B$2:$N$30</definedName>
    <definedName name="_xlnm.Print_Area" localSheetId="6">A.3!$B$2:$N$30</definedName>
    <definedName name="_xlnm.Print_Area" localSheetId="7">'B.1.1'!$B$2:$Q$36</definedName>
    <definedName name="_xlnm.Print_Area" localSheetId="8">'B.1.2'!$B$2:$R$39</definedName>
    <definedName name="_xlnm.Print_Area" localSheetId="9">'B.1.3'!$B$2:$W$36</definedName>
    <definedName name="_xlnm.Print_Area" localSheetId="10">'B.1.4'!$B$2:$Q$36</definedName>
    <definedName name="_xlnm.Print_Area" localSheetId="11">'B.1.5'!$B$2:$Q$36</definedName>
    <definedName name="_xlnm.Print_Area" localSheetId="12">'B.1.6'!$B$2:$R$39</definedName>
    <definedName name="_xlnm.Print_Area" localSheetId="13">'B.1.7'!$B$2:$R$39</definedName>
    <definedName name="_xlnm.Print_Area" localSheetId="14">'B.1.8'!$B$2:$R$39</definedName>
    <definedName name="_xlnm.Print_Area" localSheetId="15">'B.1.9'!$B$2:$Q$36</definedName>
    <definedName name="_xlnm.Print_Area" localSheetId="16">'B.2.1'!$B$2:$R$39</definedName>
    <definedName name="_xlnm.Print_Area" localSheetId="17">'B.2.2'!$B$2:$Q$36</definedName>
    <definedName name="_xlnm.Print_Area" localSheetId="18">'B.2.3'!$B$2:$Q$36</definedName>
    <definedName name="_xlnm.Print_Area" localSheetId="19">'B.2.4'!$B$2:$Q$36</definedName>
    <definedName name="_xlnm.Print_Area" localSheetId="20">'B.2.5'!$B$2:$Q$36</definedName>
    <definedName name="_xlnm.Print_Area" localSheetId="21">'B.2.6'!$B$2:$P$36</definedName>
    <definedName name="_xlnm.Print_Area" localSheetId="22">'B.2.7'!$B$2:$P$36</definedName>
    <definedName name="_xlnm.Print_Area" localSheetId="23">'B.2.8'!$B$2:$O$36</definedName>
    <definedName name="_xlnm.Print_Area" localSheetId="24">'B.2.9'!$B$2:$P$36</definedName>
    <definedName name="_xlnm.Print_Area" localSheetId="25">'B.3.1'!$B$2:$R$42</definedName>
    <definedName name="_xlnm.Print_Area" localSheetId="26">'B.3.2'!$B$2:$P$36</definedName>
    <definedName name="_xlnm.Print_Area" localSheetId="27">'C.1.1'!$B$2:$Q$36</definedName>
    <definedName name="_xlnm.Print_Area" localSheetId="28">'C.1.2'!$B$2:$W$45</definedName>
    <definedName name="_xlnm.Print_Area" localSheetId="29">'C.1.3'!$B$2:$Q$36</definedName>
    <definedName name="_xlnm.Print_Area" localSheetId="30">'C.1.4'!$B$2:$Q$36</definedName>
    <definedName name="_xlnm.Print_Area" localSheetId="31">'C.1.5'!$B$2:$Q$36</definedName>
    <definedName name="_xlnm.Print_Area" localSheetId="32">'C.2.1'!$B$2:$Q$36</definedName>
    <definedName name="_xlnm.Print_Area" localSheetId="33">'C.2.2'!$B$2:$S$39</definedName>
    <definedName name="_xlnm.Print_Area" localSheetId="34">'C.2.3'!$B$2:$S$39</definedName>
    <definedName name="_xlnm.Print_Area" localSheetId="35">'C.2.4'!$B$2:$Q$36</definedName>
    <definedName name="_xlnm.Print_Area" localSheetId="36">'C.2.5'!$B$2:$Q$36</definedName>
    <definedName name="_xlnm.Print_Area" localSheetId="37">'C.2.6'!$B$2:$T$41</definedName>
    <definedName name="_xlnm.Print_Area" localSheetId="38">'C.3.1'!$B$2:$R$39</definedName>
    <definedName name="_xlnm.Print_Area" localSheetId="39">'C.3.2'!$B$2:$R$39</definedName>
    <definedName name="_xlnm.Print_Area" localSheetId="40">'C.3.3'!$B$2:$R$39</definedName>
    <definedName name="_xlnm.Print_Area" localSheetId="41">'C.3.4'!$B$2:$W$47</definedName>
    <definedName name="_xlnm.Print_Area" localSheetId="42">'C.3.5'!$B$2:$U$45</definedName>
    <definedName name="_xlnm.Print_Area" localSheetId="43">'C.3.6'!$B$2:$W$50</definedName>
    <definedName name="_xlnm.Print_Area" localSheetId="44">'C.4.1'!$B$2:$P$36</definedName>
    <definedName name="_xlnm.Print_Area" localSheetId="45">'C.4.2'!$B$2:$P$36</definedName>
    <definedName name="_xlnm.Print_Area" localSheetId="46">'C.4.3'!$B$2:$P$36</definedName>
    <definedName name="_xlnm.Print_Area" localSheetId="47">'C.4.4'!$B$2:$Q$36</definedName>
    <definedName name="_xlnm.Print_Area" localSheetId="48">'C.4.5'!$B$2:$P$36</definedName>
    <definedName name="_xlnm.Print_Area" localSheetId="49">'D.1.1'!$B$2:$Q$36</definedName>
    <definedName name="_xlnm.Print_Area" localSheetId="50">'D.1.2'!$B$2:$W$45</definedName>
    <definedName name="_xlnm.Print_Area" localSheetId="51">'D.1.3'!$B$2:$Q$36</definedName>
    <definedName name="_xlnm.Print_Area" localSheetId="52">'D.1.4'!$B$2:$Q$36</definedName>
    <definedName name="_xlnm.Print_Area" localSheetId="53">'D.1.5'!$B$2:$Q$36</definedName>
    <definedName name="_xlnm.Print_Area" localSheetId="54">'D.2.1'!$B$2:$S$39</definedName>
    <definedName name="_xlnm.Print_Area" localSheetId="55">'D.2.2'!$B$2:$Q$36</definedName>
    <definedName name="_xlnm.Print_Area" localSheetId="56">'D.2.3'!$B$2:$S$39</definedName>
    <definedName name="_xlnm.Print_Area" localSheetId="57">'D.2.4'!$B$2:$S$39</definedName>
    <definedName name="_xlnm.Print_Area" localSheetId="58">'D.2.5'!$B$2:$Q$36</definedName>
    <definedName name="_xlnm.Print_Area" localSheetId="59">'D.2.6'!$B$2:$Q$36</definedName>
    <definedName name="_xlnm.Print_Area" localSheetId="60">'D.2.7'!$B$2:$T$41</definedName>
    <definedName name="_xlnm.Print_Area" localSheetId="61">'D.3.1'!$B$2:$R$39</definedName>
    <definedName name="_xlnm.Print_Area" localSheetId="62">'D.3.2'!$B$2:$R$39</definedName>
    <definedName name="_xlnm.Print_Area" localSheetId="63">'D.3.3'!$B$2:$R$39</definedName>
    <definedName name="_xlnm.Print_Area" localSheetId="64">'D.3.4'!$B$2:$W$47</definedName>
    <definedName name="_xlnm.Print_Area" localSheetId="65">'D.3.5'!$B$2:$U$45</definedName>
    <definedName name="_xlnm.Print_Area" localSheetId="66">'D.3.6'!$B$2:$W$50</definedName>
    <definedName name="_xlnm.Print_Area" localSheetId="67">'D.4.1'!$B$2:$P$36</definedName>
    <definedName name="_xlnm.Print_Area" localSheetId="68">'D.4.2'!$B$2:$P$36</definedName>
    <definedName name="_xlnm.Print_Area" localSheetId="69">E.1!$B$2:$Q$36</definedName>
    <definedName name="_xlnm.Print_Area" localSheetId="70">'F.1.1'!$B$2:$Q$36</definedName>
    <definedName name="_xlnm.Print_Area" localSheetId="71">'F.1.2'!$B$2:$Q$36</definedName>
    <definedName name="_xlnm.Print_Area" localSheetId="72">'F.1.3'!$B$2:$Q$36</definedName>
    <definedName name="_xlnm.Print_Area" localSheetId="73">'F.2.1'!$B$2:$R$36</definedName>
    <definedName name="_xlnm.Print_Area" localSheetId="74">'F.2.2'!$B$2:$R$36</definedName>
    <definedName name="_xlnm.Print_Area" localSheetId="75">'F.2.3'!$B$2:$R$36</definedName>
    <definedName name="_xlnm.Print_Area" localSheetId="76">'F.2.4'!$B$2:$R$36</definedName>
    <definedName name="_xlnm.Print_Area" localSheetId="77">'F.2.5'!$B$2:$R$36</definedName>
    <definedName name="_xlnm.Print_Area" localSheetId="1">PQ!$B$2:$R$144</definedName>
    <definedName name="_xlnm.Print_Area" localSheetId="2">RESUMO!$C$1:$S$78</definedName>
    <definedName name="_xlnm.Print_Titles" localSheetId="4">A.1!$11:$16</definedName>
    <definedName name="_xlnm.Print_Titles" localSheetId="5">A.2!$11:$16</definedName>
    <definedName name="_xlnm.Print_Titles" localSheetId="6">A.3!$11:$16</definedName>
    <definedName name="_xlnm.Print_Titles" localSheetId="7">'B.1.1'!$11:$16</definedName>
    <definedName name="_xlnm.Print_Titles" localSheetId="8">'B.1.2'!$11:$16</definedName>
    <definedName name="_xlnm.Print_Titles" localSheetId="9">'B.1.3'!$11:$16</definedName>
    <definedName name="_xlnm.Print_Titles" localSheetId="10">'B.1.4'!$11:$16</definedName>
    <definedName name="_xlnm.Print_Titles" localSheetId="11">'B.1.5'!$11:$16</definedName>
    <definedName name="_xlnm.Print_Titles" localSheetId="12">'B.1.6'!$11:$16</definedName>
    <definedName name="_xlnm.Print_Titles" localSheetId="13">'B.1.7'!$11:$16</definedName>
    <definedName name="_xlnm.Print_Titles" localSheetId="14">'B.1.8'!$11:$16</definedName>
    <definedName name="_xlnm.Print_Titles" localSheetId="15">'B.1.9'!$11:$16</definedName>
    <definedName name="_xlnm.Print_Titles" localSheetId="16">'B.2.1'!$11:$16</definedName>
    <definedName name="_xlnm.Print_Titles" localSheetId="17">'B.2.2'!$11:$16</definedName>
    <definedName name="_xlnm.Print_Titles" localSheetId="18">'B.2.3'!$11:$16</definedName>
    <definedName name="_xlnm.Print_Titles" localSheetId="19">'B.2.4'!$11:$16</definedName>
    <definedName name="_xlnm.Print_Titles" localSheetId="20">'B.2.5'!$11:$16</definedName>
    <definedName name="_xlnm.Print_Titles" localSheetId="21">'B.2.6'!$11:$16</definedName>
    <definedName name="_xlnm.Print_Titles" localSheetId="22">'B.2.7'!$11:$16</definedName>
    <definedName name="_xlnm.Print_Titles" localSheetId="23">'B.2.8'!$11:$16</definedName>
    <definedName name="_xlnm.Print_Titles" localSheetId="24">'B.2.9'!$11:$16</definedName>
    <definedName name="_xlnm.Print_Titles" localSheetId="25">'B.3.1'!$11:$16</definedName>
    <definedName name="_xlnm.Print_Titles" localSheetId="26">'B.3.2'!$11:$16</definedName>
    <definedName name="_xlnm.Print_Titles" localSheetId="27">'C.1.1'!$11:$16</definedName>
    <definedName name="_xlnm.Print_Titles" localSheetId="28">'C.1.2'!$11:$16</definedName>
    <definedName name="_xlnm.Print_Titles" localSheetId="29">'C.1.3'!$11:$16</definedName>
    <definedName name="_xlnm.Print_Titles" localSheetId="30">'C.1.4'!$11:$16</definedName>
    <definedName name="_xlnm.Print_Titles" localSheetId="31">'C.1.5'!$11:$16</definedName>
    <definedName name="_xlnm.Print_Titles" localSheetId="32">'C.2.1'!$11:$16</definedName>
    <definedName name="_xlnm.Print_Titles" localSheetId="33">'C.2.2'!$11:$16</definedName>
    <definedName name="_xlnm.Print_Titles" localSheetId="34">'C.2.3'!$11:$16</definedName>
    <definedName name="_xlnm.Print_Titles" localSheetId="35">'C.2.4'!$11:$16</definedName>
    <definedName name="_xlnm.Print_Titles" localSheetId="36">'C.2.5'!$11:$16</definedName>
    <definedName name="_xlnm.Print_Titles" localSheetId="37">'C.2.6'!$11:$16</definedName>
    <definedName name="_xlnm.Print_Titles" localSheetId="38">'C.3.1'!$11:$16</definedName>
    <definedName name="_xlnm.Print_Titles" localSheetId="39">'C.3.2'!$11:$16</definedName>
    <definedName name="_xlnm.Print_Titles" localSheetId="40">'C.3.3'!$11:$16</definedName>
    <definedName name="_xlnm.Print_Titles" localSheetId="41">'C.3.4'!$11:$16</definedName>
    <definedName name="_xlnm.Print_Titles" localSheetId="42">'C.3.5'!$11:$16</definedName>
    <definedName name="_xlnm.Print_Titles" localSheetId="43">'C.3.6'!$11:$16</definedName>
    <definedName name="_xlnm.Print_Titles" localSheetId="44">'C.4.1'!$11:$16</definedName>
    <definedName name="_xlnm.Print_Titles" localSheetId="45">'C.4.2'!$11:$16</definedName>
    <definedName name="_xlnm.Print_Titles" localSheetId="46">'C.4.3'!$11:$16</definedName>
    <definedName name="_xlnm.Print_Titles" localSheetId="47">'C.4.4'!$11:$16</definedName>
    <definedName name="_xlnm.Print_Titles" localSheetId="48">'C.4.5'!$11:$16</definedName>
    <definedName name="_xlnm.Print_Titles" localSheetId="49">'D.1.1'!$11:$16</definedName>
    <definedName name="_xlnm.Print_Titles" localSheetId="50">'D.1.2'!$11:$16</definedName>
    <definedName name="_xlnm.Print_Titles" localSheetId="51">'D.1.3'!$11:$16</definedName>
    <definedName name="_xlnm.Print_Titles" localSheetId="52">'D.1.4'!$11:$16</definedName>
    <definedName name="_xlnm.Print_Titles" localSheetId="53">'D.1.5'!$11:$16</definedName>
    <definedName name="_xlnm.Print_Titles" localSheetId="54">'D.2.1'!$11:$16</definedName>
    <definedName name="_xlnm.Print_Titles" localSheetId="55">'D.2.2'!$11:$16</definedName>
    <definedName name="_xlnm.Print_Titles" localSheetId="56">'D.2.3'!$11:$16</definedName>
    <definedName name="_xlnm.Print_Titles" localSheetId="57">'D.2.4'!$11:$16</definedName>
    <definedName name="_xlnm.Print_Titles" localSheetId="58">'D.2.5'!$11:$16</definedName>
    <definedName name="_xlnm.Print_Titles" localSheetId="59">'D.2.6'!$11:$16</definedName>
    <definedName name="_xlnm.Print_Titles" localSheetId="60">'D.2.7'!$11:$16</definedName>
    <definedName name="_xlnm.Print_Titles" localSheetId="61">'D.3.1'!$11:$16</definedName>
    <definedName name="_xlnm.Print_Titles" localSheetId="62">'D.3.2'!$11:$16</definedName>
    <definedName name="_xlnm.Print_Titles" localSheetId="63">'D.3.3'!$11:$16</definedName>
    <definedName name="_xlnm.Print_Titles" localSheetId="64">'D.3.4'!$11:$16</definedName>
    <definedName name="_xlnm.Print_Titles" localSheetId="65">'D.3.5'!$11:$16</definedName>
    <definedName name="_xlnm.Print_Titles" localSheetId="66">'D.3.6'!$11:$16</definedName>
    <definedName name="_xlnm.Print_Titles" localSheetId="67">'D.4.1'!$11:$16</definedName>
    <definedName name="_xlnm.Print_Titles" localSheetId="68">'D.4.2'!$11:$16</definedName>
    <definedName name="_xlnm.Print_Titles" localSheetId="69">E.1!$11:$16</definedName>
    <definedName name="_xlnm.Print_Titles" localSheetId="70">'F.1.1'!$11:$16</definedName>
    <definedName name="_xlnm.Print_Titles" localSheetId="71">'F.1.2'!$11:$16</definedName>
    <definedName name="_xlnm.Print_Titles" localSheetId="72">'F.1.3'!$11:$16</definedName>
    <definedName name="_xlnm.Print_Titles" localSheetId="73">'F.2.1'!$11:$16</definedName>
    <definedName name="_xlnm.Print_Titles" localSheetId="74">'F.2.2'!$11:$16</definedName>
    <definedName name="_xlnm.Print_Titles" localSheetId="75">'F.2.3'!$11:$16</definedName>
    <definedName name="_xlnm.Print_Titles" localSheetId="76">'F.2.4'!$11:$16</definedName>
    <definedName name="_xlnm.Print_Titles" localSheetId="77">'F.2.5'!$11:$16</definedName>
    <definedName name="_xlnm.Print_Titles" localSheetId="2">RESUMO!$2:$5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6" l="1"/>
  <c r="A30" i="6"/>
  <c r="A29" i="6"/>
  <c r="A28" i="6"/>
  <c r="B29" i="6"/>
  <c r="A26" i="6"/>
  <c r="A21" i="6"/>
  <c r="M40" i="20"/>
  <c r="M39" i="20"/>
  <c r="M38" i="20"/>
  <c r="J40" i="20"/>
  <c r="N20" i="20"/>
  <c r="N21" i="20" s="1"/>
  <c r="N22" i="20" s="1"/>
  <c r="N23" i="20" s="1"/>
  <c r="N24" i="20" s="1"/>
  <c r="N25" i="20" s="1"/>
  <c r="N41" i="20"/>
  <c r="J17" i="65"/>
  <c r="K17" i="62"/>
  <c r="K17" i="61"/>
  <c r="L20" i="66"/>
  <c r="K20" i="66"/>
  <c r="L19" i="66"/>
  <c r="K19" i="66"/>
  <c r="K18" i="66"/>
  <c r="K22" i="66"/>
  <c r="L22" i="66"/>
  <c r="K23" i="66"/>
  <c r="L23" i="66"/>
  <c r="K24" i="66"/>
  <c r="L24" i="66"/>
  <c r="K25" i="66"/>
  <c r="L25" i="66"/>
  <c r="K26" i="66"/>
  <c r="L26" i="66"/>
  <c r="M37" i="20"/>
  <c r="M36" i="20"/>
  <c r="M35" i="20"/>
  <c r="M34" i="20"/>
  <c r="M33" i="20"/>
  <c r="M32" i="20"/>
  <c r="M31" i="20"/>
  <c r="M30" i="20"/>
  <c r="M29" i="20"/>
  <c r="M28" i="20"/>
  <c r="M27" i="20"/>
  <c r="M26" i="20"/>
  <c r="N42" i="20"/>
  <c r="E140" i="1"/>
  <c r="F9" i="3"/>
  <c r="G100" i="3"/>
  <c r="G99" i="3"/>
  <c r="G98" i="3"/>
  <c r="G97" i="3"/>
  <c r="G96" i="3"/>
  <c r="G94" i="3"/>
  <c r="G93" i="3"/>
  <c r="G92" i="3"/>
  <c r="G89" i="3"/>
  <c r="G87" i="3"/>
  <c r="G86" i="3"/>
  <c r="G84" i="3"/>
  <c r="G83" i="3"/>
  <c r="G82" i="3"/>
  <c r="G81" i="3"/>
  <c r="G80" i="3"/>
  <c r="G79" i="3"/>
  <c r="G77" i="3"/>
  <c r="G76" i="3"/>
  <c r="G75" i="3"/>
  <c r="G74" i="3"/>
  <c r="G73" i="3"/>
  <c r="G72" i="3"/>
  <c r="G71" i="3"/>
  <c r="G69" i="3"/>
  <c r="G68" i="3"/>
  <c r="G67" i="3"/>
  <c r="G66" i="3"/>
  <c r="G65" i="3"/>
  <c r="G62" i="3"/>
  <c r="G61" i="3"/>
  <c r="G60" i="3"/>
  <c r="G59" i="3"/>
  <c r="G58" i="3"/>
  <c r="G56" i="3"/>
  <c r="G55" i="3"/>
  <c r="G54" i="3"/>
  <c r="G53" i="3"/>
  <c r="G52" i="3"/>
  <c r="G51" i="3"/>
  <c r="G49" i="3"/>
  <c r="G48" i="3"/>
  <c r="G47" i="3"/>
  <c r="G46" i="3"/>
  <c r="G45" i="3"/>
  <c r="G44" i="3"/>
  <c r="G42" i="3"/>
  <c r="G41" i="3"/>
  <c r="G40" i="3"/>
  <c r="G39" i="3"/>
  <c r="G38" i="3"/>
  <c r="G35" i="3"/>
  <c r="G34" i="3"/>
  <c r="G32" i="3"/>
  <c r="G31" i="3"/>
  <c r="G30" i="3"/>
  <c r="G29" i="3"/>
  <c r="G28" i="3"/>
  <c r="G27" i="3"/>
  <c r="G26" i="3"/>
  <c r="G25" i="3"/>
  <c r="G24" i="3"/>
  <c r="G22" i="3"/>
  <c r="G21" i="3"/>
  <c r="G20" i="3"/>
  <c r="G19" i="3"/>
  <c r="G18" i="3"/>
  <c r="G17" i="3"/>
  <c r="G16" i="3"/>
  <c r="G15" i="3"/>
  <c r="G14" i="3"/>
  <c r="G11" i="3"/>
  <c r="G10" i="3"/>
  <c r="L27" i="3" a="1"/>
  <c r="J45" i="3" a="1"/>
  <c r="L11" i="3" a="1"/>
  <c r="L60" i="3" a="1"/>
  <c r="L15" i="3" a="1"/>
  <c r="J19" i="3" a="1"/>
  <c r="J47" i="3" a="1"/>
  <c r="J22" i="3" a="1"/>
  <c r="L31" i="3" a="1"/>
  <c r="L72" i="3" a="1"/>
  <c r="L59" i="3" a="1"/>
  <c r="J31" i="3" a="1"/>
  <c r="L14" i="3" a="1"/>
  <c r="J10" i="3" a="1"/>
  <c r="J40" i="3" a="1"/>
  <c r="J17" i="3" a="1"/>
  <c r="J11" i="3" a="1"/>
  <c r="J18" i="3" a="1"/>
  <c r="L16" i="3" a="1"/>
  <c r="L42" i="3" a="1"/>
  <c r="J83" i="3" a="1"/>
  <c r="L92" i="3" a="1"/>
  <c r="J55" i="3" a="1"/>
  <c r="L75" i="3" a="1"/>
  <c r="L94" i="3" a="1"/>
  <c r="L69" i="3" a="1"/>
  <c r="J44" i="3" a="1"/>
  <c r="L62" i="3" a="1"/>
  <c r="J15" i="3" a="1"/>
  <c r="J84" i="3" a="1"/>
  <c r="L84" i="3" a="1"/>
  <c r="J27" i="3" a="1"/>
  <c r="J72" i="3" a="1"/>
  <c r="L40" i="3" a="1"/>
  <c r="L86" i="3" a="1"/>
  <c r="L87" i="3" a="1"/>
  <c r="J14" i="3" a="1"/>
  <c r="L18" i="3" a="1"/>
  <c r="L10" i="3" a="1"/>
  <c r="L81" i="3" a="1"/>
  <c r="L20" i="3" a="1"/>
  <c r="L26" i="3" a="1"/>
  <c r="J86" i="3" a="1"/>
  <c r="L82" i="3" a="1"/>
  <c r="J80" i="3" a="1"/>
  <c r="L17" i="3" a="1"/>
  <c r="L55" i="3" a="1"/>
  <c r="L24" i="3" a="1"/>
  <c r="J48" i="3" a="1"/>
  <c r="J73" i="3" a="1"/>
  <c r="L48" i="3" a="1"/>
  <c r="L65" i="3" a="1"/>
  <c r="L21" i="3" a="1"/>
  <c r="J60" i="3" a="1"/>
  <c r="L56" i="3" a="1"/>
  <c r="J59" i="3" a="1"/>
  <c r="L74" i="3" a="1"/>
  <c r="L66" i="3" a="1"/>
  <c r="J76" i="3" a="1"/>
  <c r="J82" i="3" a="1"/>
  <c r="L58" i="3" a="1"/>
  <c r="J25" i="3" a="1"/>
  <c r="L68" i="3" a="1"/>
  <c r="L22" i="3" a="1"/>
  <c r="L28" i="3" a="1"/>
  <c r="J69" i="3" a="1"/>
  <c r="J93" i="3" a="1"/>
  <c r="J61" i="3" a="1"/>
  <c r="J65" i="3" a="1"/>
  <c r="J89" i="3" a="1"/>
  <c r="L93" i="3" a="1"/>
  <c r="L44" i="3" a="1"/>
  <c r="J77" i="3" a="1"/>
  <c r="L39" i="3" a="1"/>
  <c r="J68" i="3" a="1"/>
  <c r="L45" i="3" a="1"/>
  <c r="J21" i="3" a="1"/>
  <c r="L89" i="3" a="1"/>
  <c r="J67" i="3" a="1"/>
  <c r="J41" i="3" a="1"/>
  <c r="L38" i="3" a="1"/>
  <c r="J42" i="3" a="1"/>
  <c r="J58" i="3" a="1"/>
  <c r="J56" i="3" a="1"/>
  <c r="L73" i="3" a="1"/>
  <c r="L41" i="3" a="1"/>
  <c r="L61" i="3" a="1"/>
  <c r="L83" i="3" a="1"/>
  <c r="J38" i="3" a="1"/>
  <c r="L19" i="3" a="1"/>
  <c r="J39" i="3" a="1"/>
  <c r="L47" i="3" a="1"/>
  <c r="J94" i="3" a="1"/>
  <c r="L71" i="3" a="1"/>
  <c r="L77" i="3" a="1"/>
  <c r="J20" i="3" a="1"/>
  <c r="J81" i="3" a="1"/>
  <c r="L25" i="3" a="1"/>
  <c r="J16" i="3" a="1"/>
  <c r="L46" i="3" a="1"/>
  <c r="J87" i="3" a="1"/>
  <c r="J66" i="3" a="1"/>
  <c r="J74" i="3" a="1"/>
  <c r="J71" i="3" a="1"/>
  <c r="J46" i="3" a="1"/>
  <c r="L79" i="3" a="1"/>
  <c r="J75" i="3" a="1"/>
  <c r="L67" i="3" a="1"/>
  <c r="J92" i="3" a="1"/>
  <c r="L80" i="3" a="1"/>
  <c r="J26" i="3" a="1"/>
  <c r="J28" i="3" a="1"/>
  <c r="J62" i="3" a="1"/>
  <c r="L76" i="3" a="1"/>
  <c r="J24" i="3" a="1"/>
  <c r="J79" i="3" a="1"/>
  <c r="B30" i="6" l="1"/>
  <c r="B28" i="6"/>
  <c r="N26" i="20"/>
  <c r="N27" i="20" s="1"/>
  <c r="N28" i="20" s="1"/>
  <c r="N29" i="20" s="1"/>
  <c r="N30" i="20" s="1"/>
  <c r="N31" i="20" s="1"/>
  <c r="N32" i="20" s="1"/>
  <c r="N33" i="20" s="1"/>
  <c r="N34" i="20" s="1"/>
  <c r="N35" i="20" s="1"/>
  <c r="N36" i="20" s="1"/>
  <c r="N37" i="20" s="1"/>
  <c r="N38" i="20" s="1"/>
  <c r="N39" i="20" s="1"/>
  <c r="N40" i="20" s="1"/>
  <c r="L92" i="3"/>
  <c r="J94" i="3"/>
  <c r="R94" i="3" s="1"/>
  <c r="S94" i="3" s="1"/>
  <c r="L93" i="3"/>
  <c r="L94" i="3"/>
  <c r="J92" i="3"/>
  <c r="R92" i="3" s="1"/>
  <c r="S92" i="3" s="1"/>
  <c r="J93" i="3"/>
  <c r="R93" i="3" s="1"/>
  <c r="S93" i="3" s="1"/>
  <c r="J89" i="3"/>
  <c r="R89" i="3" s="1"/>
  <c r="S89" i="3" s="1"/>
  <c r="L89" i="3"/>
  <c r="L87" i="3"/>
  <c r="J87" i="3"/>
  <c r="R87" i="3" s="1"/>
  <c r="S87" i="3" s="1"/>
  <c r="L86" i="3"/>
  <c r="J86" i="3"/>
  <c r="R86" i="3" s="1"/>
  <c r="S86" i="3" s="1"/>
  <c r="J84" i="3"/>
  <c r="R84" i="3" s="1"/>
  <c r="S84" i="3" s="1"/>
  <c r="L83" i="3"/>
  <c r="J79" i="3"/>
  <c r="R79" i="3" s="1"/>
  <c r="S79" i="3" s="1"/>
  <c r="J80" i="3"/>
  <c r="R80" i="3" s="1"/>
  <c r="S80" i="3" s="1"/>
  <c r="L79" i="3"/>
  <c r="L82" i="3"/>
  <c r="L84" i="3"/>
  <c r="J81" i="3"/>
  <c r="R81" i="3" s="1"/>
  <c r="S81" i="3" s="1"/>
  <c r="L80" i="3"/>
  <c r="J82" i="3"/>
  <c r="R82" i="3" s="1"/>
  <c r="S82" i="3" s="1"/>
  <c r="L81" i="3"/>
  <c r="J83" i="3"/>
  <c r="R83" i="3" s="1"/>
  <c r="S83" i="3" s="1"/>
  <c r="J71" i="3"/>
  <c r="R71" i="3" s="1"/>
  <c r="S71" i="3" s="1"/>
  <c r="L76" i="3"/>
  <c r="J77" i="3"/>
  <c r="R77" i="3" s="1"/>
  <c r="S77" i="3" s="1"/>
  <c r="L75" i="3"/>
  <c r="L77" i="3"/>
  <c r="J72" i="3"/>
  <c r="R72" i="3" s="1"/>
  <c r="S72" i="3" s="1"/>
  <c r="L71" i="3"/>
  <c r="J73" i="3"/>
  <c r="R73" i="3" s="1"/>
  <c r="S73" i="3" s="1"/>
  <c r="L72" i="3"/>
  <c r="J74" i="3"/>
  <c r="R74" i="3" s="1"/>
  <c r="S74" i="3" s="1"/>
  <c r="L73" i="3"/>
  <c r="J75" i="3"/>
  <c r="R75" i="3" s="1"/>
  <c r="S75" i="3" s="1"/>
  <c r="L74" i="3"/>
  <c r="J76" i="3"/>
  <c r="R76" i="3" s="1"/>
  <c r="S76" i="3" s="1"/>
  <c r="L67" i="3"/>
  <c r="L68" i="3"/>
  <c r="J65" i="3"/>
  <c r="R65" i="3" s="1"/>
  <c r="S65" i="3" s="1"/>
  <c r="J66" i="3"/>
  <c r="R66" i="3" s="1"/>
  <c r="S66" i="3" s="1"/>
  <c r="L65" i="3"/>
  <c r="J67" i="3"/>
  <c r="R67" i="3" s="1"/>
  <c r="S67" i="3" s="1"/>
  <c r="L66" i="3"/>
  <c r="J69" i="3"/>
  <c r="R69" i="3" s="1"/>
  <c r="S69" i="3" s="1"/>
  <c r="L69" i="3"/>
  <c r="J68" i="3"/>
  <c r="R68" i="3" s="1"/>
  <c r="S68" i="3" s="1"/>
  <c r="L60" i="3"/>
  <c r="J61" i="3"/>
  <c r="R61" i="3" s="1"/>
  <c r="S61" i="3" s="1"/>
  <c r="J62" i="3"/>
  <c r="R62" i="3" s="1"/>
  <c r="S62" i="3" s="1"/>
  <c r="L61" i="3"/>
  <c r="L62" i="3"/>
  <c r="J58" i="3"/>
  <c r="R58" i="3" s="1"/>
  <c r="S58" i="3" s="1"/>
  <c r="J59" i="3"/>
  <c r="R59" i="3" s="1"/>
  <c r="S59" i="3" s="1"/>
  <c r="L58" i="3"/>
  <c r="J60" i="3"/>
  <c r="R60" i="3" s="1"/>
  <c r="S60" i="3" s="1"/>
  <c r="L59" i="3"/>
  <c r="J56" i="3"/>
  <c r="R56" i="3" s="1"/>
  <c r="S56" i="3" s="1"/>
  <c r="L56" i="3"/>
  <c r="L55" i="3"/>
  <c r="J55" i="3"/>
  <c r="R55" i="3" s="1"/>
  <c r="S55" i="3" s="1"/>
  <c r="L47" i="3"/>
  <c r="L48" i="3"/>
  <c r="J44" i="3"/>
  <c r="R44" i="3" s="1"/>
  <c r="S44" i="3" s="1"/>
  <c r="J45" i="3"/>
  <c r="R45" i="3" s="1"/>
  <c r="S45" i="3" s="1"/>
  <c r="L44" i="3"/>
  <c r="J46" i="3"/>
  <c r="R46" i="3" s="1"/>
  <c r="S46" i="3" s="1"/>
  <c r="L45" i="3"/>
  <c r="J47" i="3"/>
  <c r="R47" i="3" s="1"/>
  <c r="S47" i="3" s="1"/>
  <c r="L46" i="3"/>
  <c r="J48" i="3"/>
  <c r="R48" i="3" s="1"/>
  <c r="S48" i="3" s="1"/>
  <c r="J42" i="3"/>
  <c r="R42" i="3" s="1"/>
  <c r="S42" i="3" s="1"/>
  <c r="L40" i="3"/>
  <c r="L41" i="3"/>
  <c r="L42" i="3"/>
  <c r="J38" i="3"/>
  <c r="R38" i="3" s="1"/>
  <c r="S38" i="3" s="1"/>
  <c r="J39" i="3"/>
  <c r="R39" i="3" s="1"/>
  <c r="S39" i="3" s="1"/>
  <c r="L38" i="3"/>
  <c r="J40" i="3"/>
  <c r="R40" i="3" s="1"/>
  <c r="S40" i="3" s="1"/>
  <c r="L39" i="3"/>
  <c r="J41" i="3"/>
  <c r="R41" i="3" s="1"/>
  <c r="S41" i="3" s="1"/>
  <c r="J24" i="3"/>
  <c r="R24" i="3" s="1"/>
  <c r="S24" i="3" s="1"/>
  <c r="J31" i="3"/>
  <c r="R31" i="3" s="1"/>
  <c r="S31" i="3" s="1"/>
  <c r="L28" i="3"/>
  <c r="J25" i="3"/>
  <c r="R25" i="3" s="1"/>
  <c r="S25" i="3" s="1"/>
  <c r="L24" i="3"/>
  <c r="L31" i="3"/>
  <c r="J26" i="3"/>
  <c r="R26" i="3" s="1"/>
  <c r="S26" i="3" s="1"/>
  <c r="L25" i="3"/>
  <c r="J27" i="3"/>
  <c r="R27" i="3" s="1"/>
  <c r="S27" i="3" s="1"/>
  <c r="L26" i="3"/>
  <c r="J28" i="3"/>
  <c r="R28" i="3" s="1"/>
  <c r="S28" i="3" s="1"/>
  <c r="L27" i="3"/>
  <c r="L20" i="3"/>
  <c r="L22" i="3"/>
  <c r="J15" i="3"/>
  <c r="R15" i="3" s="1"/>
  <c r="S15" i="3" s="1"/>
  <c r="J22" i="3"/>
  <c r="R22" i="3" s="1"/>
  <c r="S22" i="3" s="1"/>
  <c r="J17" i="3"/>
  <c r="R17" i="3" s="1"/>
  <c r="S17" i="3" s="1"/>
  <c r="L18" i="3"/>
  <c r="J18" i="3"/>
  <c r="R18" i="3" s="1"/>
  <c r="S18" i="3" s="1"/>
  <c r="L17" i="3"/>
  <c r="J20" i="3"/>
  <c r="R20" i="3" s="1"/>
  <c r="S20" i="3" s="1"/>
  <c r="L19" i="3"/>
  <c r="L14" i="3"/>
  <c r="L21" i="3"/>
  <c r="J16" i="3"/>
  <c r="R16" i="3" s="1"/>
  <c r="S16" i="3" s="1"/>
  <c r="L15" i="3"/>
  <c r="L16" i="3"/>
  <c r="J19" i="3"/>
  <c r="R19" i="3" s="1"/>
  <c r="S19" i="3" s="1"/>
  <c r="J14" i="3"/>
  <c r="R14" i="3" s="1"/>
  <c r="S14" i="3" s="1"/>
  <c r="J21" i="3"/>
  <c r="R21" i="3" s="1"/>
  <c r="S21" i="3" s="1"/>
  <c r="J11" i="3"/>
  <c r="L11" i="3"/>
  <c r="J10" i="3"/>
  <c r="L10" i="3"/>
  <c r="AN98" i="56"/>
  <c r="AN97" i="56"/>
  <c r="AN96" i="56"/>
  <c r="AN95" i="56"/>
  <c r="AN94" i="56"/>
  <c r="AN92" i="56"/>
  <c r="AN91" i="56"/>
  <c r="AN90" i="56"/>
  <c r="AN87" i="56"/>
  <c r="AN85" i="56"/>
  <c r="AN84" i="56"/>
  <c r="AN82" i="56"/>
  <c r="AN81" i="56"/>
  <c r="AN80" i="56"/>
  <c r="AN79" i="56"/>
  <c r="AN78" i="56"/>
  <c r="AN77" i="56"/>
  <c r="AN75" i="56"/>
  <c r="AN74" i="56"/>
  <c r="AN73" i="56"/>
  <c r="AN72" i="56"/>
  <c r="AN71" i="56"/>
  <c r="AN70" i="56"/>
  <c r="AN69" i="56"/>
  <c r="AN67" i="56"/>
  <c r="AN66" i="56"/>
  <c r="AN65" i="56"/>
  <c r="AN64" i="56"/>
  <c r="AN63" i="56"/>
  <c r="AN60" i="56"/>
  <c r="AN59" i="56"/>
  <c r="AN58" i="56"/>
  <c r="AN57" i="56"/>
  <c r="AN56" i="56"/>
  <c r="AN54" i="56"/>
  <c r="AN53" i="56"/>
  <c r="AN52" i="56"/>
  <c r="AN51" i="56"/>
  <c r="AN50" i="56"/>
  <c r="AN49" i="56"/>
  <c r="AN47" i="56"/>
  <c r="AN46" i="56"/>
  <c r="AN45" i="56"/>
  <c r="AN44" i="56"/>
  <c r="AN43" i="56"/>
  <c r="AN42" i="56"/>
  <c r="AN40" i="56"/>
  <c r="AN39" i="56"/>
  <c r="AN38" i="56"/>
  <c r="AN37" i="56"/>
  <c r="AN36" i="56"/>
  <c r="AN33" i="56"/>
  <c r="AN32" i="56"/>
  <c r="AN30" i="56"/>
  <c r="AN29" i="56"/>
  <c r="AN28" i="56"/>
  <c r="AN27" i="56"/>
  <c r="AN26" i="56"/>
  <c r="AN25" i="56"/>
  <c r="AN24" i="56"/>
  <c r="AN23" i="56"/>
  <c r="AN22" i="56"/>
  <c r="AN20" i="56"/>
  <c r="AN19" i="56"/>
  <c r="AN18" i="56"/>
  <c r="AN17" i="56"/>
  <c r="AN16" i="56"/>
  <c r="AN15" i="56"/>
  <c r="AN14" i="56"/>
  <c r="AN13" i="56"/>
  <c r="AN12" i="56"/>
  <c r="AN9" i="56"/>
  <c r="AN8" i="56"/>
  <c r="AN7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1" i="56"/>
  <c r="B62" i="56"/>
  <c r="B63" i="56"/>
  <c r="B64" i="56"/>
  <c r="B65" i="56"/>
  <c r="B66" i="56"/>
  <c r="B67" i="56"/>
  <c r="B68" i="56"/>
  <c r="B69" i="56"/>
  <c r="B70" i="56"/>
  <c r="B71" i="56"/>
  <c r="B72" i="56"/>
  <c r="B73" i="56"/>
  <c r="B74" i="56"/>
  <c r="B75" i="56"/>
  <c r="B76" i="56"/>
  <c r="B77" i="56"/>
  <c r="B78" i="56"/>
  <c r="B79" i="56"/>
  <c r="B80" i="56"/>
  <c r="B81" i="56"/>
  <c r="B82" i="56"/>
  <c r="B83" i="56"/>
  <c r="B84" i="56"/>
  <c r="B85" i="56"/>
  <c r="B86" i="56"/>
  <c r="B87" i="56"/>
  <c r="B88" i="56"/>
  <c r="B89" i="56"/>
  <c r="B90" i="56"/>
  <c r="B91" i="56"/>
  <c r="B92" i="56"/>
  <c r="B93" i="56"/>
  <c r="B94" i="56"/>
  <c r="B95" i="56"/>
  <c r="B96" i="56"/>
  <c r="B97" i="56"/>
  <c r="B98" i="56"/>
  <c r="B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0" i="56"/>
  <c r="A21" i="56"/>
  <c r="A22" i="56"/>
  <c r="A23" i="56"/>
  <c r="A24" i="56"/>
  <c r="A25" i="56"/>
  <c r="A26" i="56"/>
  <c r="A27" i="56"/>
  <c r="A28" i="56"/>
  <c r="A29" i="56"/>
  <c r="A30" i="56"/>
  <c r="A31" i="56"/>
  <c r="A32" i="56"/>
  <c r="A33" i="56"/>
  <c r="A34" i="56"/>
  <c r="A35" i="56"/>
  <c r="A36" i="56"/>
  <c r="A37" i="56"/>
  <c r="A38" i="56"/>
  <c r="A39" i="56"/>
  <c r="A40" i="56"/>
  <c r="A41" i="56"/>
  <c r="A42" i="56"/>
  <c r="A43" i="56"/>
  <c r="A44" i="56"/>
  <c r="A45" i="56"/>
  <c r="A46" i="56"/>
  <c r="A47" i="56"/>
  <c r="A48" i="56"/>
  <c r="A49" i="56"/>
  <c r="A50" i="56"/>
  <c r="A51" i="56"/>
  <c r="A52" i="56"/>
  <c r="A53" i="56"/>
  <c r="A54" i="56"/>
  <c r="A55" i="56"/>
  <c r="A56" i="56"/>
  <c r="A57" i="56"/>
  <c r="A58" i="56"/>
  <c r="A59" i="56"/>
  <c r="A60" i="56"/>
  <c r="A61" i="56"/>
  <c r="A62" i="56"/>
  <c r="A63" i="56"/>
  <c r="A64" i="56"/>
  <c r="A65" i="56"/>
  <c r="A66" i="56"/>
  <c r="A67" i="56"/>
  <c r="A68" i="56"/>
  <c r="A69" i="56"/>
  <c r="A70" i="56"/>
  <c r="A71" i="56"/>
  <c r="A72" i="56"/>
  <c r="A73" i="56"/>
  <c r="A74" i="56"/>
  <c r="A75" i="56"/>
  <c r="A76" i="56"/>
  <c r="A77" i="56"/>
  <c r="A78" i="56"/>
  <c r="A79" i="56"/>
  <c r="A80" i="56"/>
  <c r="A81" i="56"/>
  <c r="A82" i="56"/>
  <c r="A83" i="56"/>
  <c r="A84" i="56"/>
  <c r="A85" i="56"/>
  <c r="A86" i="56"/>
  <c r="A87" i="56"/>
  <c r="A88" i="56"/>
  <c r="A89" i="56"/>
  <c r="A90" i="56"/>
  <c r="A91" i="56"/>
  <c r="A92" i="56"/>
  <c r="A93" i="56"/>
  <c r="A94" i="56"/>
  <c r="A95" i="56"/>
  <c r="A96" i="56"/>
  <c r="A97" i="56"/>
  <c r="A98" i="56"/>
  <c r="A6" i="56"/>
  <c r="N36" i="83"/>
  <c r="M36" i="83"/>
  <c r="N35" i="83"/>
  <c r="M35" i="83"/>
  <c r="N34" i="83"/>
  <c r="M34" i="83"/>
  <c r="N33" i="83"/>
  <c r="M33" i="83"/>
  <c r="N32" i="83"/>
  <c r="M32" i="83"/>
  <c r="N31" i="83"/>
  <c r="M31" i="83"/>
  <c r="N30" i="83"/>
  <c r="M30" i="83"/>
  <c r="N29" i="83"/>
  <c r="M29" i="83"/>
  <c r="N28" i="83"/>
  <c r="M28" i="83"/>
  <c r="N27" i="83"/>
  <c r="M27" i="83"/>
  <c r="N26" i="83"/>
  <c r="M26" i="83"/>
  <c r="W20" i="83"/>
  <c r="W19" i="83"/>
  <c r="W18" i="83"/>
  <c r="W17" i="83"/>
  <c r="N36" i="82"/>
  <c r="M36" i="82"/>
  <c r="N35" i="82"/>
  <c r="M35" i="82"/>
  <c r="N34" i="82"/>
  <c r="M34" i="82"/>
  <c r="N33" i="82"/>
  <c r="M33" i="82"/>
  <c r="N32" i="82"/>
  <c r="M32" i="82"/>
  <c r="N31" i="82"/>
  <c r="M31" i="82"/>
  <c r="N30" i="82"/>
  <c r="M30" i="82"/>
  <c r="N29" i="82"/>
  <c r="M29" i="82"/>
  <c r="N28" i="82"/>
  <c r="M28" i="82"/>
  <c r="N27" i="82"/>
  <c r="M27" i="82"/>
  <c r="N26" i="82"/>
  <c r="M26" i="82"/>
  <c r="N25" i="82"/>
  <c r="M25" i="82"/>
  <c r="N24" i="82"/>
  <c r="M24" i="82"/>
  <c r="N23" i="82"/>
  <c r="M23" i="82"/>
  <c r="W20" i="82"/>
  <c r="W19" i="82"/>
  <c r="W18" i="82"/>
  <c r="W17" i="82"/>
  <c r="N36" i="81"/>
  <c r="M36" i="81"/>
  <c r="N35" i="81"/>
  <c r="M35" i="81"/>
  <c r="N34" i="81"/>
  <c r="M34" i="81"/>
  <c r="N33" i="81"/>
  <c r="M33" i="81"/>
  <c r="N32" i="81"/>
  <c r="M32" i="81"/>
  <c r="N31" i="81"/>
  <c r="M31" i="81"/>
  <c r="N30" i="81"/>
  <c r="M30" i="81"/>
  <c r="N29" i="81"/>
  <c r="M29" i="81"/>
  <c r="N28" i="81"/>
  <c r="M28" i="81"/>
  <c r="N27" i="81"/>
  <c r="M27" i="81"/>
  <c r="N26" i="81"/>
  <c r="M26" i="81"/>
  <c r="N25" i="81"/>
  <c r="M25" i="81"/>
  <c r="N24" i="81"/>
  <c r="M24" i="81"/>
  <c r="N23" i="81"/>
  <c r="M23" i="81"/>
  <c r="W20" i="81"/>
  <c r="W19" i="81"/>
  <c r="W18" i="81"/>
  <c r="W17" i="81"/>
  <c r="N36" i="80"/>
  <c r="M36" i="80"/>
  <c r="N35" i="80"/>
  <c r="M35" i="80"/>
  <c r="N34" i="80"/>
  <c r="M34" i="80"/>
  <c r="N33" i="80"/>
  <c r="M33" i="80"/>
  <c r="N32" i="80"/>
  <c r="M32" i="80"/>
  <c r="N31" i="80"/>
  <c r="M31" i="80"/>
  <c r="N30" i="80"/>
  <c r="M30" i="80"/>
  <c r="N29" i="80"/>
  <c r="M29" i="80"/>
  <c r="N28" i="80"/>
  <c r="M28" i="80"/>
  <c r="N27" i="80"/>
  <c r="M27" i="80"/>
  <c r="N26" i="80"/>
  <c r="M26" i="80"/>
  <c r="N25" i="80"/>
  <c r="M25" i="80"/>
  <c r="N24" i="80"/>
  <c r="M24" i="80"/>
  <c r="N23" i="80"/>
  <c r="M23" i="80"/>
  <c r="W20" i="80"/>
  <c r="W19" i="80"/>
  <c r="W18" i="80"/>
  <c r="W17" i="80"/>
  <c r="N36" i="79"/>
  <c r="M36" i="79"/>
  <c r="N35" i="79"/>
  <c r="M35" i="79"/>
  <c r="N34" i="79"/>
  <c r="M34" i="79"/>
  <c r="N33" i="79"/>
  <c r="M33" i="79"/>
  <c r="N32" i="79"/>
  <c r="M32" i="79"/>
  <c r="N31" i="79"/>
  <c r="M31" i="79"/>
  <c r="N30" i="79"/>
  <c r="M30" i="79"/>
  <c r="N29" i="79"/>
  <c r="M29" i="79"/>
  <c r="N28" i="79"/>
  <c r="M28" i="79"/>
  <c r="N27" i="79"/>
  <c r="M27" i="79"/>
  <c r="N26" i="79"/>
  <c r="M26" i="79"/>
  <c r="N25" i="79"/>
  <c r="M25" i="79"/>
  <c r="N24" i="79"/>
  <c r="M24" i="79"/>
  <c r="N23" i="79"/>
  <c r="M23" i="79"/>
  <c r="W20" i="79"/>
  <c r="W19" i="79"/>
  <c r="W18" i="79"/>
  <c r="W17" i="79"/>
  <c r="M36" i="78"/>
  <c r="L36" i="78"/>
  <c r="M35" i="78"/>
  <c r="L35" i="78"/>
  <c r="M34" i="78"/>
  <c r="L34" i="78"/>
  <c r="M33" i="78"/>
  <c r="L33" i="78"/>
  <c r="M32" i="78"/>
  <c r="L32" i="78"/>
  <c r="M31" i="78"/>
  <c r="L31" i="78"/>
  <c r="M30" i="78"/>
  <c r="L30" i="78"/>
  <c r="M29" i="78"/>
  <c r="L29" i="78"/>
  <c r="M28" i="78"/>
  <c r="L28" i="78"/>
  <c r="M27" i="78"/>
  <c r="L27" i="78"/>
  <c r="M26" i="78"/>
  <c r="L26" i="78"/>
  <c r="M25" i="78"/>
  <c r="L25" i="78"/>
  <c r="M24" i="78"/>
  <c r="L24" i="78"/>
  <c r="M23" i="78"/>
  <c r="L23" i="78"/>
  <c r="L22" i="78"/>
  <c r="L21" i="78"/>
  <c r="V20" i="78"/>
  <c r="L20" i="78"/>
  <c r="V19" i="78"/>
  <c r="L19" i="78"/>
  <c r="V18" i="78"/>
  <c r="L18" i="78"/>
  <c r="V17" i="78"/>
  <c r="L17" i="78"/>
  <c r="M36" i="77"/>
  <c r="L36" i="77"/>
  <c r="M35" i="77"/>
  <c r="L35" i="77"/>
  <c r="M34" i="77"/>
  <c r="L34" i="77"/>
  <c r="M33" i="77"/>
  <c r="L33" i="77"/>
  <c r="M32" i="77"/>
  <c r="L32" i="77"/>
  <c r="M31" i="77"/>
  <c r="L31" i="77"/>
  <c r="M30" i="77"/>
  <c r="L30" i="77"/>
  <c r="M29" i="77"/>
  <c r="L29" i="77"/>
  <c r="M28" i="77"/>
  <c r="L28" i="77"/>
  <c r="M27" i="77"/>
  <c r="L27" i="77"/>
  <c r="M26" i="77"/>
  <c r="L26" i="77"/>
  <c r="M25" i="77"/>
  <c r="L25" i="77"/>
  <c r="M24" i="77"/>
  <c r="L24" i="77"/>
  <c r="M23" i="77"/>
  <c r="L23" i="77"/>
  <c r="L22" i="77"/>
  <c r="L21" i="77"/>
  <c r="V20" i="77"/>
  <c r="L20" i="77"/>
  <c r="V19" i="77"/>
  <c r="L19" i="77"/>
  <c r="V18" i="77"/>
  <c r="L18" i="77"/>
  <c r="V17" i="77"/>
  <c r="L17" i="77"/>
  <c r="E9" i="77" s="1"/>
  <c r="M22" i="76"/>
  <c r="M21" i="76"/>
  <c r="M20" i="76"/>
  <c r="M19" i="76"/>
  <c r="M18" i="76"/>
  <c r="M17" i="76"/>
  <c r="L22" i="76"/>
  <c r="L21" i="76"/>
  <c r="L20" i="76"/>
  <c r="L19" i="76"/>
  <c r="L18" i="76"/>
  <c r="L17" i="76"/>
  <c r="H105" i="1"/>
  <c r="H104" i="1"/>
  <c r="H103" i="1"/>
  <c r="H102" i="1"/>
  <c r="H101" i="1"/>
  <c r="H99" i="1"/>
  <c r="H98" i="1"/>
  <c r="H97" i="1"/>
  <c r="H94" i="1"/>
  <c r="H92" i="1"/>
  <c r="H91" i="1"/>
  <c r="H89" i="1"/>
  <c r="H88" i="1"/>
  <c r="H87" i="1"/>
  <c r="H86" i="1"/>
  <c r="H85" i="1"/>
  <c r="H84" i="1"/>
  <c r="H82" i="1"/>
  <c r="H81" i="1"/>
  <c r="H80" i="1"/>
  <c r="H79" i="1"/>
  <c r="H78" i="1"/>
  <c r="H77" i="1"/>
  <c r="H76" i="1"/>
  <c r="H74" i="1"/>
  <c r="H73" i="1"/>
  <c r="H72" i="1"/>
  <c r="H71" i="1"/>
  <c r="H70" i="1"/>
  <c r="H67" i="1"/>
  <c r="H66" i="1"/>
  <c r="H65" i="1"/>
  <c r="H64" i="1"/>
  <c r="H63" i="1"/>
  <c r="H61" i="1"/>
  <c r="H60" i="1"/>
  <c r="H59" i="1"/>
  <c r="H58" i="1"/>
  <c r="H57" i="1"/>
  <c r="H56" i="1"/>
  <c r="H54" i="1"/>
  <c r="H53" i="1"/>
  <c r="H52" i="1"/>
  <c r="H51" i="1"/>
  <c r="H50" i="1"/>
  <c r="H49" i="1"/>
  <c r="H47" i="1"/>
  <c r="H46" i="1"/>
  <c r="H45" i="1"/>
  <c r="H44" i="1"/>
  <c r="H43" i="1"/>
  <c r="H40" i="1"/>
  <c r="H39" i="1"/>
  <c r="H37" i="1"/>
  <c r="H36" i="1"/>
  <c r="H35" i="1"/>
  <c r="H34" i="1"/>
  <c r="H33" i="1"/>
  <c r="H32" i="1"/>
  <c r="H31" i="1"/>
  <c r="H30" i="1"/>
  <c r="H29" i="1"/>
  <c r="H27" i="1"/>
  <c r="H26" i="1"/>
  <c r="H25" i="1"/>
  <c r="H24" i="1"/>
  <c r="H23" i="1"/>
  <c r="H22" i="1"/>
  <c r="H21" i="1"/>
  <c r="H20" i="1"/>
  <c r="H19" i="1"/>
  <c r="H16" i="1"/>
  <c r="H15" i="1"/>
  <c r="H14" i="1"/>
  <c r="F15" i="3"/>
  <c r="F14" i="3"/>
  <c r="F16" i="3"/>
  <c r="F19" i="3"/>
  <c r="I93" i="3" a="1"/>
  <c r="I93" i="3" l="1"/>
  <c r="E9" i="78"/>
  <c r="M17" i="78"/>
  <c r="M18" i="78" s="1"/>
  <c r="M19" i="78" s="1"/>
  <c r="M20" i="78" s="1"/>
  <c r="M21" i="78" s="1"/>
  <c r="M22" i="78" s="1"/>
  <c r="E5" i="78"/>
  <c r="M17" i="77"/>
  <c r="M18" i="77" s="1"/>
  <c r="M19" i="77" s="1"/>
  <c r="M20" i="77" s="1"/>
  <c r="M21" i="77" s="1"/>
  <c r="M22" i="77" s="1"/>
  <c r="E5" i="77"/>
  <c r="F20" i="3"/>
  <c r="I94" i="3" a="1"/>
  <c r="I94" i="3" l="1"/>
  <c r="E8" i="78"/>
  <c r="E6" i="78"/>
  <c r="E6" i="77"/>
  <c r="E8" i="77"/>
  <c r="F21" i="3"/>
  <c r="H94" i="3" a="1"/>
  <c r="H93" i="3" a="1"/>
  <c r="H93" i="3" l="1"/>
  <c r="H94" i="3"/>
  <c r="F22" i="3"/>
  <c r="F23" i="3"/>
  <c r="G23" i="3"/>
  <c r="F24" i="3"/>
  <c r="F25" i="3"/>
  <c r="F26" i="3"/>
  <c r="F27" i="3"/>
  <c r="F29" i="3"/>
  <c r="F30" i="3"/>
  <c r="F31" i="3"/>
  <c r="F32" i="3"/>
  <c r="F33" i="3"/>
  <c r="G33" i="3"/>
  <c r="F34" i="3"/>
  <c r="F35" i="3"/>
  <c r="F36" i="3"/>
  <c r="G36" i="3"/>
  <c r="F37" i="3"/>
  <c r="G37" i="3"/>
  <c r="F39" i="3"/>
  <c r="F40" i="3"/>
  <c r="F43" i="3"/>
  <c r="G43" i="3"/>
  <c r="F44" i="3"/>
  <c r="F45" i="3"/>
  <c r="F46" i="3"/>
  <c r="F47" i="3"/>
  <c r="M36" i="76"/>
  <c r="L36" i="76"/>
  <c r="M35" i="76"/>
  <c r="L35" i="76"/>
  <c r="M34" i="76"/>
  <c r="L34" i="76"/>
  <c r="M33" i="76"/>
  <c r="L33" i="76"/>
  <c r="M32" i="76"/>
  <c r="L32" i="76"/>
  <c r="M31" i="76"/>
  <c r="L31" i="76"/>
  <c r="M30" i="76"/>
  <c r="L30" i="76"/>
  <c r="M29" i="76"/>
  <c r="L29" i="76"/>
  <c r="M28" i="76"/>
  <c r="L28" i="76"/>
  <c r="M27" i="76"/>
  <c r="L27" i="76"/>
  <c r="M26" i="76"/>
  <c r="L26" i="76"/>
  <c r="M25" i="76"/>
  <c r="L25" i="76"/>
  <c r="M24" i="76"/>
  <c r="L24" i="76"/>
  <c r="M23" i="76"/>
  <c r="L23" i="76"/>
  <c r="V20" i="76"/>
  <c r="V19" i="76"/>
  <c r="V18" i="76"/>
  <c r="V17" i="76"/>
  <c r="E5" i="76"/>
  <c r="F100" i="3"/>
  <c r="E100" i="3"/>
  <c r="D100" i="3"/>
  <c r="C100" i="3"/>
  <c r="F99" i="3"/>
  <c r="E99" i="3"/>
  <c r="D99" i="3"/>
  <c r="C99" i="3"/>
  <c r="F98" i="3"/>
  <c r="E98" i="3"/>
  <c r="D98" i="3"/>
  <c r="C98" i="3"/>
  <c r="F97" i="3"/>
  <c r="E97" i="3"/>
  <c r="D97" i="3"/>
  <c r="C97" i="3"/>
  <c r="G13" i="80" s="1"/>
  <c r="B97" i="3"/>
  <c r="F96" i="3"/>
  <c r="E96" i="3"/>
  <c r="D96" i="3"/>
  <c r="C96" i="3"/>
  <c r="G95" i="3"/>
  <c r="F95" i="3"/>
  <c r="E95" i="3"/>
  <c r="D95" i="3"/>
  <c r="C95" i="3"/>
  <c r="F94" i="3"/>
  <c r="E94" i="3"/>
  <c r="D94" i="3"/>
  <c r="C94" i="3"/>
  <c r="G13" i="78" s="1"/>
  <c r="B94" i="3"/>
  <c r="F93" i="3"/>
  <c r="E93" i="3"/>
  <c r="D93" i="3"/>
  <c r="C93" i="3"/>
  <c r="F92" i="3"/>
  <c r="E92" i="3"/>
  <c r="D92" i="3"/>
  <c r="C92" i="3"/>
  <c r="G13" i="76" s="1"/>
  <c r="B92" i="3"/>
  <c r="G91" i="3"/>
  <c r="F91" i="3"/>
  <c r="E91" i="3"/>
  <c r="D91" i="3"/>
  <c r="C91" i="3"/>
  <c r="G90" i="3"/>
  <c r="F90" i="3"/>
  <c r="E90" i="3"/>
  <c r="D90" i="3"/>
  <c r="C90" i="3"/>
  <c r="L36" i="75"/>
  <c r="K36" i="75"/>
  <c r="L35" i="75"/>
  <c r="K35" i="75"/>
  <c r="L34" i="75"/>
  <c r="K34" i="75"/>
  <c r="L33" i="75"/>
  <c r="K33" i="75"/>
  <c r="L32" i="75"/>
  <c r="K32" i="75"/>
  <c r="L31" i="75"/>
  <c r="K31" i="75"/>
  <c r="L30" i="75"/>
  <c r="K30" i="75"/>
  <c r="L29" i="75"/>
  <c r="K29" i="75"/>
  <c r="L28" i="75"/>
  <c r="K28" i="75"/>
  <c r="L27" i="75"/>
  <c r="K27" i="75"/>
  <c r="L26" i="75"/>
  <c r="K26" i="75"/>
  <c r="L25" i="75"/>
  <c r="K25" i="75"/>
  <c r="L24" i="75"/>
  <c r="K24" i="75"/>
  <c r="L23" i="75"/>
  <c r="K23" i="75"/>
  <c r="L22" i="75"/>
  <c r="K22" i="75"/>
  <c r="L21" i="75"/>
  <c r="K21" i="75"/>
  <c r="U20" i="75"/>
  <c r="U19" i="75"/>
  <c r="U18" i="75"/>
  <c r="U17" i="75"/>
  <c r="E9" i="75"/>
  <c r="E5" i="75"/>
  <c r="E8" i="75" s="1"/>
  <c r="J17" i="74"/>
  <c r="K17" i="74" s="1"/>
  <c r="L17" i="74" s="1"/>
  <c r="L17" i="68"/>
  <c r="K17" i="68"/>
  <c r="J17" i="68"/>
  <c r="L36" i="74"/>
  <c r="K36" i="74"/>
  <c r="L35" i="74"/>
  <c r="K35" i="74"/>
  <c r="L34" i="74"/>
  <c r="K34" i="74"/>
  <c r="L33" i="74"/>
  <c r="K33" i="74"/>
  <c r="L32" i="74"/>
  <c r="K32" i="74"/>
  <c r="L31" i="74"/>
  <c r="K31" i="74"/>
  <c r="L30" i="74"/>
  <c r="K30" i="74"/>
  <c r="L29" i="74"/>
  <c r="K29" i="74"/>
  <c r="L28" i="74"/>
  <c r="K28" i="74"/>
  <c r="L27" i="74"/>
  <c r="K27" i="74"/>
  <c r="L26" i="74"/>
  <c r="K26" i="74"/>
  <c r="L25" i="74"/>
  <c r="K25" i="74"/>
  <c r="L24" i="74"/>
  <c r="K24" i="74"/>
  <c r="U20" i="74"/>
  <c r="U19" i="74"/>
  <c r="U18" i="74"/>
  <c r="U17" i="74"/>
  <c r="F87" i="3"/>
  <c r="E87" i="3"/>
  <c r="D87" i="3"/>
  <c r="C87" i="3"/>
  <c r="B87" i="3"/>
  <c r="F86" i="3"/>
  <c r="E86" i="3"/>
  <c r="D86" i="3"/>
  <c r="C86" i="3"/>
  <c r="B86" i="3" s="1"/>
  <c r="G85" i="3"/>
  <c r="F85" i="3"/>
  <c r="E85" i="3"/>
  <c r="D85" i="3"/>
  <c r="C85" i="3"/>
  <c r="B13" i="75" s="1"/>
  <c r="M26" i="39"/>
  <c r="M25" i="39"/>
  <c r="M24" i="39"/>
  <c r="M23" i="39"/>
  <c r="M22" i="39"/>
  <c r="M21" i="39"/>
  <c r="M20" i="39"/>
  <c r="M19" i="39"/>
  <c r="M18" i="39"/>
  <c r="M17" i="39"/>
  <c r="L22" i="39"/>
  <c r="L26" i="39"/>
  <c r="L24" i="39"/>
  <c r="L23" i="39"/>
  <c r="L17" i="73"/>
  <c r="M17" i="73"/>
  <c r="M18" i="73" s="1"/>
  <c r="M19" i="73" s="1"/>
  <c r="M20" i="73" s="1"/>
  <c r="L18" i="73"/>
  <c r="L19" i="73"/>
  <c r="J21" i="73"/>
  <c r="L21" i="73" s="1"/>
  <c r="E9" i="73" s="1"/>
  <c r="L22" i="73"/>
  <c r="M22" i="73"/>
  <c r="L23" i="73"/>
  <c r="M23" i="73"/>
  <c r="L24" i="73"/>
  <c r="M24" i="73"/>
  <c r="L25" i="73"/>
  <c r="M25" i="73"/>
  <c r="L26" i="73"/>
  <c r="M26" i="73"/>
  <c r="L27" i="73"/>
  <c r="M27" i="73"/>
  <c r="M36" i="73"/>
  <c r="L36" i="73"/>
  <c r="M35" i="73"/>
  <c r="L35" i="73"/>
  <c r="M34" i="73"/>
  <c r="L34" i="73"/>
  <c r="M33" i="73"/>
  <c r="L33" i="73"/>
  <c r="M32" i="73"/>
  <c r="L32" i="73"/>
  <c r="M31" i="73"/>
  <c r="L31" i="73"/>
  <c r="M30" i="73"/>
  <c r="L30" i="73"/>
  <c r="M29" i="73"/>
  <c r="L29" i="73"/>
  <c r="M28" i="73"/>
  <c r="L28" i="73"/>
  <c r="V20" i="73"/>
  <c r="V19" i="73"/>
  <c r="V18" i="73"/>
  <c r="V17" i="73"/>
  <c r="F69" i="3"/>
  <c r="E69" i="3"/>
  <c r="D69" i="3"/>
  <c r="C69" i="3"/>
  <c r="H100" i="1"/>
  <c r="H96" i="1"/>
  <c r="W105" i="1"/>
  <c r="W104" i="1"/>
  <c r="W103" i="1"/>
  <c r="W102" i="1"/>
  <c r="W101" i="1"/>
  <c r="W100" i="1"/>
  <c r="W99" i="1"/>
  <c r="W98" i="1"/>
  <c r="W97" i="1"/>
  <c r="W96" i="1"/>
  <c r="W95" i="1"/>
  <c r="H93" i="1"/>
  <c r="H90" i="1"/>
  <c r="H42" i="1"/>
  <c r="H38" i="1"/>
  <c r="W74" i="1"/>
  <c r="I69" i="3" a="1"/>
  <c r="I87" i="3" a="1"/>
  <c r="I87" i="3" l="1"/>
  <c r="K92" i="1" s="1"/>
  <c r="I69" i="3"/>
  <c r="K74" i="1" s="1"/>
  <c r="G13" i="83"/>
  <c r="G13" i="82"/>
  <c r="B99" i="3"/>
  <c r="G13" i="73"/>
  <c r="G13" i="74"/>
  <c r="G13" i="75"/>
  <c r="B13" i="77"/>
  <c r="B13" i="78"/>
  <c r="B96" i="3"/>
  <c r="G13" i="79"/>
  <c r="B100" i="3"/>
  <c r="B13" i="74"/>
  <c r="B93" i="3"/>
  <c r="G13" i="77"/>
  <c r="B98" i="3"/>
  <c r="G13" i="81"/>
  <c r="B13" i="76"/>
  <c r="B13" i="80"/>
  <c r="B13" i="81"/>
  <c r="B13" i="79"/>
  <c r="B13" i="83"/>
  <c r="B13" i="82"/>
  <c r="H95" i="1"/>
  <c r="E9" i="76"/>
  <c r="E8" i="76"/>
  <c r="M97" i="1"/>
  <c r="K99" i="1"/>
  <c r="M99" i="1"/>
  <c r="E6" i="75"/>
  <c r="E5" i="74"/>
  <c r="E9" i="74"/>
  <c r="M21" i="73"/>
  <c r="E5" i="73"/>
  <c r="B69" i="3"/>
  <c r="H28" i="1"/>
  <c r="H55" i="1"/>
  <c r="H69" i="1"/>
  <c r="H75" i="1"/>
  <c r="H18" i="1"/>
  <c r="H83" i="1"/>
  <c r="H62" i="1"/>
  <c r="H48" i="1"/>
  <c r="W92" i="1"/>
  <c r="W91" i="1"/>
  <c r="S18" i="12"/>
  <c r="R18" i="12"/>
  <c r="N18" i="10"/>
  <c r="M18" i="10"/>
  <c r="F68" i="3"/>
  <c r="E68" i="3"/>
  <c r="D68" i="3"/>
  <c r="F67" i="3"/>
  <c r="E67" i="3"/>
  <c r="D67" i="3"/>
  <c r="F66" i="3"/>
  <c r="E66" i="3"/>
  <c r="D66" i="3"/>
  <c r="L36" i="72"/>
  <c r="K36" i="72"/>
  <c r="L35" i="72"/>
  <c r="K35" i="72"/>
  <c r="L34" i="72"/>
  <c r="K34" i="72"/>
  <c r="L33" i="72"/>
  <c r="K33" i="72"/>
  <c r="L32" i="72"/>
  <c r="K32" i="72"/>
  <c r="L31" i="72"/>
  <c r="K31" i="72"/>
  <c r="L30" i="72"/>
  <c r="K30" i="72"/>
  <c r="L29" i="72"/>
  <c r="K29" i="72"/>
  <c r="L28" i="72"/>
  <c r="K28" i="72"/>
  <c r="L27" i="72"/>
  <c r="K27" i="72"/>
  <c r="L26" i="72"/>
  <c r="K26" i="72"/>
  <c r="L25" i="72"/>
  <c r="K25" i="72"/>
  <c r="L24" i="72"/>
  <c r="K24" i="72"/>
  <c r="L23" i="72"/>
  <c r="K23" i="72"/>
  <c r="L22" i="72"/>
  <c r="K22" i="72"/>
  <c r="L21" i="72"/>
  <c r="K21" i="72"/>
  <c r="U20" i="72"/>
  <c r="L20" i="72"/>
  <c r="K20" i="72"/>
  <c r="U19" i="72"/>
  <c r="L19" i="72"/>
  <c r="K19" i="72"/>
  <c r="U18" i="72"/>
  <c r="L18" i="72"/>
  <c r="K18" i="72"/>
  <c r="U17" i="72"/>
  <c r="K17" i="72"/>
  <c r="L17" i="72" s="1"/>
  <c r="E9" i="72"/>
  <c r="M17" i="71"/>
  <c r="M36" i="71"/>
  <c r="L36" i="71"/>
  <c r="M35" i="71"/>
  <c r="L35" i="71"/>
  <c r="M34" i="71"/>
  <c r="L34" i="71"/>
  <c r="M33" i="71"/>
  <c r="L33" i="71"/>
  <c r="M32" i="71"/>
  <c r="L32" i="71"/>
  <c r="M31" i="71"/>
  <c r="L31" i="71"/>
  <c r="M30" i="71"/>
  <c r="L30" i="71"/>
  <c r="M29" i="71"/>
  <c r="L29" i="71"/>
  <c r="M28" i="71"/>
  <c r="L28" i="71"/>
  <c r="M27" i="71"/>
  <c r="L27" i="71"/>
  <c r="M26" i="71"/>
  <c r="L26" i="71"/>
  <c r="M25" i="71"/>
  <c r="L25" i="71"/>
  <c r="M24" i="71"/>
  <c r="L24" i="71"/>
  <c r="M23" i="71"/>
  <c r="L23" i="71"/>
  <c r="M22" i="71"/>
  <c r="L22" i="71"/>
  <c r="V21" i="71"/>
  <c r="M21" i="71"/>
  <c r="L21" i="71"/>
  <c r="V20" i="71"/>
  <c r="M20" i="71"/>
  <c r="L20" i="71"/>
  <c r="V19" i="71"/>
  <c r="M19" i="71"/>
  <c r="L19" i="71"/>
  <c r="V18" i="71"/>
  <c r="V17" i="71"/>
  <c r="E9" i="71"/>
  <c r="E5" i="71"/>
  <c r="L36" i="70"/>
  <c r="K36" i="70"/>
  <c r="L35" i="70"/>
  <c r="K35" i="70"/>
  <c r="L34" i="70"/>
  <c r="K34" i="70"/>
  <c r="L33" i="70"/>
  <c r="K33" i="70"/>
  <c r="L32" i="70"/>
  <c r="K32" i="70"/>
  <c r="L31" i="70"/>
  <c r="K31" i="70"/>
  <c r="L30" i="70"/>
  <c r="K30" i="70"/>
  <c r="L29" i="70"/>
  <c r="K29" i="70"/>
  <c r="L28" i="70"/>
  <c r="K28" i="70"/>
  <c r="L27" i="70"/>
  <c r="K27" i="70"/>
  <c r="L26" i="70"/>
  <c r="K26" i="70"/>
  <c r="L25" i="70"/>
  <c r="K25" i="70"/>
  <c r="L24" i="70"/>
  <c r="K24" i="70"/>
  <c r="L23" i="70"/>
  <c r="K23" i="70"/>
  <c r="L22" i="70"/>
  <c r="K22" i="70"/>
  <c r="L21" i="70"/>
  <c r="K21" i="70"/>
  <c r="U20" i="70"/>
  <c r="L20" i="70"/>
  <c r="K20" i="70"/>
  <c r="U19" i="70"/>
  <c r="L19" i="70"/>
  <c r="K19" i="70"/>
  <c r="U18" i="70"/>
  <c r="L18" i="70"/>
  <c r="K18" i="70"/>
  <c r="U17" i="70"/>
  <c r="K17" i="70"/>
  <c r="L36" i="69"/>
  <c r="K36" i="69"/>
  <c r="L35" i="69"/>
  <c r="K35" i="69"/>
  <c r="L34" i="69"/>
  <c r="K34" i="69"/>
  <c r="L33" i="69"/>
  <c r="K33" i="69"/>
  <c r="L32" i="69"/>
  <c r="K32" i="69"/>
  <c r="L31" i="69"/>
  <c r="K31" i="69"/>
  <c r="L30" i="69"/>
  <c r="K30" i="69"/>
  <c r="L29" i="69"/>
  <c r="K29" i="69"/>
  <c r="L28" i="69"/>
  <c r="K28" i="69"/>
  <c r="L27" i="69"/>
  <c r="K27" i="69"/>
  <c r="L26" i="69"/>
  <c r="K26" i="69"/>
  <c r="L25" i="69"/>
  <c r="K25" i="69"/>
  <c r="L24" i="69"/>
  <c r="K24" i="69"/>
  <c r="L23" i="69"/>
  <c r="K23" i="69"/>
  <c r="L22" i="69"/>
  <c r="K22" i="69"/>
  <c r="L21" i="69"/>
  <c r="K21" i="69"/>
  <c r="U20" i="69"/>
  <c r="U19" i="69"/>
  <c r="U18" i="69"/>
  <c r="U17" i="69"/>
  <c r="E9" i="69"/>
  <c r="E5" i="69"/>
  <c r="L36" i="68"/>
  <c r="K36" i="68"/>
  <c r="L35" i="68"/>
  <c r="K35" i="68"/>
  <c r="L34" i="68"/>
  <c r="K34" i="68"/>
  <c r="L33" i="68"/>
  <c r="K33" i="68"/>
  <c r="L32" i="68"/>
  <c r="K32" i="68"/>
  <c r="L31" i="68"/>
  <c r="K31" i="68"/>
  <c r="L30" i="68"/>
  <c r="K30" i="68"/>
  <c r="L29" i="68"/>
  <c r="K29" i="68"/>
  <c r="L28" i="68"/>
  <c r="K28" i="68"/>
  <c r="L27" i="68"/>
  <c r="K27" i="68"/>
  <c r="L26" i="68"/>
  <c r="K26" i="68"/>
  <c r="L25" i="68"/>
  <c r="K25" i="68"/>
  <c r="L24" i="68"/>
  <c r="K24" i="68"/>
  <c r="L23" i="68"/>
  <c r="K23" i="68"/>
  <c r="U20" i="68"/>
  <c r="U19" i="68"/>
  <c r="U18" i="68"/>
  <c r="U17" i="68"/>
  <c r="G50" i="3"/>
  <c r="F50" i="3"/>
  <c r="E50" i="3"/>
  <c r="D50" i="3"/>
  <c r="C50" i="3"/>
  <c r="E43" i="3"/>
  <c r="D43" i="3"/>
  <c r="C43" i="3"/>
  <c r="E37" i="3"/>
  <c r="D37" i="3"/>
  <c r="C37" i="3"/>
  <c r="E36" i="3"/>
  <c r="D36" i="3"/>
  <c r="C36" i="3"/>
  <c r="M36" i="67"/>
  <c r="L36" i="67"/>
  <c r="M35" i="67"/>
  <c r="L35" i="67"/>
  <c r="M34" i="67"/>
  <c r="L34" i="67"/>
  <c r="M33" i="67"/>
  <c r="L33" i="67"/>
  <c r="M32" i="67"/>
  <c r="L32" i="67"/>
  <c r="M31" i="67"/>
  <c r="L31" i="67"/>
  <c r="M30" i="67"/>
  <c r="L30" i="67"/>
  <c r="M29" i="67"/>
  <c r="L29" i="67"/>
  <c r="V20" i="67"/>
  <c r="V19" i="67"/>
  <c r="V18" i="67"/>
  <c r="V17" i="67"/>
  <c r="E9" i="67"/>
  <c r="K18" i="62"/>
  <c r="L36" i="66"/>
  <c r="K36" i="66"/>
  <c r="L35" i="66"/>
  <c r="K35" i="66"/>
  <c r="L34" i="66"/>
  <c r="K34" i="66"/>
  <c r="L33" i="66"/>
  <c r="K33" i="66"/>
  <c r="L32" i="66"/>
  <c r="K32" i="66"/>
  <c r="L31" i="66"/>
  <c r="K31" i="66"/>
  <c r="L30" i="66"/>
  <c r="K30" i="66"/>
  <c r="L29" i="66"/>
  <c r="K29" i="66"/>
  <c r="L28" i="66"/>
  <c r="K28" i="66"/>
  <c r="L27" i="66"/>
  <c r="K27" i="66"/>
  <c r="U20" i="66"/>
  <c r="U19" i="66"/>
  <c r="U18" i="66"/>
  <c r="U17" i="66"/>
  <c r="K17" i="66"/>
  <c r="E5" i="66" s="1"/>
  <c r="E33" i="3"/>
  <c r="D33" i="3"/>
  <c r="C33" i="3"/>
  <c r="E35" i="3"/>
  <c r="D35" i="3"/>
  <c r="C35" i="3"/>
  <c r="E34" i="3"/>
  <c r="D34" i="3"/>
  <c r="C34" i="3"/>
  <c r="H87" i="3" a="1"/>
  <c r="I61" i="3" a="1"/>
  <c r="I86" i="3" a="1"/>
  <c r="I42" i="3" a="1"/>
  <c r="I62" i="3" a="1"/>
  <c r="I92" i="3" a="1"/>
  <c r="I59" i="3" a="1"/>
  <c r="J35" i="3" a="1"/>
  <c r="I42" i="3" l="1"/>
  <c r="I62" i="3"/>
  <c r="I61" i="3"/>
  <c r="I86" i="3"/>
  <c r="K91" i="1" s="1"/>
  <c r="H87" i="3"/>
  <c r="I92" i="1" s="1"/>
  <c r="I59" i="3"/>
  <c r="I92" i="3"/>
  <c r="K97" i="1" s="1"/>
  <c r="J35" i="3"/>
  <c r="R35" i="3" s="1"/>
  <c r="S35" i="3" s="1"/>
  <c r="H41" i="1"/>
  <c r="H17" i="1"/>
  <c r="O99" i="1"/>
  <c r="R99" i="1" s="1"/>
  <c r="O97" i="1"/>
  <c r="R97" i="1" s="1"/>
  <c r="H68" i="1"/>
  <c r="E6" i="76"/>
  <c r="I98" i="1"/>
  <c r="I99" i="1"/>
  <c r="M98" i="1"/>
  <c r="K98" i="1"/>
  <c r="M91" i="1"/>
  <c r="E8" i="74"/>
  <c r="E6" i="74"/>
  <c r="M92" i="1"/>
  <c r="M74" i="1"/>
  <c r="E8" i="73"/>
  <c r="E6" i="73"/>
  <c r="G13" i="20"/>
  <c r="B13" i="22"/>
  <c r="B13" i="30"/>
  <c r="B13" i="66"/>
  <c r="B13" i="35"/>
  <c r="G13" i="66"/>
  <c r="B34" i="3"/>
  <c r="B35" i="3"/>
  <c r="B13" i="25"/>
  <c r="B13" i="26"/>
  <c r="B13" i="27"/>
  <c r="B13" i="28"/>
  <c r="B13" i="29"/>
  <c r="B13" i="32"/>
  <c r="B13" i="23"/>
  <c r="B13" i="24"/>
  <c r="B13" i="67"/>
  <c r="B13" i="33"/>
  <c r="B13" i="31"/>
  <c r="B13" i="34"/>
  <c r="B13" i="21"/>
  <c r="E5" i="72"/>
  <c r="E6" i="71"/>
  <c r="E8" i="71"/>
  <c r="E5" i="70"/>
  <c r="L17" i="70"/>
  <c r="E9" i="70"/>
  <c r="E6" i="69"/>
  <c r="E8" i="69"/>
  <c r="E5" i="68"/>
  <c r="E9" i="68"/>
  <c r="E5" i="67"/>
  <c r="E8" i="66"/>
  <c r="E9" i="66"/>
  <c r="L17" i="66"/>
  <c r="L18" i="66" s="1"/>
  <c r="K17" i="65"/>
  <c r="L17" i="65" s="1"/>
  <c r="L36" i="65"/>
  <c r="K36" i="65"/>
  <c r="L35" i="65"/>
  <c r="K35" i="65"/>
  <c r="L34" i="65"/>
  <c r="K34" i="65"/>
  <c r="L33" i="65"/>
  <c r="K33" i="65"/>
  <c r="L32" i="65"/>
  <c r="K32" i="65"/>
  <c r="L31" i="65"/>
  <c r="K31" i="65"/>
  <c r="L30" i="65"/>
  <c r="K30" i="65"/>
  <c r="L29" i="65"/>
  <c r="K29" i="65"/>
  <c r="L28" i="65"/>
  <c r="K28" i="65"/>
  <c r="L27" i="65"/>
  <c r="K27" i="65"/>
  <c r="L26" i="65"/>
  <c r="K26" i="65"/>
  <c r="L25" i="65"/>
  <c r="K25" i="65"/>
  <c r="L24" i="65"/>
  <c r="K24" i="65"/>
  <c r="L23" i="65"/>
  <c r="K23" i="65"/>
  <c r="L22" i="65"/>
  <c r="K22" i="65"/>
  <c r="L21" i="65"/>
  <c r="K21" i="65"/>
  <c r="U20" i="65"/>
  <c r="L20" i="65"/>
  <c r="K20" i="65"/>
  <c r="U19" i="65"/>
  <c r="L19" i="65"/>
  <c r="K19" i="65"/>
  <c r="U18" i="65"/>
  <c r="L18" i="65"/>
  <c r="K18" i="65"/>
  <c r="U17" i="65"/>
  <c r="E9" i="65"/>
  <c r="K36" i="64"/>
  <c r="K35" i="64"/>
  <c r="K34" i="64"/>
  <c r="K33" i="64"/>
  <c r="K32" i="64"/>
  <c r="K31" i="64"/>
  <c r="K30" i="64"/>
  <c r="K29" i="64"/>
  <c r="K28" i="64"/>
  <c r="K27" i="64"/>
  <c r="K26" i="64"/>
  <c r="K25" i="64"/>
  <c r="K24" i="64"/>
  <c r="K23" i="64"/>
  <c r="K22" i="64"/>
  <c r="K21" i="64"/>
  <c r="T20" i="64"/>
  <c r="K20" i="64"/>
  <c r="T19" i="64"/>
  <c r="K19" i="64"/>
  <c r="T18" i="64"/>
  <c r="K18" i="64"/>
  <c r="T17" i="64"/>
  <c r="K17" i="64"/>
  <c r="E9" i="64"/>
  <c r="E5" i="64"/>
  <c r="D25" i="3"/>
  <c r="E25" i="3"/>
  <c r="D26" i="3"/>
  <c r="E26" i="3"/>
  <c r="D27" i="3"/>
  <c r="E27" i="3"/>
  <c r="D28" i="3"/>
  <c r="E28" i="3"/>
  <c r="F28" i="3"/>
  <c r="D29" i="3"/>
  <c r="E29" i="3"/>
  <c r="D30" i="3"/>
  <c r="E30" i="3"/>
  <c r="D31" i="3"/>
  <c r="E31" i="3"/>
  <c r="D32" i="3"/>
  <c r="E32" i="3"/>
  <c r="E24" i="3"/>
  <c r="L36" i="62"/>
  <c r="K36" i="62"/>
  <c r="L35" i="62"/>
  <c r="K35" i="62"/>
  <c r="L34" i="62"/>
  <c r="K34" i="62"/>
  <c r="L33" i="62"/>
  <c r="K33" i="62"/>
  <c r="L32" i="62"/>
  <c r="K32" i="62"/>
  <c r="L31" i="62"/>
  <c r="K31" i="62"/>
  <c r="L30" i="62"/>
  <c r="K30" i="62"/>
  <c r="L29" i="62"/>
  <c r="K29" i="62"/>
  <c r="L28" i="62"/>
  <c r="K28" i="62"/>
  <c r="L27" i="62"/>
  <c r="K27" i="62"/>
  <c r="L26" i="62"/>
  <c r="K26" i="62"/>
  <c r="L25" i="62"/>
  <c r="K25" i="62"/>
  <c r="L24" i="62"/>
  <c r="K24" i="62"/>
  <c r="L23" i="62"/>
  <c r="K23" i="62"/>
  <c r="L22" i="62"/>
  <c r="K22" i="62"/>
  <c r="L21" i="62"/>
  <c r="K21" i="62"/>
  <c r="U20" i="62"/>
  <c r="L20" i="62"/>
  <c r="K20" i="62"/>
  <c r="U19" i="62"/>
  <c r="L19" i="62"/>
  <c r="K19" i="62"/>
  <c r="U18" i="62"/>
  <c r="U17" i="62"/>
  <c r="E5" i="62"/>
  <c r="L17" i="61"/>
  <c r="L36" i="61"/>
  <c r="K36" i="61"/>
  <c r="L35" i="61"/>
  <c r="K35" i="61"/>
  <c r="L34" i="61"/>
  <c r="K34" i="61"/>
  <c r="L33" i="61"/>
  <c r="K33" i="61"/>
  <c r="L32" i="61"/>
  <c r="K32" i="61"/>
  <c r="L31" i="61"/>
  <c r="K31" i="61"/>
  <c r="L30" i="61"/>
  <c r="K30" i="61"/>
  <c r="L29" i="61"/>
  <c r="K29" i="61"/>
  <c r="L28" i="61"/>
  <c r="K28" i="61"/>
  <c r="L27" i="61"/>
  <c r="K27" i="61"/>
  <c r="L26" i="61"/>
  <c r="K26" i="61"/>
  <c r="L25" i="61"/>
  <c r="K25" i="61"/>
  <c r="L24" i="61"/>
  <c r="K24" i="61"/>
  <c r="L23" i="61"/>
  <c r="K23" i="61"/>
  <c r="L22" i="61"/>
  <c r="K22" i="61"/>
  <c r="L21" i="61"/>
  <c r="K21" i="61"/>
  <c r="U20" i="61"/>
  <c r="L20" i="61"/>
  <c r="K20" i="61"/>
  <c r="U19" i="61"/>
  <c r="L19" i="61"/>
  <c r="K19" i="61"/>
  <c r="U18" i="61"/>
  <c r="L18" i="61"/>
  <c r="K18" i="61"/>
  <c r="U17" i="61"/>
  <c r="E9" i="61"/>
  <c r="E5" i="61"/>
  <c r="N39" i="60"/>
  <c r="M39" i="60"/>
  <c r="N38" i="60"/>
  <c r="M38" i="60"/>
  <c r="N37" i="60"/>
  <c r="M37" i="60"/>
  <c r="N36" i="60"/>
  <c r="M36" i="60"/>
  <c r="N35" i="60"/>
  <c r="M35" i="60"/>
  <c r="N34" i="60"/>
  <c r="M34" i="60"/>
  <c r="N33" i="60"/>
  <c r="M33" i="60"/>
  <c r="N32" i="60"/>
  <c r="M32" i="60"/>
  <c r="N31" i="60"/>
  <c r="M31" i="60"/>
  <c r="N30" i="60"/>
  <c r="M30" i="60"/>
  <c r="N29" i="60"/>
  <c r="M29" i="60"/>
  <c r="N28" i="60"/>
  <c r="M28" i="60"/>
  <c r="N27" i="60"/>
  <c r="M27" i="60"/>
  <c r="N26" i="60"/>
  <c r="M26" i="60"/>
  <c r="N25" i="60"/>
  <c r="M25" i="60"/>
  <c r="N24" i="60"/>
  <c r="M24" i="60"/>
  <c r="N23" i="60"/>
  <c r="M23" i="60"/>
  <c r="W21" i="60"/>
  <c r="W20" i="60"/>
  <c r="W19" i="60"/>
  <c r="W18" i="60"/>
  <c r="W17" i="60"/>
  <c r="N17" i="60"/>
  <c r="E9" i="60"/>
  <c r="E5" i="60"/>
  <c r="N39" i="59"/>
  <c r="M39" i="59"/>
  <c r="N38" i="59"/>
  <c r="M38" i="59"/>
  <c r="N37" i="59"/>
  <c r="M37" i="59"/>
  <c r="N36" i="59"/>
  <c r="M36" i="59"/>
  <c r="N35" i="59"/>
  <c r="M35" i="59"/>
  <c r="N34" i="59"/>
  <c r="M34" i="59"/>
  <c r="N33" i="59"/>
  <c r="M33" i="59"/>
  <c r="N32" i="59"/>
  <c r="M32" i="59"/>
  <c r="N31" i="59"/>
  <c r="M31" i="59"/>
  <c r="N30" i="59"/>
  <c r="M30" i="59"/>
  <c r="N29" i="59"/>
  <c r="M29" i="59"/>
  <c r="N28" i="59"/>
  <c r="M28" i="59"/>
  <c r="N27" i="59"/>
  <c r="M27" i="59"/>
  <c r="N26" i="59"/>
  <c r="M26" i="59"/>
  <c r="N25" i="59"/>
  <c r="M25" i="59"/>
  <c r="N24" i="59"/>
  <c r="M24" i="59"/>
  <c r="N23" i="59"/>
  <c r="M23" i="59"/>
  <c r="W21" i="59"/>
  <c r="W20" i="59"/>
  <c r="W19" i="59"/>
  <c r="W18" i="59"/>
  <c r="W17" i="59"/>
  <c r="N17" i="59"/>
  <c r="E9" i="59"/>
  <c r="E5" i="59"/>
  <c r="E8" i="59" s="1"/>
  <c r="N39" i="58"/>
  <c r="M39" i="58"/>
  <c r="N38" i="58"/>
  <c r="M38" i="58"/>
  <c r="N37" i="58"/>
  <c r="M37" i="58"/>
  <c r="N36" i="58"/>
  <c r="M36" i="58"/>
  <c r="N35" i="58"/>
  <c r="M35" i="58"/>
  <c r="N34" i="58"/>
  <c r="M34" i="58"/>
  <c r="N33" i="58"/>
  <c r="M33" i="58"/>
  <c r="N32" i="58"/>
  <c r="M32" i="58"/>
  <c r="N31" i="58"/>
  <c r="M31" i="58"/>
  <c r="N30" i="58"/>
  <c r="M30" i="58"/>
  <c r="N29" i="58"/>
  <c r="M29" i="58"/>
  <c r="N28" i="58"/>
  <c r="M28" i="58"/>
  <c r="N27" i="58"/>
  <c r="M27" i="58"/>
  <c r="N26" i="58"/>
  <c r="M26" i="58"/>
  <c r="N25" i="58"/>
  <c r="M25" i="58"/>
  <c r="N24" i="58"/>
  <c r="M24" i="58"/>
  <c r="N23" i="58"/>
  <c r="M23" i="58"/>
  <c r="W21" i="58"/>
  <c r="W20" i="58"/>
  <c r="W19" i="58"/>
  <c r="W18" i="58"/>
  <c r="W17" i="58"/>
  <c r="N17" i="58"/>
  <c r="E9" i="58"/>
  <c r="E5" i="58"/>
  <c r="E8" i="58" s="1"/>
  <c r="M36" i="57"/>
  <c r="L36" i="57"/>
  <c r="M35" i="57"/>
  <c r="L35" i="57"/>
  <c r="M34" i="57"/>
  <c r="L34" i="57"/>
  <c r="M33" i="57"/>
  <c r="L33" i="57"/>
  <c r="M32" i="57"/>
  <c r="L32" i="57"/>
  <c r="M31" i="57"/>
  <c r="L31" i="57"/>
  <c r="M30" i="57"/>
  <c r="L30" i="57"/>
  <c r="M29" i="57"/>
  <c r="L29" i="57"/>
  <c r="M28" i="57"/>
  <c r="L28" i="57"/>
  <c r="M27" i="57"/>
  <c r="L27" i="57"/>
  <c r="M26" i="57"/>
  <c r="L26" i="57"/>
  <c r="M25" i="57"/>
  <c r="L25" i="57"/>
  <c r="M24" i="57"/>
  <c r="L24" i="57"/>
  <c r="M23" i="57"/>
  <c r="L23" i="57"/>
  <c r="M22" i="57"/>
  <c r="L22" i="57"/>
  <c r="V21" i="57"/>
  <c r="M21" i="57"/>
  <c r="L21" i="57"/>
  <c r="V20" i="57"/>
  <c r="M20" i="57"/>
  <c r="L20" i="57"/>
  <c r="V19" i="57"/>
  <c r="J19" i="57"/>
  <c r="L19" i="57" s="1"/>
  <c r="E9" i="57" s="1"/>
  <c r="V18" i="57"/>
  <c r="L18" i="57"/>
  <c r="V17" i="57"/>
  <c r="L17" i="57"/>
  <c r="E5" i="57" s="1"/>
  <c r="G78" i="3"/>
  <c r="F78" i="3"/>
  <c r="E78" i="3"/>
  <c r="D78" i="3"/>
  <c r="C78" i="3"/>
  <c r="G70" i="3"/>
  <c r="F70" i="3"/>
  <c r="E70" i="3"/>
  <c r="D70" i="3"/>
  <c r="C70" i="3"/>
  <c r="G64" i="3"/>
  <c r="F64" i="3"/>
  <c r="E64" i="3"/>
  <c r="D64" i="3"/>
  <c r="C64" i="3"/>
  <c r="B13" i="73" s="1"/>
  <c r="G57" i="3"/>
  <c r="F57" i="3"/>
  <c r="E57" i="3"/>
  <c r="D57" i="3"/>
  <c r="C57" i="3"/>
  <c r="E23" i="3"/>
  <c r="D23" i="3"/>
  <c r="C23" i="3"/>
  <c r="G88" i="3"/>
  <c r="F88" i="3"/>
  <c r="E88" i="3"/>
  <c r="D88" i="3"/>
  <c r="C88" i="3"/>
  <c r="G63" i="3"/>
  <c r="F63" i="3"/>
  <c r="E63" i="3"/>
  <c r="D63" i="3"/>
  <c r="C63" i="3"/>
  <c r="C80" i="3"/>
  <c r="D80" i="3"/>
  <c r="E80" i="3"/>
  <c r="F80" i="3"/>
  <c r="C81" i="3"/>
  <c r="D81" i="3"/>
  <c r="E81" i="3"/>
  <c r="F81" i="3"/>
  <c r="C82" i="3"/>
  <c r="D82" i="3"/>
  <c r="E82" i="3"/>
  <c r="F82" i="3"/>
  <c r="C83" i="3"/>
  <c r="D83" i="3"/>
  <c r="E83" i="3"/>
  <c r="F83" i="3"/>
  <c r="C84" i="3"/>
  <c r="D84" i="3"/>
  <c r="E84" i="3"/>
  <c r="F84" i="3"/>
  <c r="C89" i="3"/>
  <c r="D89" i="3"/>
  <c r="E89" i="3"/>
  <c r="F89" i="3"/>
  <c r="C15" i="3"/>
  <c r="D15" i="3"/>
  <c r="E15" i="3"/>
  <c r="C16" i="3"/>
  <c r="D16" i="3"/>
  <c r="E16" i="3"/>
  <c r="C17" i="3"/>
  <c r="D17" i="3"/>
  <c r="E17" i="3"/>
  <c r="F17" i="3"/>
  <c r="C18" i="3"/>
  <c r="D18" i="3"/>
  <c r="E18" i="3"/>
  <c r="F18" i="3"/>
  <c r="C19" i="3"/>
  <c r="D19" i="3"/>
  <c r="E19" i="3"/>
  <c r="C20" i="3"/>
  <c r="D20" i="3"/>
  <c r="E20" i="3"/>
  <c r="C21" i="3"/>
  <c r="D21" i="3"/>
  <c r="E21" i="3"/>
  <c r="C22" i="3"/>
  <c r="D22" i="3"/>
  <c r="E22" i="3"/>
  <c r="C24" i="3"/>
  <c r="D24" i="3"/>
  <c r="C25" i="3"/>
  <c r="C26" i="3"/>
  <c r="C27" i="3"/>
  <c r="C28" i="3"/>
  <c r="C29" i="3"/>
  <c r="C30" i="3"/>
  <c r="C31" i="3"/>
  <c r="C32" i="3"/>
  <c r="C38" i="3"/>
  <c r="D38" i="3"/>
  <c r="E38" i="3"/>
  <c r="F38" i="3"/>
  <c r="C39" i="3"/>
  <c r="D39" i="3"/>
  <c r="E39" i="3"/>
  <c r="C40" i="3"/>
  <c r="D40" i="3"/>
  <c r="E40" i="3"/>
  <c r="C41" i="3"/>
  <c r="D41" i="3"/>
  <c r="E41" i="3"/>
  <c r="F41" i="3"/>
  <c r="C42" i="3"/>
  <c r="D42" i="3"/>
  <c r="E42" i="3"/>
  <c r="F42" i="3"/>
  <c r="C44" i="3"/>
  <c r="D44" i="3"/>
  <c r="E44" i="3"/>
  <c r="C45" i="3"/>
  <c r="D45" i="3"/>
  <c r="E45" i="3"/>
  <c r="C46" i="3"/>
  <c r="D46" i="3"/>
  <c r="E46" i="3"/>
  <c r="C47" i="3"/>
  <c r="D47" i="3"/>
  <c r="E47" i="3"/>
  <c r="C48" i="3"/>
  <c r="D48" i="3"/>
  <c r="E48" i="3"/>
  <c r="F48" i="3"/>
  <c r="C49" i="3"/>
  <c r="D49" i="3"/>
  <c r="E49" i="3"/>
  <c r="F49" i="3"/>
  <c r="C51" i="3"/>
  <c r="D51" i="3"/>
  <c r="E51" i="3"/>
  <c r="F51" i="3"/>
  <c r="C52" i="3"/>
  <c r="D52" i="3"/>
  <c r="E52" i="3"/>
  <c r="F52" i="3"/>
  <c r="C53" i="3"/>
  <c r="D53" i="3"/>
  <c r="E53" i="3"/>
  <c r="F53" i="3"/>
  <c r="C54" i="3"/>
  <c r="D54" i="3"/>
  <c r="E54" i="3"/>
  <c r="F54" i="3"/>
  <c r="C55" i="3"/>
  <c r="D55" i="3"/>
  <c r="E55" i="3"/>
  <c r="F55" i="3"/>
  <c r="C56" i="3"/>
  <c r="D56" i="3"/>
  <c r="E56" i="3"/>
  <c r="F56" i="3"/>
  <c r="C58" i="3"/>
  <c r="D58" i="3"/>
  <c r="E58" i="3"/>
  <c r="F58" i="3"/>
  <c r="C59" i="3"/>
  <c r="D59" i="3"/>
  <c r="E59" i="3"/>
  <c r="F59" i="3"/>
  <c r="C60" i="3"/>
  <c r="D60" i="3"/>
  <c r="E60" i="3"/>
  <c r="F60" i="3"/>
  <c r="C61" i="3"/>
  <c r="D61" i="3"/>
  <c r="E61" i="3"/>
  <c r="F61" i="3"/>
  <c r="C62" i="3"/>
  <c r="D62" i="3"/>
  <c r="E62" i="3"/>
  <c r="F62" i="3"/>
  <c r="C65" i="3"/>
  <c r="D65" i="3"/>
  <c r="E65" i="3"/>
  <c r="F65" i="3"/>
  <c r="C66" i="3"/>
  <c r="C67" i="3"/>
  <c r="C68" i="3"/>
  <c r="C71" i="3"/>
  <c r="D71" i="3"/>
  <c r="E71" i="3"/>
  <c r="F71" i="3"/>
  <c r="C72" i="3"/>
  <c r="D72" i="3"/>
  <c r="E72" i="3"/>
  <c r="F72" i="3"/>
  <c r="C73" i="3"/>
  <c r="D73" i="3"/>
  <c r="E73" i="3"/>
  <c r="F73" i="3"/>
  <c r="C74" i="3"/>
  <c r="D74" i="3"/>
  <c r="E74" i="3"/>
  <c r="F74" i="3"/>
  <c r="C75" i="3"/>
  <c r="D75" i="3"/>
  <c r="E75" i="3"/>
  <c r="F75" i="3"/>
  <c r="C76" i="3"/>
  <c r="D76" i="3"/>
  <c r="E76" i="3"/>
  <c r="F76" i="3"/>
  <c r="C77" i="3"/>
  <c r="D77" i="3"/>
  <c r="E77" i="3"/>
  <c r="F77" i="3"/>
  <c r="C79" i="3"/>
  <c r="D79" i="3"/>
  <c r="E79" i="3"/>
  <c r="F79" i="3"/>
  <c r="D14" i="3"/>
  <c r="E14" i="3"/>
  <c r="I32" i="3" a="1"/>
  <c r="I60" i="3" a="1"/>
  <c r="L35" i="3" a="1"/>
  <c r="J29" i="3" a="1"/>
  <c r="I20" i="3" a="1"/>
  <c r="I19" i="3" a="1"/>
  <c r="H92" i="3" a="1"/>
  <c r="H86" i="3" a="1"/>
  <c r="H61" i="3" a="1"/>
  <c r="H69" i="3" a="1"/>
  <c r="I29" i="3" a="1"/>
  <c r="I31" i="3" a="1"/>
  <c r="H59" i="3" a="1"/>
  <c r="I21" i="3" a="1"/>
  <c r="J30" i="3" a="1"/>
  <c r="I58" i="3" a="1"/>
  <c r="I35" i="3" a="1"/>
  <c r="I22" i="3" a="1"/>
  <c r="E6" i="60" l="1"/>
  <c r="I20" i="3"/>
  <c r="K25" i="1" s="1"/>
  <c r="I21" i="3"/>
  <c r="K26" i="1" s="1"/>
  <c r="H59" i="3"/>
  <c r="I64" i="1" s="1"/>
  <c r="H92" i="3"/>
  <c r="I97" i="1" s="1"/>
  <c r="I31" i="3"/>
  <c r="K36" i="1" s="1"/>
  <c r="H61" i="3"/>
  <c r="I66" i="1" s="1"/>
  <c r="I22" i="3"/>
  <c r="K27" i="1" s="1"/>
  <c r="I58" i="3"/>
  <c r="I60" i="3"/>
  <c r="H69" i="3"/>
  <c r="I74" i="1" s="1"/>
  <c r="H86" i="3"/>
  <c r="I91" i="1" s="1"/>
  <c r="I19" i="3"/>
  <c r="K24" i="1" s="1"/>
  <c r="I32" i="3"/>
  <c r="K37" i="1" s="1"/>
  <c r="J30" i="3"/>
  <c r="R30" i="3" s="1"/>
  <c r="S30" i="3" s="1"/>
  <c r="M40" i="1"/>
  <c r="L35" i="3"/>
  <c r="I35" i="3"/>
  <c r="K40" i="1" s="1"/>
  <c r="I29" i="3"/>
  <c r="K34" i="1" s="1"/>
  <c r="J29" i="3"/>
  <c r="R29" i="3" s="1"/>
  <c r="S29" i="3" s="1"/>
  <c r="O91" i="1"/>
  <c r="R91" i="1" s="1"/>
  <c r="O92" i="1"/>
  <c r="R92" i="1" s="1"/>
  <c r="O98" i="1"/>
  <c r="R98" i="1" s="1"/>
  <c r="B56" i="3"/>
  <c r="B15" i="3"/>
  <c r="B22" i="3"/>
  <c r="B16" i="3"/>
  <c r="B13" i="54"/>
  <c r="B66" i="3"/>
  <c r="B17" i="3"/>
  <c r="B13" i="65"/>
  <c r="B18" i="3"/>
  <c r="B68" i="3"/>
  <c r="B67" i="3"/>
  <c r="G13" i="57"/>
  <c r="G13" i="53"/>
  <c r="B84" i="3"/>
  <c r="G13" i="49"/>
  <c r="B80" i="3"/>
  <c r="G13" i="46"/>
  <c r="B76" i="3"/>
  <c r="G13" i="32"/>
  <c r="B52" i="3"/>
  <c r="G13" i="43"/>
  <c r="B73" i="3"/>
  <c r="G13" i="72"/>
  <c r="B62" i="3"/>
  <c r="G13" i="52"/>
  <c r="B83" i="3"/>
  <c r="G13" i="71"/>
  <c r="B61" i="3"/>
  <c r="G13" i="28"/>
  <c r="B47" i="3"/>
  <c r="G13" i="67"/>
  <c r="B42" i="3"/>
  <c r="G13" i="21"/>
  <c r="B38" i="3"/>
  <c r="G13" i="65"/>
  <c r="B32" i="3"/>
  <c r="G13" i="45"/>
  <c r="B75" i="3"/>
  <c r="G13" i="41"/>
  <c r="B71" i="3"/>
  <c r="G13" i="64"/>
  <c r="B31" i="3"/>
  <c r="G13" i="62"/>
  <c r="B30" i="3"/>
  <c r="G13" i="59"/>
  <c r="B20" i="3"/>
  <c r="G13" i="51"/>
  <c r="B82" i="3"/>
  <c r="G13" i="25"/>
  <c r="B44" i="3"/>
  <c r="G13" i="35"/>
  <c r="B55" i="3"/>
  <c r="G13" i="47"/>
  <c r="B77" i="3"/>
  <c r="G13" i="33"/>
  <c r="B53" i="3"/>
  <c r="G13" i="27"/>
  <c r="B46" i="3"/>
  <c r="G13" i="68"/>
  <c r="B58" i="3"/>
  <c r="G13" i="29"/>
  <c r="B48" i="3"/>
  <c r="G13" i="22"/>
  <c r="B39" i="3"/>
  <c r="G13" i="42"/>
  <c r="B72" i="3"/>
  <c r="G13" i="60"/>
  <c r="B21" i="3"/>
  <c r="G13" i="61"/>
  <c r="B29" i="3"/>
  <c r="G13" i="70"/>
  <c r="B60" i="3"/>
  <c r="G13" i="31"/>
  <c r="B51" i="3"/>
  <c r="G13" i="24"/>
  <c r="B41" i="3"/>
  <c r="G13" i="19"/>
  <c r="B28" i="3"/>
  <c r="G13" i="18"/>
  <c r="B27" i="3"/>
  <c r="G13" i="48"/>
  <c r="B79" i="3"/>
  <c r="G13" i="44"/>
  <c r="B74" i="3"/>
  <c r="G13" i="17"/>
  <c r="B26" i="3"/>
  <c r="G13" i="58"/>
  <c r="B19" i="3"/>
  <c r="G13" i="16"/>
  <c r="B25" i="3"/>
  <c r="G13" i="54"/>
  <c r="B89" i="3"/>
  <c r="G13" i="50"/>
  <c r="B81" i="3"/>
  <c r="G13" i="37"/>
  <c r="B65" i="3"/>
  <c r="G13" i="69"/>
  <c r="B59" i="3"/>
  <c r="G13" i="34"/>
  <c r="B54" i="3"/>
  <c r="G13" i="30"/>
  <c r="B49" i="3"/>
  <c r="G13" i="26"/>
  <c r="B45" i="3"/>
  <c r="G13" i="23"/>
  <c r="B40" i="3"/>
  <c r="G13" i="15"/>
  <c r="B24" i="3"/>
  <c r="B13" i="17"/>
  <c r="B13" i="62"/>
  <c r="M71" i="1"/>
  <c r="G13" i="39"/>
  <c r="B13" i="53"/>
  <c r="B13" i="51"/>
  <c r="B13" i="49"/>
  <c r="B13" i="48"/>
  <c r="B13" i="52"/>
  <c r="B13" i="50"/>
  <c r="G13" i="38"/>
  <c r="B13" i="15"/>
  <c r="B13" i="16"/>
  <c r="G13" i="36"/>
  <c r="B13" i="36"/>
  <c r="G13" i="40"/>
  <c r="B13" i="70"/>
  <c r="B13" i="68"/>
  <c r="B13" i="69"/>
  <c r="B13" i="72"/>
  <c r="B13" i="71"/>
  <c r="B13" i="64"/>
  <c r="B13" i="18"/>
  <c r="B13" i="19"/>
  <c r="B13" i="42"/>
  <c r="B13" i="44"/>
  <c r="B13" i="43"/>
  <c r="B13" i="41"/>
  <c r="B13" i="47"/>
  <c r="B13" i="46"/>
  <c r="B13" i="45"/>
  <c r="B13" i="40"/>
  <c r="B13" i="38"/>
  <c r="B13" i="39"/>
  <c r="B13" i="37"/>
  <c r="B13" i="61"/>
  <c r="O40" i="1"/>
  <c r="R40" i="1" s="1"/>
  <c r="E6" i="72"/>
  <c r="E8" i="72"/>
  <c r="E8" i="70"/>
  <c r="E6" i="70"/>
  <c r="E8" i="68"/>
  <c r="E6" i="68"/>
  <c r="E8" i="67"/>
  <c r="E6" i="67"/>
  <c r="E6" i="66"/>
  <c r="E5" i="65"/>
  <c r="E6" i="64"/>
  <c r="E8" i="64"/>
  <c r="M36" i="1"/>
  <c r="M33" i="1"/>
  <c r="M31" i="1"/>
  <c r="M32" i="1"/>
  <c r="M30" i="1"/>
  <c r="M23" i="1"/>
  <c r="M26" i="1"/>
  <c r="M24" i="1"/>
  <c r="M22" i="1"/>
  <c r="M27" i="1"/>
  <c r="M25" i="1"/>
  <c r="E8" i="62"/>
  <c r="E9" i="62"/>
  <c r="L17" i="62"/>
  <c r="L18" i="62" s="1"/>
  <c r="E6" i="61"/>
  <c r="E8" i="61"/>
  <c r="E8" i="60"/>
  <c r="E6" i="59"/>
  <c r="E6" i="58"/>
  <c r="E8" i="57"/>
  <c r="E6" i="57"/>
  <c r="M17" i="57"/>
  <c r="M18" i="57" s="1"/>
  <c r="M19" i="57" s="1"/>
  <c r="M88" i="1"/>
  <c r="M89" i="1"/>
  <c r="M86" i="1"/>
  <c r="M85" i="1"/>
  <c r="K64" i="1"/>
  <c r="M67" i="1"/>
  <c r="M77" i="1"/>
  <c r="M49" i="1"/>
  <c r="M43" i="1"/>
  <c r="M51" i="1"/>
  <c r="M47" i="1"/>
  <c r="K47" i="1"/>
  <c r="M66" i="1"/>
  <c r="M29" i="1"/>
  <c r="K66" i="1"/>
  <c r="K67" i="1"/>
  <c r="M70" i="1"/>
  <c r="M44" i="1"/>
  <c r="M50" i="1"/>
  <c r="M82" i="1"/>
  <c r="M61" i="1"/>
  <c r="M60" i="1"/>
  <c r="M78" i="1"/>
  <c r="M81" i="1"/>
  <c r="M64" i="1"/>
  <c r="W40" i="1"/>
  <c r="W94" i="1"/>
  <c r="W93" i="1" s="1"/>
  <c r="W90" i="1" s="1"/>
  <c r="W89" i="1"/>
  <c r="W88" i="1"/>
  <c r="W87" i="1"/>
  <c r="W86" i="1"/>
  <c r="W85" i="1"/>
  <c r="W84" i="1"/>
  <c r="W82" i="1"/>
  <c r="W81" i="1"/>
  <c r="W80" i="1"/>
  <c r="W79" i="1"/>
  <c r="W78" i="1"/>
  <c r="W77" i="1"/>
  <c r="W76" i="1"/>
  <c r="W73" i="1"/>
  <c r="W72" i="1"/>
  <c r="W71" i="1"/>
  <c r="W70" i="1"/>
  <c r="W61" i="1"/>
  <c r="W60" i="1"/>
  <c r="W59" i="1"/>
  <c r="W58" i="1"/>
  <c r="W57" i="1"/>
  <c r="W56" i="1"/>
  <c r="W54" i="1"/>
  <c r="W53" i="1"/>
  <c r="W52" i="1"/>
  <c r="W51" i="1"/>
  <c r="W50" i="1"/>
  <c r="W49" i="1"/>
  <c r="W46" i="1"/>
  <c r="W45" i="1"/>
  <c r="W44" i="1"/>
  <c r="W43" i="1"/>
  <c r="W39" i="1"/>
  <c r="W38" i="1" s="1"/>
  <c r="W33" i="1"/>
  <c r="W32" i="1"/>
  <c r="W31" i="1"/>
  <c r="W30" i="1"/>
  <c r="W29" i="1"/>
  <c r="W22" i="1"/>
  <c r="W21" i="1"/>
  <c r="W20" i="1"/>
  <c r="W19" i="1"/>
  <c r="W16" i="1"/>
  <c r="W15" i="1"/>
  <c r="W14" i="1"/>
  <c r="J19" i="13"/>
  <c r="J25" i="20"/>
  <c r="M25" i="20" s="1"/>
  <c r="J24" i="20"/>
  <c r="M24" i="20" s="1"/>
  <c r="J23" i="20"/>
  <c r="M23" i="20" s="1"/>
  <c r="M22" i="20"/>
  <c r="M21" i="20"/>
  <c r="H62" i="3" a="1"/>
  <c r="H60" i="3" a="1"/>
  <c r="H19" i="3" a="1"/>
  <c r="H22" i="3" a="1"/>
  <c r="J32" i="3" a="1"/>
  <c r="H31" i="3" a="1"/>
  <c r="I30" i="3" a="1"/>
  <c r="H58" i="3" a="1"/>
  <c r="L29" i="3" a="1"/>
  <c r="H21" i="3" a="1"/>
  <c r="H35" i="3" a="1"/>
  <c r="H29" i="3" a="1"/>
  <c r="H20" i="3" a="1"/>
  <c r="H42" i="3" a="1"/>
  <c r="L30" i="3" a="1"/>
  <c r="H21" i="3" l="1"/>
  <c r="I26" i="1" s="1"/>
  <c r="H58" i="3"/>
  <c r="I63" i="1" s="1"/>
  <c r="H20" i="3"/>
  <c r="I25" i="1" s="1"/>
  <c r="H19" i="3"/>
  <c r="I24" i="1" s="1"/>
  <c r="H60" i="3"/>
  <c r="I65" i="1" s="1"/>
  <c r="H42" i="3"/>
  <c r="I47" i="1" s="1"/>
  <c r="H22" i="3"/>
  <c r="I27" i="1" s="1"/>
  <c r="H62" i="3"/>
  <c r="I67" i="1" s="1"/>
  <c r="H31" i="3"/>
  <c r="I36" i="1" s="1"/>
  <c r="J32" i="3"/>
  <c r="R32" i="3" s="1"/>
  <c r="S32" i="3" s="1"/>
  <c r="I30" i="3"/>
  <c r="K35" i="1" s="1"/>
  <c r="L30" i="3"/>
  <c r="M35" i="1"/>
  <c r="M34" i="1"/>
  <c r="H35" i="3"/>
  <c r="I40" i="1" s="1"/>
  <c r="L29" i="3"/>
  <c r="H29" i="3"/>
  <c r="I34" i="1" s="1"/>
  <c r="M94" i="1"/>
  <c r="O74" i="1"/>
  <c r="R74" i="1" s="1"/>
  <c r="O71" i="1"/>
  <c r="R71" i="1" s="1"/>
  <c r="O89" i="1"/>
  <c r="R89" i="1" s="1"/>
  <c r="O88" i="1"/>
  <c r="R88" i="1" s="1"/>
  <c r="O86" i="1"/>
  <c r="R86" i="1" s="1"/>
  <c r="O85" i="1"/>
  <c r="R85" i="1" s="1"/>
  <c r="O82" i="1"/>
  <c r="R82" i="1" s="1"/>
  <c r="O81" i="1"/>
  <c r="R81" i="1" s="1"/>
  <c r="O78" i="1"/>
  <c r="R78" i="1" s="1"/>
  <c r="O77" i="1"/>
  <c r="R77" i="1" s="1"/>
  <c r="O70" i="1"/>
  <c r="R70" i="1" s="1"/>
  <c r="O67" i="1"/>
  <c r="R67" i="1" s="1"/>
  <c r="O66" i="1"/>
  <c r="R66" i="1" s="1"/>
  <c r="O64" i="1"/>
  <c r="R64" i="1" s="1"/>
  <c r="O61" i="1"/>
  <c r="R61" i="1" s="1"/>
  <c r="O60" i="1"/>
  <c r="R60" i="1" s="1"/>
  <c r="O51" i="1"/>
  <c r="R51" i="1" s="1"/>
  <c r="O50" i="1"/>
  <c r="R50" i="1" s="1"/>
  <c r="O49" i="1"/>
  <c r="R49" i="1" s="1"/>
  <c r="O47" i="1"/>
  <c r="R47" i="1" s="1"/>
  <c r="O44" i="1"/>
  <c r="R44" i="1" s="1"/>
  <c r="O43" i="1"/>
  <c r="R43" i="1" s="1"/>
  <c r="E6" i="65"/>
  <c r="E8" i="65"/>
  <c r="E6" i="62"/>
  <c r="M87" i="1"/>
  <c r="K63" i="1"/>
  <c r="M76" i="1"/>
  <c r="M79" i="1"/>
  <c r="M53" i="1"/>
  <c r="M63" i="1"/>
  <c r="M84" i="1"/>
  <c r="M52" i="1"/>
  <c r="M80" i="1"/>
  <c r="M45" i="1"/>
  <c r="K65" i="1"/>
  <c r="M65" i="1"/>
  <c r="W83" i="1"/>
  <c r="W75" i="1"/>
  <c r="W69" i="1"/>
  <c r="W28" i="1"/>
  <c r="W55" i="1"/>
  <c r="W18" i="1"/>
  <c r="W48" i="1"/>
  <c r="W13" i="1"/>
  <c r="W42" i="1"/>
  <c r="P17" i="12"/>
  <c r="R17" i="12" s="1"/>
  <c r="S17" i="12" s="1"/>
  <c r="S22" i="12"/>
  <c r="S23" i="12"/>
  <c r="S24" i="12"/>
  <c r="S25" i="12"/>
  <c r="R22" i="12"/>
  <c r="M19" i="20"/>
  <c r="M18" i="20"/>
  <c r="M17" i="20"/>
  <c r="N17" i="20" s="1"/>
  <c r="N18" i="20" s="1"/>
  <c r="N19" i="20" s="1"/>
  <c r="M20" i="20"/>
  <c r="H30" i="3" a="1"/>
  <c r="L32" i="3" a="1"/>
  <c r="H32" i="3" a="1"/>
  <c r="M37" i="1" l="1"/>
  <c r="H32" i="3"/>
  <c r="I37" i="1" s="1"/>
  <c r="L32" i="3"/>
  <c r="H30" i="3"/>
  <c r="I35" i="1" s="1"/>
  <c r="O94" i="1"/>
  <c r="R94" i="1" s="1"/>
  <c r="O35" i="1"/>
  <c r="R35" i="1" s="1"/>
  <c r="O31" i="1"/>
  <c r="R31" i="1" s="1"/>
  <c r="O32" i="1"/>
  <c r="R32" i="1" s="1"/>
  <c r="O33" i="1"/>
  <c r="R33" i="1" s="1"/>
  <c r="O34" i="1"/>
  <c r="R34" i="1" s="1"/>
  <c r="O36" i="1"/>
  <c r="R36" i="1" s="1"/>
  <c r="O29" i="1"/>
  <c r="R29" i="1" s="1"/>
  <c r="O30" i="1"/>
  <c r="R30" i="1" s="1"/>
  <c r="O27" i="1"/>
  <c r="R27" i="1" s="1"/>
  <c r="O26" i="1"/>
  <c r="R26" i="1" s="1"/>
  <c r="O25" i="1"/>
  <c r="R25" i="1" s="1"/>
  <c r="O24" i="1"/>
  <c r="R24" i="1" s="1"/>
  <c r="O23" i="1"/>
  <c r="R23" i="1" s="1"/>
  <c r="O87" i="1"/>
  <c r="R87" i="1" s="1"/>
  <c r="O84" i="1"/>
  <c r="R84" i="1" s="1"/>
  <c r="O80" i="1"/>
  <c r="R80" i="1" s="1"/>
  <c r="O79" i="1"/>
  <c r="R79" i="1" s="1"/>
  <c r="O76" i="1"/>
  <c r="R76" i="1" s="1"/>
  <c r="O65" i="1"/>
  <c r="R65" i="1" s="1"/>
  <c r="O63" i="1"/>
  <c r="R63" i="1" s="1"/>
  <c r="O53" i="1"/>
  <c r="R53" i="1" s="1"/>
  <c r="O52" i="1"/>
  <c r="R52" i="1" s="1"/>
  <c r="O45" i="1"/>
  <c r="R45" i="1" s="1"/>
  <c r="W68" i="1"/>
  <c r="W62" i="1" s="1"/>
  <c r="W41" i="1"/>
  <c r="W17" i="1"/>
  <c r="O37" i="1" l="1"/>
  <c r="R37" i="1" s="1"/>
  <c r="G1" i="3"/>
  <c r="A14" i="6" l="1"/>
  <c r="A15" i="6"/>
  <c r="A16" i="6"/>
  <c r="N17" i="10" l="1"/>
  <c r="L19" i="54" l="1"/>
  <c r="L18" i="54"/>
  <c r="J18" i="54"/>
  <c r="R19" i="53"/>
  <c r="M19" i="53"/>
  <c r="L19" i="53"/>
  <c r="K19" i="52" l="1"/>
  <c r="R23" i="51"/>
  <c r="O23" i="51"/>
  <c r="M23" i="51"/>
  <c r="L19" i="49"/>
  <c r="K19" i="49"/>
  <c r="J19" i="49"/>
  <c r="L19" i="48"/>
  <c r="K19" i="48"/>
  <c r="O19" i="47"/>
  <c r="J19" i="47"/>
  <c r="L19" i="46"/>
  <c r="N17" i="41"/>
  <c r="M18" i="53"/>
  <c r="L18" i="53"/>
  <c r="K18" i="53"/>
  <c r="P18" i="52"/>
  <c r="K18" i="52"/>
  <c r="K17" i="52"/>
  <c r="R21" i="51" l="1"/>
  <c r="R20" i="51"/>
  <c r="R22" i="51"/>
  <c r="O22" i="51"/>
  <c r="M22" i="51"/>
  <c r="M19" i="51"/>
  <c r="N21" i="51"/>
  <c r="N20" i="51"/>
  <c r="L18" i="50"/>
  <c r="K18" i="50"/>
  <c r="J18" i="50"/>
  <c r="L18" i="49"/>
  <c r="K18" i="49"/>
  <c r="J18" i="49"/>
  <c r="L18" i="48"/>
  <c r="K18" i="48"/>
  <c r="O18" i="47"/>
  <c r="J18" i="47"/>
  <c r="L18" i="45"/>
  <c r="N18" i="44"/>
  <c r="J18" i="44"/>
  <c r="N18" i="43"/>
  <c r="J18" i="43"/>
  <c r="L21" i="39"/>
  <c r="J21" i="39"/>
  <c r="L19" i="39"/>
  <c r="R18" i="38"/>
  <c r="O18" i="38"/>
  <c r="M18" i="38"/>
  <c r="M18" i="37"/>
  <c r="K17" i="53"/>
  <c r="L17" i="53"/>
  <c r="M17" i="53"/>
  <c r="R19" i="51" l="1"/>
  <c r="O19" i="51"/>
  <c r="R18" i="51"/>
  <c r="N18" i="51"/>
  <c r="R17" i="51"/>
  <c r="N17" i="51"/>
  <c r="L17" i="50"/>
  <c r="K17" i="50"/>
  <c r="J17" i="50"/>
  <c r="L17" i="49"/>
  <c r="K17" i="49"/>
  <c r="J17" i="49"/>
  <c r="L17" i="48"/>
  <c r="K17" i="48"/>
  <c r="O17" i="47"/>
  <c r="J17" i="47"/>
  <c r="L17" i="45"/>
  <c r="N17" i="44"/>
  <c r="J17" i="44"/>
  <c r="N17" i="43"/>
  <c r="J17" i="43"/>
  <c r="L18" i="39"/>
  <c r="L17" i="39"/>
  <c r="R17" i="38"/>
  <c r="O17" i="38"/>
  <c r="R19" i="22"/>
  <c r="R18" i="22"/>
  <c r="R17" i="22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2" i="22"/>
  <c r="Q21" i="22"/>
  <c r="Q20" i="22"/>
  <c r="M17" i="38"/>
  <c r="J17" i="8"/>
  <c r="J17" i="7"/>
  <c r="O19" i="22"/>
  <c r="O18" i="22"/>
  <c r="O17" i="22"/>
  <c r="R20" i="22"/>
  <c r="S20" i="22"/>
  <c r="R21" i="22"/>
  <c r="S21" i="22"/>
  <c r="R22" i="22"/>
  <c r="S22" i="22"/>
  <c r="R23" i="22"/>
  <c r="S23" i="22"/>
  <c r="R24" i="22"/>
  <c r="S24" i="22"/>
  <c r="R25" i="22"/>
  <c r="S25" i="22"/>
  <c r="R26" i="22"/>
  <c r="S26" i="22"/>
  <c r="R27" i="22"/>
  <c r="S27" i="22"/>
  <c r="R28" i="22"/>
  <c r="S28" i="22"/>
  <c r="R29" i="22"/>
  <c r="S29" i="22"/>
  <c r="R30" i="22"/>
  <c r="S30" i="22"/>
  <c r="R31" i="22"/>
  <c r="S31" i="22"/>
  <c r="R32" i="22"/>
  <c r="S32" i="22"/>
  <c r="R33" i="22"/>
  <c r="S33" i="22"/>
  <c r="R34" i="22"/>
  <c r="S34" i="22"/>
  <c r="R35" i="22"/>
  <c r="S35" i="22"/>
  <c r="R36" i="22"/>
  <c r="S36" i="22"/>
  <c r="R37" i="22"/>
  <c r="S37" i="22"/>
  <c r="R38" i="22"/>
  <c r="S38" i="22"/>
  <c r="R39" i="22"/>
  <c r="S39" i="22"/>
  <c r="R40" i="22"/>
  <c r="S40" i="22"/>
  <c r="R41" i="22"/>
  <c r="S41" i="22"/>
  <c r="R42" i="22"/>
  <c r="S42" i="22"/>
  <c r="R43" i="22"/>
  <c r="S43" i="22"/>
  <c r="R44" i="22"/>
  <c r="S44" i="22"/>
  <c r="R45" i="22"/>
  <c r="S45" i="22"/>
  <c r="R18" i="36"/>
  <c r="S19" i="36"/>
  <c r="S20" i="36"/>
  <c r="S21" i="36"/>
  <c r="S22" i="36"/>
  <c r="S23" i="36"/>
  <c r="S24" i="36"/>
  <c r="S25" i="36"/>
  <c r="S26" i="36"/>
  <c r="S27" i="36"/>
  <c r="S28" i="36"/>
  <c r="S29" i="36"/>
  <c r="S30" i="36"/>
  <c r="S31" i="36"/>
  <c r="S32" i="36"/>
  <c r="S33" i="36"/>
  <c r="S34" i="36"/>
  <c r="S35" i="36"/>
  <c r="S36" i="36"/>
  <c r="S37" i="36"/>
  <c r="S38" i="36"/>
  <c r="S39" i="36"/>
  <c r="S40" i="36"/>
  <c r="S41" i="36"/>
  <c r="S42" i="36"/>
  <c r="S43" i="36"/>
  <c r="S44" i="36"/>
  <c r="S45" i="36"/>
  <c r="S46" i="36"/>
  <c r="S47" i="36"/>
  <c r="S48" i="36"/>
  <c r="S49" i="36"/>
  <c r="S50" i="36"/>
  <c r="S18" i="36"/>
  <c r="R30" i="36"/>
  <c r="R17" i="36"/>
  <c r="R22" i="36"/>
  <c r="R21" i="36"/>
  <c r="R20" i="36"/>
  <c r="R19" i="36"/>
  <c r="P18" i="35" l="1"/>
  <c r="P17" i="35"/>
  <c r="R23" i="34"/>
  <c r="M23" i="34"/>
  <c r="N21" i="34" l="1"/>
  <c r="R21" i="34" s="1"/>
  <c r="N20" i="34"/>
  <c r="R20" i="34" s="1"/>
  <c r="AB18" i="34"/>
  <c r="AB17" i="34"/>
  <c r="N18" i="34"/>
  <c r="R18" i="34" s="1"/>
  <c r="N17" i="34"/>
  <c r="R17" i="34" s="1"/>
  <c r="J18" i="30"/>
  <c r="O18" i="30" s="1"/>
  <c r="N18" i="27"/>
  <c r="M17" i="29"/>
  <c r="M18" i="29" s="1"/>
  <c r="L18" i="28"/>
  <c r="N17" i="27"/>
  <c r="N18" i="26"/>
  <c r="N17" i="26"/>
  <c r="O17" i="26" s="1"/>
  <c r="L19" i="23"/>
  <c r="L18" i="23"/>
  <c r="C1" i="3"/>
  <c r="B26" i="6" l="1"/>
  <c r="B21" i="6"/>
  <c r="M36" i="54"/>
  <c r="L36" i="54"/>
  <c r="M35" i="54"/>
  <c r="L35" i="54"/>
  <c r="M34" i="54"/>
  <c r="L34" i="54"/>
  <c r="M33" i="54"/>
  <c r="L33" i="54"/>
  <c r="M32" i="54"/>
  <c r="L32" i="54"/>
  <c r="M31" i="54"/>
  <c r="L31" i="54"/>
  <c r="M30" i="54"/>
  <c r="L30" i="54"/>
  <c r="M29" i="54"/>
  <c r="L29" i="54"/>
  <c r="M28" i="54"/>
  <c r="L28" i="54"/>
  <c r="M27" i="54"/>
  <c r="L27" i="54"/>
  <c r="M26" i="54"/>
  <c r="L26" i="54"/>
  <c r="L25" i="54"/>
  <c r="L24" i="54"/>
  <c r="L23" i="54"/>
  <c r="L22" i="54"/>
  <c r="L21" i="54"/>
  <c r="L20" i="54"/>
  <c r="M18" i="54"/>
  <c r="M19" i="54" s="1"/>
  <c r="M20" i="54" s="1"/>
  <c r="M21" i="54" s="1"/>
  <c r="M22" i="54" s="1"/>
  <c r="M23" i="54" s="1"/>
  <c r="V17" i="54"/>
  <c r="L17" i="54"/>
  <c r="M17" i="54" s="1"/>
  <c r="E9" i="54"/>
  <c r="E5" i="54"/>
  <c r="S50" i="53"/>
  <c r="R50" i="53"/>
  <c r="S49" i="53"/>
  <c r="R49" i="53"/>
  <c r="S48" i="53"/>
  <c r="R48" i="53"/>
  <c r="S47" i="53"/>
  <c r="R47" i="53"/>
  <c r="S46" i="53"/>
  <c r="R46" i="53"/>
  <c r="S45" i="53"/>
  <c r="R45" i="53"/>
  <c r="S44" i="53"/>
  <c r="R44" i="53"/>
  <c r="S43" i="53"/>
  <c r="R43" i="53"/>
  <c r="S42" i="53"/>
  <c r="R42" i="53"/>
  <c r="S41" i="53"/>
  <c r="R41" i="53"/>
  <c r="S40" i="53"/>
  <c r="R40" i="53"/>
  <c r="S39" i="53"/>
  <c r="R39" i="53"/>
  <c r="S38" i="53"/>
  <c r="R38" i="53"/>
  <c r="S37" i="53"/>
  <c r="R37" i="53"/>
  <c r="S36" i="53"/>
  <c r="R36" i="53"/>
  <c r="S35" i="53"/>
  <c r="R35" i="53"/>
  <c r="S34" i="53"/>
  <c r="R34" i="53"/>
  <c r="S33" i="53"/>
  <c r="R33" i="53"/>
  <c r="S32" i="53"/>
  <c r="R32" i="53"/>
  <c r="S31" i="53"/>
  <c r="R31" i="53"/>
  <c r="S30" i="53"/>
  <c r="R30" i="53"/>
  <c r="S29" i="53"/>
  <c r="R29" i="53"/>
  <c r="S28" i="53"/>
  <c r="R28" i="53"/>
  <c r="S27" i="53"/>
  <c r="R27" i="53"/>
  <c r="S26" i="53"/>
  <c r="R26" i="53"/>
  <c r="S25" i="53"/>
  <c r="R25" i="53"/>
  <c r="S24" i="53"/>
  <c r="R24" i="53"/>
  <c r="S23" i="53"/>
  <c r="R23" i="53"/>
  <c r="AB22" i="53"/>
  <c r="S22" i="53"/>
  <c r="R22" i="53"/>
  <c r="AB21" i="53"/>
  <c r="S21" i="53"/>
  <c r="R21" i="53"/>
  <c r="AB20" i="53"/>
  <c r="S20" i="53"/>
  <c r="R20" i="53"/>
  <c r="AB19" i="53"/>
  <c r="S19" i="53"/>
  <c r="AB18" i="53"/>
  <c r="S18" i="53"/>
  <c r="R18" i="53"/>
  <c r="AB17" i="53"/>
  <c r="R17" i="53"/>
  <c r="S17" i="53" s="1"/>
  <c r="E9" i="53"/>
  <c r="E5" i="53"/>
  <c r="E8" i="53" s="1"/>
  <c r="Q45" i="52"/>
  <c r="P45" i="52"/>
  <c r="Q44" i="52"/>
  <c r="P44" i="52"/>
  <c r="Q43" i="52"/>
  <c r="P43" i="52"/>
  <c r="Q42" i="52"/>
  <c r="P42" i="52"/>
  <c r="Q41" i="52"/>
  <c r="P41" i="52"/>
  <c r="Q40" i="52"/>
  <c r="P40" i="52"/>
  <c r="Q39" i="52"/>
  <c r="P39" i="52"/>
  <c r="Q38" i="52"/>
  <c r="P38" i="52"/>
  <c r="Q37" i="52"/>
  <c r="P37" i="52"/>
  <c r="Q36" i="52"/>
  <c r="P36" i="52"/>
  <c r="Q35" i="52"/>
  <c r="P35" i="52"/>
  <c r="Q34" i="52"/>
  <c r="P34" i="52"/>
  <c r="Q33" i="52"/>
  <c r="P33" i="52"/>
  <c r="Q32" i="52"/>
  <c r="P32" i="52"/>
  <c r="Q31" i="52"/>
  <c r="P31" i="52"/>
  <c r="Q30" i="52"/>
  <c r="P30" i="52"/>
  <c r="Q29" i="52"/>
  <c r="P29" i="52"/>
  <c r="Q28" i="52"/>
  <c r="P28" i="52"/>
  <c r="Q27" i="52"/>
  <c r="P27" i="52"/>
  <c r="Q26" i="52"/>
  <c r="P26" i="52"/>
  <c r="Q25" i="52"/>
  <c r="P25" i="52"/>
  <c r="Q24" i="52"/>
  <c r="P24" i="52"/>
  <c r="Q23" i="52"/>
  <c r="P23" i="52"/>
  <c r="Z22" i="52"/>
  <c r="Q22" i="52"/>
  <c r="P22" i="52"/>
  <c r="Z21" i="52"/>
  <c r="Q21" i="52"/>
  <c r="P21" i="52"/>
  <c r="Z20" i="52"/>
  <c r="Q20" i="52"/>
  <c r="P20" i="52"/>
  <c r="Z19" i="52"/>
  <c r="Q19" i="52"/>
  <c r="P19" i="52"/>
  <c r="Z18" i="52"/>
  <c r="Z17" i="52"/>
  <c r="P17" i="52"/>
  <c r="Q17" i="52" s="1"/>
  <c r="Q18" i="52" s="1"/>
  <c r="S47" i="51"/>
  <c r="R47" i="51"/>
  <c r="S46" i="51"/>
  <c r="R46" i="51"/>
  <c r="S45" i="51"/>
  <c r="R45" i="51"/>
  <c r="S44" i="51"/>
  <c r="R44" i="51"/>
  <c r="S43" i="51"/>
  <c r="R43" i="51"/>
  <c r="S42" i="51"/>
  <c r="R42" i="51"/>
  <c r="S41" i="51"/>
  <c r="R41" i="51"/>
  <c r="S40" i="51"/>
  <c r="R40" i="51"/>
  <c r="S39" i="51"/>
  <c r="R39" i="51"/>
  <c r="S38" i="51"/>
  <c r="R38" i="51"/>
  <c r="S37" i="51"/>
  <c r="R37" i="51"/>
  <c r="S36" i="51"/>
  <c r="R36" i="51"/>
  <c r="S35" i="51"/>
  <c r="R35" i="51"/>
  <c r="S34" i="51"/>
  <c r="R34" i="51"/>
  <c r="S33" i="51"/>
  <c r="R33" i="51"/>
  <c r="S32" i="51"/>
  <c r="R32" i="51"/>
  <c r="S31" i="51"/>
  <c r="R31" i="51"/>
  <c r="S30" i="51"/>
  <c r="R30" i="51"/>
  <c r="S29" i="51"/>
  <c r="R29" i="51"/>
  <c r="S28" i="51"/>
  <c r="R28" i="51"/>
  <c r="S27" i="51"/>
  <c r="R27" i="51"/>
  <c r="S26" i="51"/>
  <c r="R26" i="51"/>
  <c r="S25" i="51"/>
  <c r="R25" i="51"/>
  <c r="S24" i="51"/>
  <c r="R24" i="51"/>
  <c r="S23" i="51"/>
  <c r="AB22" i="51"/>
  <c r="AB21" i="51"/>
  <c r="AB20" i="51"/>
  <c r="AB19" i="51"/>
  <c r="AB18" i="51"/>
  <c r="AB17" i="51"/>
  <c r="S17" i="51"/>
  <c r="S18" i="51" s="1"/>
  <c r="S19" i="51" s="1"/>
  <c r="S20" i="51" s="1"/>
  <c r="S21" i="51" s="1"/>
  <c r="S22" i="51" s="1"/>
  <c r="E9" i="51"/>
  <c r="L8" i="51"/>
  <c r="L7" i="51"/>
  <c r="L6" i="51"/>
  <c r="L5" i="51"/>
  <c r="E5" i="51"/>
  <c r="L4" i="51"/>
  <c r="W17" i="50"/>
  <c r="N39" i="50"/>
  <c r="M39" i="50"/>
  <c r="N38" i="50"/>
  <c r="M38" i="50"/>
  <c r="N37" i="50"/>
  <c r="M37" i="50"/>
  <c r="N36" i="50"/>
  <c r="M36" i="50"/>
  <c r="N35" i="50"/>
  <c r="M35" i="50"/>
  <c r="N34" i="50"/>
  <c r="M34" i="50"/>
  <c r="N33" i="50"/>
  <c r="M33" i="50"/>
  <c r="N32" i="50"/>
  <c r="M32" i="50"/>
  <c r="N31" i="50"/>
  <c r="M31" i="50"/>
  <c r="N30" i="50"/>
  <c r="M30" i="50"/>
  <c r="N29" i="50"/>
  <c r="M29" i="50"/>
  <c r="N28" i="50"/>
  <c r="M28" i="50"/>
  <c r="N27" i="50"/>
  <c r="M27" i="50"/>
  <c r="N26" i="50"/>
  <c r="M26" i="50"/>
  <c r="N25" i="50"/>
  <c r="M25" i="50"/>
  <c r="N24" i="50"/>
  <c r="M24" i="50"/>
  <c r="N23" i="50"/>
  <c r="M23" i="50"/>
  <c r="W23" i="50"/>
  <c r="N22" i="50"/>
  <c r="M22" i="50"/>
  <c r="W22" i="50"/>
  <c r="N21" i="50"/>
  <c r="M21" i="50"/>
  <c r="W21" i="50"/>
  <c r="N20" i="50"/>
  <c r="M20" i="50"/>
  <c r="W20" i="50"/>
  <c r="N19" i="50"/>
  <c r="M19" i="50"/>
  <c r="W19" i="50"/>
  <c r="N18" i="50"/>
  <c r="M18" i="50"/>
  <c r="W18" i="50"/>
  <c r="M17" i="50"/>
  <c r="N17" i="50" s="1"/>
  <c r="E9" i="50"/>
  <c r="J6" i="50"/>
  <c r="E5" i="50"/>
  <c r="W17" i="49"/>
  <c r="W17" i="48"/>
  <c r="N39" i="49"/>
  <c r="M39" i="49"/>
  <c r="N38" i="49"/>
  <c r="M38" i="49"/>
  <c r="N37" i="49"/>
  <c r="M37" i="49"/>
  <c r="N36" i="49"/>
  <c r="M36" i="49"/>
  <c r="N35" i="49"/>
  <c r="M35" i="49"/>
  <c r="N34" i="49"/>
  <c r="M34" i="49"/>
  <c r="N33" i="49"/>
  <c r="M33" i="49"/>
  <c r="N32" i="49"/>
  <c r="M32" i="49"/>
  <c r="N31" i="49"/>
  <c r="M31" i="49"/>
  <c r="N30" i="49"/>
  <c r="M30" i="49"/>
  <c r="N29" i="49"/>
  <c r="M29" i="49"/>
  <c r="N28" i="49"/>
  <c r="M28" i="49"/>
  <c r="N27" i="49"/>
  <c r="M27" i="49"/>
  <c r="N26" i="49"/>
  <c r="M26" i="49"/>
  <c r="N25" i="49"/>
  <c r="M25" i="49"/>
  <c r="N24" i="49"/>
  <c r="M24" i="49"/>
  <c r="N23" i="49"/>
  <c r="M23" i="49"/>
  <c r="W23" i="49"/>
  <c r="N22" i="49"/>
  <c r="M22" i="49"/>
  <c r="W22" i="49"/>
  <c r="N21" i="49"/>
  <c r="M21" i="49"/>
  <c r="W21" i="49"/>
  <c r="N20" i="49"/>
  <c r="M20" i="49"/>
  <c r="W20" i="49"/>
  <c r="N19" i="49"/>
  <c r="M19" i="49"/>
  <c r="W19" i="49"/>
  <c r="N18" i="49"/>
  <c r="M18" i="49"/>
  <c r="W18" i="49"/>
  <c r="M17" i="49"/>
  <c r="N17" i="49" s="1"/>
  <c r="E9" i="49"/>
  <c r="J6" i="49"/>
  <c r="E5" i="49"/>
  <c r="W19" i="48"/>
  <c r="W20" i="48"/>
  <c r="W21" i="48"/>
  <c r="W22" i="48"/>
  <c r="W23" i="48"/>
  <c r="N39" i="48"/>
  <c r="M39" i="48"/>
  <c r="N38" i="48"/>
  <c r="M38" i="48"/>
  <c r="N37" i="48"/>
  <c r="M37" i="48"/>
  <c r="N36" i="48"/>
  <c r="M36" i="48"/>
  <c r="N35" i="48"/>
  <c r="M35" i="48"/>
  <c r="N34" i="48"/>
  <c r="M34" i="48"/>
  <c r="N33" i="48"/>
  <c r="M33" i="48"/>
  <c r="N32" i="48"/>
  <c r="M32" i="48"/>
  <c r="N31" i="48"/>
  <c r="M31" i="48"/>
  <c r="N30" i="48"/>
  <c r="M30" i="48"/>
  <c r="N29" i="48"/>
  <c r="M29" i="48"/>
  <c r="N28" i="48"/>
  <c r="M28" i="48"/>
  <c r="N27" i="48"/>
  <c r="M27" i="48"/>
  <c r="N26" i="48"/>
  <c r="M26" i="48"/>
  <c r="N25" i="48"/>
  <c r="M25" i="48"/>
  <c r="N24" i="48"/>
  <c r="M24" i="48"/>
  <c r="N23" i="48"/>
  <c r="M23" i="48"/>
  <c r="N22" i="48"/>
  <c r="M22" i="48"/>
  <c r="N21" i="48"/>
  <c r="M21" i="48"/>
  <c r="N20" i="48"/>
  <c r="M20" i="48"/>
  <c r="N19" i="48"/>
  <c r="M19" i="48"/>
  <c r="N18" i="48"/>
  <c r="M18" i="48"/>
  <c r="W18" i="48"/>
  <c r="M17" i="48"/>
  <c r="N17" i="48" s="1"/>
  <c r="E9" i="48"/>
  <c r="E5" i="48"/>
  <c r="Y18" i="47"/>
  <c r="Y19" i="47"/>
  <c r="Y20" i="47"/>
  <c r="Y21" i="47"/>
  <c r="Y22" i="47"/>
  <c r="Y23" i="47"/>
  <c r="V18" i="46"/>
  <c r="V19" i="46"/>
  <c r="V20" i="46"/>
  <c r="V21" i="46"/>
  <c r="V22" i="46"/>
  <c r="V23" i="46"/>
  <c r="V18" i="45"/>
  <c r="V19" i="45"/>
  <c r="V20" i="45"/>
  <c r="V21" i="45"/>
  <c r="V22" i="45"/>
  <c r="V23" i="45"/>
  <c r="X23" i="44"/>
  <c r="X23" i="43"/>
  <c r="V18" i="42"/>
  <c r="V19" i="42"/>
  <c r="V20" i="42"/>
  <c r="V21" i="42"/>
  <c r="V22" i="42"/>
  <c r="V23" i="42"/>
  <c r="P41" i="47"/>
  <c r="O41" i="47"/>
  <c r="P40" i="47"/>
  <c r="O40" i="47"/>
  <c r="P39" i="47"/>
  <c r="O39" i="47"/>
  <c r="P38" i="47"/>
  <c r="O38" i="47"/>
  <c r="P37" i="47"/>
  <c r="O37" i="47"/>
  <c r="P36" i="47"/>
  <c r="O36" i="47"/>
  <c r="P35" i="47"/>
  <c r="O35" i="47"/>
  <c r="P34" i="47"/>
  <c r="O34" i="47"/>
  <c r="P33" i="47"/>
  <c r="O33" i="47"/>
  <c r="P32" i="47"/>
  <c r="O32" i="47"/>
  <c r="P31" i="47"/>
  <c r="O31" i="47"/>
  <c r="P30" i="47"/>
  <c r="O30" i="47"/>
  <c r="P29" i="47"/>
  <c r="O29" i="47"/>
  <c r="P28" i="47"/>
  <c r="O28" i="47"/>
  <c r="P27" i="47"/>
  <c r="O27" i="47"/>
  <c r="P26" i="47"/>
  <c r="O26" i="47"/>
  <c r="P25" i="47"/>
  <c r="O25" i="47"/>
  <c r="P24" i="47"/>
  <c r="O24" i="47"/>
  <c r="P23" i="47"/>
  <c r="O23" i="47"/>
  <c r="P22" i="47"/>
  <c r="O22" i="47"/>
  <c r="P21" i="47"/>
  <c r="O21" i="47"/>
  <c r="P20" i="47"/>
  <c r="O20" i="47"/>
  <c r="P19" i="47"/>
  <c r="P18" i="47"/>
  <c r="Y17" i="47"/>
  <c r="P17" i="47"/>
  <c r="E9" i="47"/>
  <c r="E5" i="47"/>
  <c r="M36" i="46"/>
  <c r="L36" i="46"/>
  <c r="M35" i="46"/>
  <c r="L35" i="46"/>
  <c r="M34" i="46"/>
  <c r="L34" i="46"/>
  <c r="M33" i="46"/>
  <c r="L33" i="46"/>
  <c r="M32" i="46"/>
  <c r="L32" i="46"/>
  <c r="M31" i="46"/>
  <c r="L31" i="46"/>
  <c r="M30" i="46"/>
  <c r="L30" i="46"/>
  <c r="M29" i="46"/>
  <c r="L29" i="46"/>
  <c r="M28" i="46"/>
  <c r="L28" i="46"/>
  <c r="M27" i="46"/>
  <c r="L27" i="46"/>
  <c r="M26" i="46"/>
  <c r="L26" i="46"/>
  <c r="M25" i="46"/>
  <c r="L25" i="46"/>
  <c r="M24" i="46"/>
  <c r="L24" i="46"/>
  <c r="M23" i="46"/>
  <c r="L23" i="46"/>
  <c r="M22" i="46"/>
  <c r="L22" i="46"/>
  <c r="M21" i="46"/>
  <c r="L21" i="46"/>
  <c r="M20" i="46"/>
  <c r="L20" i="46"/>
  <c r="M19" i="46"/>
  <c r="M18" i="46"/>
  <c r="V17" i="46"/>
  <c r="M17" i="46"/>
  <c r="E9" i="46"/>
  <c r="E5" i="46"/>
  <c r="E8" i="46" s="1"/>
  <c r="M36" i="45"/>
  <c r="L36" i="45"/>
  <c r="M35" i="45"/>
  <c r="L35" i="45"/>
  <c r="M34" i="45"/>
  <c r="L34" i="45"/>
  <c r="M33" i="45"/>
  <c r="L33" i="45"/>
  <c r="M32" i="45"/>
  <c r="L32" i="45"/>
  <c r="M31" i="45"/>
  <c r="L31" i="45"/>
  <c r="M30" i="45"/>
  <c r="L30" i="45"/>
  <c r="M29" i="45"/>
  <c r="L29" i="45"/>
  <c r="M28" i="45"/>
  <c r="L28" i="45"/>
  <c r="M27" i="45"/>
  <c r="L27" i="45"/>
  <c r="M26" i="45"/>
  <c r="L26" i="45"/>
  <c r="M25" i="45"/>
  <c r="L25" i="45"/>
  <c r="M24" i="45"/>
  <c r="L24" i="45"/>
  <c r="M23" i="45"/>
  <c r="L23" i="45"/>
  <c r="M22" i="45"/>
  <c r="L22" i="45"/>
  <c r="M21" i="45"/>
  <c r="L21" i="45"/>
  <c r="M20" i="45"/>
  <c r="L20" i="45"/>
  <c r="M19" i="45"/>
  <c r="L19" i="45"/>
  <c r="M18" i="45"/>
  <c r="V17" i="45"/>
  <c r="M17" i="45"/>
  <c r="E9" i="45"/>
  <c r="E5" i="45"/>
  <c r="O39" i="44"/>
  <c r="N39" i="44"/>
  <c r="O38" i="44"/>
  <c r="N38" i="44"/>
  <c r="O37" i="44"/>
  <c r="N37" i="44"/>
  <c r="O36" i="44"/>
  <c r="N36" i="44"/>
  <c r="O35" i="44"/>
  <c r="N35" i="44"/>
  <c r="O34" i="44"/>
  <c r="N34" i="44"/>
  <c r="O33" i="44"/>
  <c r="N33" i="44"/>
  <c r="O32" i="44"/>
  <c r="N32" i="44"/>
  <c r="O31" i="44"/>
  <c r="N31" i="44"/>
  <c r="O30" i="44"/>
  <c r="N30" i="44"/>
  <c r="O29" i="44"/>
  <c r="N29" i="44"/>
  <c r="O28" i="44"/>
  <c r="N28" i="44"/>
  <c r="O27" i="44"/>
  <c r="N27" i="44"/>
  <c r="O26" i="44"/>
  <c r="N26" i="44"/>
  <c r="O25" i="44"/>
  <c r="N25" i="44"/>
  <c r="O24" i="44"/>
  <c r="N24" i="44"/>
  <c r="O23" i="44"/>
  <c r="N23" i="44"/>
  <c r="X22" i="44"/>
  <c r="O22" i="44"/>
  <c r="N22" i="44"/>
  <c r="X21" i="44"/>
  <c r="O21" i="44"/>
  <c r="N21" i="44"/>
  <c r="X20" i="44"/>
  <c r="O20" i="44"/>
  <c r="N20" i="44"/>
  <c r="X19" i="44"/>
  <c r="O19" i="44"/>
  <c r="N19" i="44"/>
  <c r="X18" i="44"/>
  <c r="O18" i="44"/>
  <c r="X17" i="44"/>
  <c r="E9" i="44"/>
  <c r="E5" i="44"/>
  <c r="O39" i="43"/>
  <c r="N39" i="43"/>
  <c r="O38" i="43"/>
  <c r="N38" i="43"/>
  <c r="O37" i="43"/>
  <c r="N37" i="43"/>
  <c r="O36" i="43"/>
  <c r="N36" i="43"/>
  <c r="O35" i="43"/>
  <c r="N35" i="43"/>
  <c r="O34" i="43"/>
  <c r="N34" i="43"/>
  <c r="O33" i="43"/>
  <c r="N33" i="43"/>
  <c r="O32" i="43"/>
  <c r="N32" i="43"/>
  <c r="O31" i="43"/>
  <c r="N31" i="43"/>
  <c r="O30" i="43"/>
  <c r="N30" i="43"/>
  <c r="O29" i="43"/>
  <c r="N29" i="43"/>
  <c r="O28" i="43"/>
  <c r="N28" i="43"/>
  <c r="O27" i="43"/>
  <c r="N27" i="43"/>
  <c r="O26" i="43"/>
  <c r="N26" i="43"/>
  <c r="O25" i="43"/>
  <c r="N25" i="43"/>
  <c r="O24" i="43"/>
  <c r="N24" i="43"/>
  <c r="O23" i="43"/>
  <c r="N23" i="43"/>
  <c r="X22" i="43"/>
  <c r="O22" i="43"/>
  <c r="N22" i="43"/>
  <c r="X21" i="43"/>
  <c r="O21" i="43"/>
  <c r="N21" i="43"/>
  <c r="X20" i="43"/>
  <c r="O20" i="43"/>
  <c r="N20" i="43"/>
  <c r="X19" i="43"/>
  <c r="O19" i="43"/>
  <c r="N19" i="43"/>
  <c r="X18" i="43"/>
  <c r="O18" i="43"/>
  <c r="X17" i="43"/>
  <c r="O17" i="43"/>
  <c r="E9" i="43"/>
  <c r="E5" i="43"/>
  <c r="M36" i="42"/>
  <c r="L36" i="42"/>
  <c r="M35" i="42"/>
  <c r="L35" i="42"/>
  <c r="M34" i="42"/>
  <c r="L34" i="42"/>
  <c r="M33" i="42"/>
  <c r="L33" i="42"/>
  <c r="M32" i="42"/>
  <c r="L32" i="42"/>
  <c r="M31" i="42"/>
  <c r="L31" i="42"/>
  <c r="M30" i="42"/>
  <c r="L30" i="42"/>
  <c r="M29" i="42"/>
  <c r="L29" i="42"/>
  <c r="M28" i="42"/>
  <c r="L28" i="42"/>
  <c r="M27" i="42"/>
  <c r="L27" i="42"/>
  <c r="M26" i="42"/>
  <c r="L26" i="42"/>
  <c r="M25" i="42"/>
  <c r="L25" i="42"/>
  <c r="M24" i="42"/>
  <c r="L24" i="42"/>
  <c r="M23" i="42"/>
  <c r="L23" i="42"/>
  <c r="M22" i="42"/>
  <c r="L22" i="42"/>
  <c r="M21" i="42"/>
  <c r="L21" i="42"/>
  <c r="M20" i="42"/>
  <c r="L20" i="42"/>
  <c r="M19" i="42"/>
  <c r="L19" i="42"/>
  <c r="M18" i="42"/>
  <c r="V17" i="42"/>
  <c r="M17" i="42"/>
  <c r="E9" i="42"/>
  <c r="E5" i="42"/>
  <c r="X23" i="41"/>
  <c r="X22" i="41"/>
  <c r="X21" i="41"/>
  <c r="X20" i="41"/>
  <c r="X19" i="41"/>
  <c r="X18" i="41"/>
  <c r="O39" i="41"/>
  <c r="N39" i="41"/>
  <c r="O38" i="41"/>
  <c r="N38" i="41"/>
  <c r="O37" i="41"/>
  <c r="N37" i="41"/>
  <c r="O36" i="41"/>
  <c r="N36" i="41"/>
  <c r="O35" i="41"/>
  <c r="N35" i="41"/>
  <c r="O34" i="41"/>
  <c r="N34" i="41"/>
  <c r="O33" i="41"/>
  <c r="N33" i="41"/>
  <c r="O32" i="41"/>
  <c r="N32" i="41"/>
  <c r="O31" i="41"/>
  <c r="N31" i="41"/>
  <c r="O30" i="41"/>
  <c r="N30" i="41"/>
  <c r="O29" i="41"/>
  <c r="N29" i="41"/>
  <c r="O28" i="41"/>
  <c r="N28" i="41"/>
  <c r="O27" i="41"/>
  <c r="N27" i="41"/>
  <c r="O26" i="41"/>
  <c r="N26" i="41"/>
  <c r="O25" i="41"/>
  <c r="N25" i="41"/>
  <c r="O24" i="41"/>
  <c r="N24" i="41"/>
  <c r="O23" i="41"/>
  <c r="N23" i="41"/>
  <c r="O22" i="41"/>
  <c r="N22" i="41"/>
  <c r="O21" i="41"/>
  <c r="N21" i="41"/>
  <c r="O20" i="41"/>
  <c r="N20" i="41"/>
  <c r="O19" i="41"/>
  <c r="N19" i="41"/>
  <c r="O18" i="41"/>
  <c r="N18" i="41"/>
  <c r="X17" i="41"/>
  <c r="E9" i="41"/>
  <c r="E5" i="41"/>
  <c r="M36" i="40"/>
  <c r="L36" i="40"/>
  <c r="M35" i="40"/>
  <c r="L35" i="40"/>
  <c r="M34" i="40"/>
  <c r="L34" i="40"/>
  <c r="M33" i="40"/>
  <c r="L33" i="40"/>
  <c r="M32" i="40"/>
  <c r="L32" i="40"/>
  <c r="M31" i="40"/>
  <c r="L31" i="40"/>
  <c r="M30" i="40"/>
  <c r="L30" i="40"/>
  <c r="M29" i="40"/>
  <c r="L29" i="40"/>
  <c r="M28" i="40"/>
  <c r="L28" i="40"/>
  <c r="V20" i="40"/>
  <c r="V19" i="40"/>
  <c r="V18" i="40"/>
  <c r="V17" i="40"/>
  <c r="E9" i="40"/>
  <c r="E5" i="40"/>
  <c r="M36" i="39"/>
  <c r="L36" i="39"/>
  <c r="M35" i="39"/>
  <c r="L35" i="39"/>
  <c r="M34" i="39"/>
  <c r="L34" i="39"/>
  <c r="M33" i="39"/>
  <c r="L33" i="39"/>
  <c r="M32" i="39"/>
  <c r="L32" i="39"/>
  <c r="M31" i="39"/>
  <c r="L31" i="39"/>
  <c r="M30" i="39"/>
  <c r="L30" i="39"/>
  <c r="M29" i="39"/>
  <c r="L29" i="39"/>
  <c r="M28" i="39"/>
  <c r="L28" i="39"/>
  <c r="M27" i="39"/>
  <c r="L27" i="39"/>
  <c r="V20" i="39"/>
  <c r="V19" i="39"/>
  <c r="V18" i="39"/>
  <c r="V17" i="39"/>
  <c r="E9" i="39"/>
  <c r="E5" i="39"/>
  <c r="S45" i="38"/>
  <c r="R45" i="38"/>
  <c r="S44" i="38"/>
  <c r="R44" i="38"/>
  <c r="S43" i="38"/>
  <c r="R43" i="38"/>
  <c r="S42" i="38"/>
  <c r="R42" i="38"/>
  <c r="S41" i="38"/>
  <c r="R41" i="38"/>
  <c r="S40" i="38"/>
  <c r="R40" i="38"/>
  <c r="S39" i="38"/>
  <c r="R39" i="38"/>
  <c r="S38" i="38"/>
  <c r="R38" i="38"/>
  <c r="S37" i="38"/>
  <c r="R37" i="38"/>
  <c r="S36" i="38"/>
  <c r="R36" i="38"/>
  <c r="S35" i="38"/>
  <c r="R35" i="38"/>
  <c r="S34" i="38"/>
  <c r="R34" i="38"/>
  <c r="S33" i="38"/>
  <c r="R33" i="38"/>
  <c r="S32" i="38"/>
  <c r="R32" i="38"/>
  <c r="S31" i="38"/>
  <c r="R31" i="38"/>
  <c r="S30" i="38"/>
  <c r="R30" i="38"/>
  <c r="S29" i="38"/>
  <c r="R29" i="38"/>
  <c r="S28" i="38"/>
  <c r="R28" i="38"/>
  <c r="S27" i="38"/>
  <c r="R27" i="38"/>
  <c r="S26" i="38"/>
  <c r="R26" i="38"/>
  <c r="S25" i="38"/>
  <c r="R25" i="38"/>
  <c r="AB20" i="38"/>
  <c r="AB19" i="38"/>
  <c r="AB18" i="38"/>
  <c r="S18" i="38"/>
  <c r="AB17" i="38"/>
  <c r="S17" i="38"/>
  <c r="E9" i="38"/>
  <c r="E5" i="38"/>
  <c r="M36" i="37"/>
  <c r="L36" i="37"/>
  <c r="M35" i="37"/>
  <c r="L35" i="37"/>
  <c r="M34" i="37"/>
  <c r="L34" i="37"/>
  <c r="M33" i="37"/>
  <c r="L33" i="37"/>
  <c r="M32" i="37"/>
  <c r="L32" i="37"/>
  <c r="M31" i="37"/>
  <c r="L31" i="37"/>
  <c r="M30" i="37"/>
  <c r="L30" i="37"/>
  <c r="M29" i="37"/>
  <c r="L29" i="37"/>
  <c r="M28" i="37"/>
  <c r="L28" i="37"/>
  <c r="M27" i="37"/>
  <c r="L27" i="37"/>
  <c r="M26" i="37"/>
  <c r="L26" i="37"/>
  <c r="M25" i="37"/>
  <c r="L25" i="37"/>
  <c r="M24" i="37"/>
  <c r="L24" i="37"/>
  <c r="M23" i="37"/>
  <c r="L23" i="37"/>
  <c r="M22" i="37"/>
  <c r="L22" i="37"/>
  <c r="V20" i="37"/>
  <c r="V19" i="37"/>
  <c r="V18" i="37"/>
  <c r="V17" i="37"/>
  <c r="M17" i="37"/>
  <c r="R40" i="36"/>
  <c r="R39" i="36"/>
  <c r="R38" i="36"/>
  <c r="R37" i="36"/>
  <c r="R36" i="36"/>
  <c r="R35" i="36"/>
  <c r="R34" i="36"/>
  <c r="R33" i="36"/>
  <c r="R32" i="36"/>
  <c r="R31" i="36"/>
  <c r="R23" i="36"/>
  <c r="R24" i="36"/>
  <c r="R25" i="36"/>
  <c r="R26" i="36"/>
  <c r="R27" i="36"/>
  <c r="R28" i="36"/>
  <c r="R29" i="36"/>
  <c r="R41" i="36"/>
  <c r="R42" i="36"/>
  <c r="R43" i="36"/>
  <c r="R44" i="36"/>
  <c r="R45" i="36"/>
  <c r="R46" i="36"/>
  <c r="R47" i="36"/>
  <c r="R48" i="36"/>
  <c r="R49" i="36"/>
  <c r="R50" i="36"/>
  <c r="S17" i="36"/>
  <c r="AB22" i="36"/>
  <c r="AB21" i="36"/>
  <c r="AB20" i="36"/>
  <c r="AB19" i="36"/>
  <c r="AB18" i="36"/>
  <c r="AB17" i="36"/>
  <c r="E9" i="36"/>
  <c r="E5" i="36"/>
  <c r="Q19" i="35"/>
  <c r="Q20" i="35"/>
  <c r="Q21" i="35"/>
  <c r="Q22" i="35"/>
  <c r="Q23" i="35"/>
  <c r="Q24" i="35"/>
  <c r="Q25" i="35"/>
  <c r="Q26" i="35"/>
  <c r="Q27" i="35"/>
  <c r="Q28" i="35"/>
  <c r="Q29" i="35"/>
  <c r="Q30" i="35"/>
  <c r="Q31" i="35"/>
  <c r="Q32" i="35"/>
  <c r="Q33" i="35"/>
  <c r="Q34" i="35"/>
  <c r="Q35" i="35"/>
  <c r="Q36" i="35"/>
  <c r="Q37" i="35"/>
  <c r="Q38" i="35"/>
  <c r="Q39" i="35"/>
  <c r="Q40" i="35"/>
  <c r="Q41" i="35"/>
  <c r="Q42" i="35"/>
  <c r="Q43" i="35"/>
  <c r="Q44" i="35"/>
  <c r="Q45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31" i="35"/>
  <c r="P32" i="35"/>
  <c r="P33" i="35"/>
  <c r="P34" i="35"/>
  <c r="P35" i="35"/>
  <c r="P36" i="35"/>
  <c r="P37" i="35"/>
  <c r="P38" i="35"/>
  <c r="P39" i="35"/>
  <c r="P40" i="35"/>
  <c r="P41" i="35"/>
  <c r="P42" i="35"/>
  <c r="P43" i="35"/>
  <c r="P44" i="35"/>
  <c r="P45" i="35"/>
  <c r="Q17" i="35"/>
  <c r="Q18" i="35" s="1"/>
  <c r="Z23" i="35"/>
  <c r="Z22" i="35"/>
  <c r="Z21" i="35"/>
  <c r="Z20" i="35"/>
  <c r="Z19" i="35"/>
  <c r="Z18" i="35"/>
  <c r="Z17" i="35"/>
  <c r="E9" i="35"/>
  <c r="E5" i="35"/>
  <c r="S34" i="34"/>
  <c r="S35" i="34"/>
  <c r="S36" i="34"/>
  <c r="S37" i="34"/>
  <c r="S38" i="34"/>
  <c r="S39" i="34"/>
  <c r="S40" i="34"/>
  <c r="S41" i="34"/>
  <c r="S42" i="34"/>
  <c r="S43" i="34"/>
  <c r="S44" i="34"/>
  <c r="S45" i="34"/>
  <c r="S46" i="34"/>
  <c r="S47" i="34"/>
  <c r="R24" i="34"/>
  <c r="S24" i="34"/>
  <c r="R25" i="34"/>
  <c r="S25" i="34"/>
  <c r="R26" i="34"/>
  <c r="S26" i="34"/>
  <c r="R27" i="34"/>
  <c r="S27" i="34"/>
  <c r="R28" i="34"/>
  <c r="S28" i="34"/>
  <c r="R29" i="34"/>
  <c r="S29" i="34"/>
  <c r="R30" i="34"/>
  <c r="S30" i="34"/>
  <c r="R31" i="34"/>
  <c r="S31" i="34"/>
  <c r="R32" i="34"/>
  <c r="S32" i="34"/>
  <c r="R33" i="34"/>
  <c r="S33" i="34"/>
  <c r="R34" i="34"/>
  <c r="R35" i="34"/>
  <c r="R36" i="34"/>
  <c r="R37" i="34"/>
  <c r="R38" i="34"/>
  <c r="R39" i="34"/>
  <c r="R40" i="34"/>
  <c r="R41" i="34"/>
  <c r="R42" i="34"/>
  <c r="R43" i="34"/>
  <c r="R44" i="34"/>
  <c r="R45" i="34"/>
  <c r="R46" i="34"/>
  <c r="R47" i="34"/>
  <c r="S17" i="34"/>
  <c r="S18" i="34" s="1"/>
  <c r="L8" i="34"/>
  <c r="L7" i="34"/>
  <c r="L6" i="34"/>
  <c r="L5" i="34"/>
  <c r="L4" i="34"/>
  <c r="AB25" i="34"/>
  <c r="AB24" i="34"/>
  <c r="AB23" i="34"/>
  <c r="AB22" i="34"/>
  <c r="AB21" i="34"/>
  <c r="AB20" i="34"/>
  <c r="AB19" i="34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39" i="33"/>
  <c r="N39" i="33"/>
  <c r="N38" i="33"/>
  <c r="N37" i="33"/>
  <c r="N36" i="33"/>
  <c r="N35" i="33"/>
  <c r="N34" i="33"/>
  <c r="N33" i="33"/>
  <c r="N32" i="33"/>
  <c r="N31" i="33"/>
  <c r="N30" i="33"/>
  <c r="N29" i="33"/>
  <c r="N28" i="33"/>
  <c r="N27" i="33"/>
  <c r="N26" i="33"/>
  <c r="N25" i="33"/>
  <c r="N24" i="33"/>
  <c r="W23" i="33"/>
  <c r="N23" i="33"/>
  <c r="W22" i="33"/>
  <c r="N22" i="33"/>
  <c r="W21" i="33"/>
  <c r="N21" i="33"/>
  <c r="W20" i="33"/>
  <c r="N20" i="33"/>
  <c r="W19" i="33"/>
  <c r="W18" i="33"/>
  <c r="W17" i="33"/>
  <c r="M28" i="32"/>
  <c r="M27" i="32"/>
  <c r="M26" i="32"/>
  <c r="M25" i="32"/>
  <c r="M24" i="32"/>
  <c r="M23" i="32"/>
  <c r="M22" i="32"/>
  <c r="M21" i="32"/>
  <c r="M20" i="32"/>
  <c r="M19" i="32"/>
  <c r="M18" i="32"/>
  <c r="J6" i="32"/>
  <c r="N39" i="32"/>
  <c r="M39" i="32"/>
  <c r="N38" i="32"/>
  <c r="M38" i="32"/>
  <c r="N37" i="32"/>
  <c r="M37" i="32"/>
  <c r="N36" i="32"/>
  <c r="M36" i="32"/>
  <c r="N35" i="32"/>
  <c r="M35" i="32"/>
  <c r="N34" i="32"/>
  <c r="M34" i="32"/>
  <c r="N33" i="32"/>
  <c r="M33" i="32"/>
  <c r="N32" i="32"/>
  <c r="M32" i="32"/>
  <c r="N31" i="32"/>
  <c r="M31" i="32"/>
  <c r="N30" i="32"/>
  <c r="M30" i="32"/>
  <c r="N29" i="32"/>
  <c r="M29" i="32"/>
  <c r="N28" i="32"/>
  <c r="N27" i="32"/>
  <c r="N26" i="32"/>
  <c r="N25" i="32"/>
  <c r="N24" i="32"/>
  <c r="W23" i="32"/>
  <c r="N23" i="32"/>
  <c r="W22" i="32"/>
  <c r="N22" i="32"/>
  <c r="W21" i="32"/>
  <c r="N21" i="32"/>
  <c r="W20" i="32"/>
  <c r="N20" i="32"/>
  <c r="W19" i="32"/>
  <c r="N19" i="32"/>
  <c r="W18" i="32"/>
  <c r="W17" i="32"/>
  <c r="J6" i="31"/>
  <c r="N31" i="31"/>
  <c r="N32" i="31"/>
  <c r="N33" i="31"/>
  <c r="N34" i="31"/>
  <c r="N35" i="31"/>
  <c r="N36" i="31"/>
  <c r="N37" i="31"/>
  <c r="N38" i="31"/>
  <c r="N39" i="31"/>
  <c r="M18" i="31"/>
  <c r="M19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I55" i="3" a="1"/>
  <c r="I66" i="3" a="1"/>
  <c r="I84" i="3" a="1"/>
  <c r="I76" i="3" a="1"/>
  <c r="I80" i="3" a="1"/>
  <c r="I75" i="3" a="1"/>
  <c r="I77" i="3" a="1"/>
  <c r="I89" i="3" a="1"/>
  <c r="I73" i="3" a="1"/>
  <c r="I72" i="3" a="1"/>
  <c r="I81" i="3" a="1"/>
  <c r="I71" i="3" a="1"/>
  <c r="I56" i="3" a="1"/>
  <c r="I68" i="3" a="1"/>
  <c r="I74" i="3" a="1"/>
  <c r="I79" i="3" a="1"/>
  <c r="I67" i="3" a="1"/>
  <c r="I82" i="3" a="1"/>
  <c r="I56" i="3" l="1"/>
  <c r="K61" i="1" s="1"/>
  <c r="I73" i="3"/>
  <c r="K78" i="1" s="1"/>
  <c r="I79" i="3"/>
  <c r="K84" i="1" s="1"/>
  <c r="I68" i="3"/>
  <c r="K73" i="1" s="1"/>
  <c r="I89" i="3"/>
  <c r="K94" i="1" s="1"/>
  <c r="I66" i="3"/>
  <c r="K71" i="1" s="1"/>
  <c r="I71" i="3"/>
  <c r="K76" i="1" s="1"/>
  <c r="I84" i="3"/>
  <c r="K89" i="1" s="1"/>
  <c r="I76" i="3"/>
  <c r="K81" i="1" s="1"/>
  <c r="I82" i="3"/>
  <c r="K87" i="1" s="1"/>
  <c r="I80" i="3"/>
  <c r="K85" i="1" s="1"/>
  <c r="I81" i="3"/>
  <c r="K86" i="1" s="1"/>
  <c r="I75" i="3"/>
  <c r="K80" i="1" s="1"/>
  <c r="I55" i="3"/>
  <c r="K60" i="1" s="1"/>
  <c r="I67" i="3"/>
  <c r="K72" i="1" s="1"/>
  <c r="I72" i="3"/>
  <c r="K77" i="1" s="1"/>
  <c r="I77" i="3"/>
  <c r="K82" i="1" s="1"/>
  <c r="I74" i="3"/>
  <c r="K79" i="1" s="1"/>
  <c r="M73" i="1"/>
  <c r="M72" i="1"/>
  <c r="M24" i="54"/>
  <c r="M25" i="54" s="1"/>
  <c r="E8" i="54"/>
  <c r="E8" i="49"/>
  <c r="E6" i="41"/>
  <c r="E8" i="41"/>
  <c r="E5" i="52"/>
  <c r="E8" i="52" s="1"/>
  <c r="E9" i="52"/>
  <c r="E6" i="51"/>
  <c r="E8" i="50"/>
  <c r="E6" i="40"/>
  <c r="E6" i="39"/>
  <c r="E6" i="49"/>
  <c r="E6" i="48"/>
  <c r="E8" i="48"/>
  <c r="E6" i="44"/>
  <c r="E8" i="44"/>
  <c r="E8" i="43"/>
  <c r="E8" i="40"/>
  <c r="E8" i="39"/>
  <c r="E6" i="54"/>
  <c r="E8" i="51"/>
  <c r="E6" i="53"/>
  <c r="E6" i="50"/>
  <c r="O17" i="44"/>
  <c r="E8" i="42"/>
  <c r="E8" i="45"/>
  <c r="E8" i="47"/>
  <c r="E6" i="45"/>
  <c r="E6" i="42"/>
  <c r="E6" i="46"/>
  <c r="E6" i="47"/>
  <c r="E6" i="43"/>
  <c r="O17" i="41"/>
  <c r="E8" i="38"/>
  <c r="E6" i="38"/>
  <c r="E8" i="36"/>
  <c r="E6" i="36"/>
  <c r="E6" i="35"/>
  <c r="E8" i="35"/>
  <c r="H55" i="3" a="1"/>
  <c r="H75" i="3" a="1"/>
  <c r="H71" i="3" a="1"/>
  <c r="H82" i="3" a="1"/>
  <c r="H56" i="3" a="1"/>
  <c r="H76" i="3" a="1"/>
  <c r="H74" i="3" a="1"/>
  <c r="I83" i="3" a="1"/>
  <c r="H66" i="3" a="1"/>
  <c r="H68" i="3" a="1"/>
  <c r="H67" i="3" a="1"/>
  <c r="H77" i="3" a="1"/>
  <c r="H79" i="3" a="1"/>
  <c r="H73" i="3" a="1"/>
  <c r="H72" i="3" a="1"/>
  <c r="H80" i="3" a="1"/>
  <c r="H81" i="3" a="1"/>
  <c r="H84" i="3" a="1"/>
  <c r="H89" i="3" a="1"/>
  <c r="H56" i="3" l="1"/>
  <c r="I61" i="1" s="1"/>
  <c r="H80" i="3"/>
  <c r="I85" i="1" s="1"/>
  <c r="H74" i="3"/>
  <c r="I79" i="1" s="1"/>
  <c r="H79" i="3"/>
  <c r="I84" i="1" s="1"/>
  <c r="H68" i="3"/>
  <c r="H72" i="3"/>
  <c r="I77" i="1" s="1"/>
  <c r="H77" i="3"/>
  <c r="I82" i="1" s="1"/>
  <c r="H82" i="3"/>
  <c r="I87" i="1" s="1"/>
  <c r="I83" i="3"/>
  <c r="K88" i="1" s="1"/>
  <c r="H71" i="3"/>
  <c r="I76" i="1" s="1"/>
  <c r="H66" i="3"/>
  <c r="I71" i="1" s="1"/>
  <c r="H73" i="3"/>
  <c r="I78" i="1" s="1"/>
  <c r="H67" i="3"/>
  <c r="I72" i="1" s="1"/>
  <c r="H75" i="3"/>
  <c r="I80" i="1" s="1"/>
  <c r="H55" i="3"/>
  <c r="I60" i="1" s="1"/>
  <c r="H76" i="3"/>
  <c r="I81" i="1" s="1"/>
  <c r="H81" i="3"/>
  <c r="I86" i="1" s="1"/>
  <c r="H89" i="3"/>
  <c r="I94" i="1" s="1"/>
  <c r="H84" i="3"/>
  <c r="I89" i="1" s="1"/>
  <c r="I73" i="1"/>
  <c r="E6" i="52"/>
  <c r="W19" i="31"/>
  <c r="W20" i="31"/>
  <c r="W21" i="31"/>
  <c r="W22" i="31"/>
  <c r="W23" i="31"/>
  <c r="N30" i="31"/>
  <c r="N29" i="31"/>
  <c r="N28" i="31"/>
  <c r="N27" i="31"/>
  <c r="N26" i="31"/>
  <c r="N25" i="31"/>
  <c r="N24" i="31"/>
  <c r="N23" i="31"/>
  <c r="N22" i="31"/>
  <c r="N21" i="31"/>
  <c r="N20" i="31"/>
  <c r="N19" i="31"/>
  <c r="W18" i="31"/>
  <c r="W17" i="31"/>
  <c r="P19" i="30"/>
  <c r="P20" i="30"/>
  <c r="P21" i="30"/>
  <c r="P22" i="30"/>
  <c r="P23" i="30"/>
  <c r="P24" i="30"/>
  <c r="P25" i="30"/>
  <c r="P26" i="30"/>
  <c r="P27" i="30"/>
  <c r="P28" i="30"/>
  <c r="P29" i="30"/>
  <c r="P30" i="30"/>
  <c r="P31" i="30"/>
  <c r="P32" i="30"/>
  <c r="P33" i="30"/>
  <c r="P34" i="30"/>
  <c r="P35" i="30"/>
  <c r="P36" i="30"/>
  <c r="P37" i="30"/>
  <c r="P38" i="30"/>
  <c r="P39" i="30"/>
  <c r="P40" i="30"/>
  <c r="O31" i="30"/>
  <c r="O30" i="30"/>
  <c r="O37" i="30"/>
  <c r="O19" i="30"/>
  <c r="O20" i="30"/>
  <c r="O21" i="30"/>
  <c r="O22" i="30"/>
  <c r="O23" i="30"/>
  <c r="O24" i="30"/>
  <c r="O25" i="30"/>
  <c r="O26" i="30"/>
  <c r="O27" i="30"/>
  <c r="O28" i="30"/>
  <c r="O29" i="30"/>
  <c r="O32" i="30"/>
  <c r="O33" i="30"/>
  <c r="O34" i="30"/>
  <c r="O35" i="30"/>
  <c r="O36" i="30"/>
  <c r="O38" i="30"/>
  <c r="O39" i="30"/>
  <c r="O40" i="30"/>
  <c r="O41" i="30"/>
  <c r="P41" i="30"/>
  <c r="Y22" i="30"/>
  <c r="Y21" i="30"/>
  <c r="Y20" i="30"/>
  <c r="Y19" i="30"/>
  <c r="Y18" i="30"/>
  <c r="Y17" i="30"/>
  <c r="M36" i="29"/>
  <c r="L36" i="29"/>
  <c r="M35" i="29"/>
  <c r="L35" i="29"/>
  <c r="M34" i="29"/>
  <c r="L34" i="29"/>
  <c r="M33" i="29"/>
  <c r="L33" i="29"/>
  <c r="M32" i="29"/>
  <c r="L32" i="29"/>
  <c r="M31" i="29"/>
  <c r="L31" i="29"/>
  <c r="M30" i="29"/>
  <c r="L30" i="29"/>
  <c r="M29" i="29"/>
  <c r="L29" i="29"/>
  <c r="M28" i="29"/>
  <c r="L28" i="29"/>
  <c r="M27" i="29"/>
  <c r="L27" i="29"/>
  <c r="M26" i="29"/>
  <c r="L26" i="29"/>
  <c r="M25" i="29"/>
  <c r="L25" i="29"/>
  <c r="M24" i="29"/>
  <c r="L24" i="29"/>
  <c r="M23" i="29"/>
  <c r="L23" i="29"/>
  <c r="V22" i="29"/>
  <c r="M22" i="29"/>
  <c r="L22" i="29"/>
  <c r="V21" i="29"/>
  <c r="M21" i="29"/>
  <c r="L21" i="29"/>
  <c r="V20" i="29"/>
  <c r="M20" i="29"/>
  <c r="L20" i="29"/>
  <c r="V19" i="29"/>
  <c r="M19" i="29"/>
  <c r="L19" i="29"/>
  <c r="V18" i="29"/>
  <c r="V17" i="29"/>
  <c r="E9" i="29"/>
  <c r="E5" i="29"/>
  <c r="E8" i="29" s="1"/>
  <c r="M36" i="28"/>
  <c r="L36" i="28"/>
  <c r="M35" i="28"/>
  <c r="L35" i="28"/>
  <c r="M34" i="28"/>
  <c r="L34" i="28"/>
  <c r="M33" i="28"/>
  <c r="L33" i="28"/>
  <c r="M32" i="28"/>
  <c r="L32" i="28"/>
  <c r="M31" i="28"/>
  <c r="L31" i="28"/>
  <c r="M30" i="28"/>
  <c r="L30" i="28"/>
  <c r="M29" i="28"/>
  <c r="L29" i="28"/>
  <c r="M28" i="28"/>
  <c r="L28" i="28"/>
  <c r="M27" i="28"/>
  <c r="L27" i="28"/>
  <c r="M26" i="28"/>
  <c r="L26" i="28"/>
  <c r="M25" i="28"/>
  <c r="L25" i="28"/>
  <c r="M24" i="28"/>
  <c r="L24" i="28"/>
  <c r="M23" i="28"/>
  <c r="L23" i="28"/>
  <c r="V22" i="28"/>
  <c r="M22" i="28"/>
  <c r="L22" i="28"/>
  <c r="V21" i="28"/>
  <c r="M21" i="28"/>
  <c r="L21" i="28"/>
  <c r="V20" i="28"/>
  <c r="M20" i="28"/>
  <c r="L20" i="28"/>
  <c r="E8" i="28" s="1"/>
  <c r="V19" i="28"/>
  <c r="M19" i="28"/>
  <c r="L19" i="28"/>
  <c r="V18" i="28"/>
  <c r="M18" i="28"/>
  <c r="V17" i="28"/>
  <c r="M17" i="28"/>
  <c r="E9" i="28"/>
  <c r="E5" i="28"/>
  <c r="O39" i="27"/>
  <c r="N39" i="27"/>
  <c r="O38" i="27"/>
  <c r="N38" i="27"/>
  <c r="O37" i="27"/>
  <c r="N37" i="27"/>
  <c r="O36" i="27"/>
  <c r="N36" i="27"/>
  <c r="O35" i="27"/>
  <c r="N35" i="27"/>
  <c r="O34" i="27"/>
  <c r="N34" i="27"/>
  <c r="O33" i="27"/>
  <c r="N33" i="27"/>
  <c r="O32" i="27"/>
  <c r="N32" i="27"/>
  <c r="O31" i="27"/>
  <c r="N31" i="27"/>
  <c r="O30" i="27"/>
  <c r="N30" i="27"/>
  <c r="O29" i="27"/>
  <c r="N29" i="27"/>
  <c r="O28" i="27"/>
  <c r="N28" i="27"/>
  <c r="O27" i="27"/>
  <c r="N27" i="27"/>
  <c r="O26" i="27"/>
  <c r="N26" i="27"/>
  <c r="O25" i="27"/>
  <c r="N25" i="27"/>
  <c r="O24" i="27"/>
  <c r="N24" i="27"/>
  <c r="X22" i="27"/>
  <c r="X21" i="27"/>
  <c r="X20" i="27"/>
  <c r="X19" i="27"/>
  <c r="X18" i="27"/>
  <c r="X17" i="27"/>
  <c r="O17" i="27"/>
  <c r="O18" i="27" s="1"/>
  <c r="E9" i="27"/>
  <c r="E5" i="27"/>
  <c r="X18" i="26"/>
  <c r="X19" i="26"/>
  <c r="X20" i="26"/>
  <c r="X21" i="26"/>
  <c r="X22" i="26"/>
  <c r="O39" i="26"/>
  <c r="N39" i="26"/>
  <c r="O38" i="26"/>
  <c r="N38" i="26"/>
  <c r="O37" i="26"/>
  <c r="N37" i="26"/>
  <c r="O36" i="26"/>
  <c r="N36" i="26"/>
  <c r="O35" i="26"/>
  <c r="N35" i="26"/>
  <c r="O34" i="26"/>
  <c r="N34" i="26"/>
  <c r="O33" i="26"/>
  <c r="N33" i="26"/>
  <c r="O32" i="26"/>
  <c r="N32" i="26"/>
  <c r="O31" i="26"/>
  <c r="N31" i="26"/>
  <c r="O30" i="26"/>
  <c r="N30" i="26"/>
  <c r="O29" i="26"/>
  <c r="N29" i="26"/>
  <c r="O28" i="26"/>
  <c r="N28" i="26"/>
  <c r="O27" i="26"/>
  <c r="N27" i="26"/>
  <c r="O26" i="26"/>
  <c r="N26" i="26"/>
  <c r="O25" i="26"/>
  <c r="N25" i="26"/>
  <c r="O24" i="26"/>
  <c r="N24" i="26"/>
  <c r="O23" i="26"/>
  <c r="N23" i="26"/>
  <c r="O22" i="26"/>
  <c r="N22" i="26"/>
  <c r="O21" i="26"/>
  <c r="N21" i="26"/>
  <c r="O20" i="26"/>
  <c r="N20" i="26"/>
  <c r="O19" i="26"/>
  <c r="N19" i="26"/>
  <c r="O18" i="26"/>
  <c r="X17" i="26"/>
  <c r="E9" i="26"/>
  <c r="E5" i="26"/>
  <c r="V18" i="25"/>
  <c r="V19" i="25"/>
  <c r="V20" i="25"/>
  <c r="V21" i="25"/>
  <c r="V22" i="25"/>
  <c r="M36" i="25"/>
  <c r="L36" i="25"/>
  <c r="M35" i="25"/>
  <c r="L35" i="25"/>
  <c r="M34" i="25"/>
  <c r="L34" i="25"/>
  <c r="M33" i="25"/>
  <c r="L33" i="25"/>
  <c r="M32" i="25"/>
  <c r="L32" i="25"/>
  <c r="M31" i="25"/>
  <c r="L31" i="25"/>
  <c r="M30" i="25"/>
  <c r="L30" i="25"/>
  <c r="M29" i="25"/>
  <c r="L29" i="25"/>
  <c r="M28" i="25"/>
  <c r="L28" i="25"/>
  <c r="M27" i="25"/>
  <c r="L27" i="25"/>
  <c r="M26" i="25"/>
  <c r="L26" i="25"/>
  <c r="M25" i="25"/>
  <c r="L25" i="25"/>
  <c r="M24" i="25"/>
  <c r="L24" i="25"/>
  <c r="M23" i="25"/>
  <c r="L23" i="25"/>
  <c r="M22" i="25"/>
  <c r="L22" i="25"/>
  <c r="M21" i="25"/>
  <c r="L21" i="25"/>
  <c r="M20" i="25"/>
  <c r="L20" i="25"/>
  <c r="M19" i="25"/>
  <c r="L19" i="25"/>
  <c r="V17" i="25"/>
  <c r="M17" i="25"/>
  <c r="M18" i="25" s="1"/>
  <c r="E9" i="25"/>
  <c r="E5" i="25"/>
  <c r="M36" i="24"/>
  <c r="L36" i="24"/>
  <c r="M35" i="24"/>
  <c r="L35" i="24"/>
  <c r="M34" i="24"/>
  <c r="L34" i="24"/>
  <c r="M33" i="24"/>
  <c r="L33" i="24"/>
  <c r="M32" i="24"/>
  <c r="L32" i="24"/>
  <c r="M31" i="24"/>
  <c r="L31" i="24"/>
  <c r="M30" i="24"/>
  <c r="L30" i="24"/>
  <c r="M29" i="24"/>
  <c r="L29" i="24"/>
  <c r="M28" i="24"/>
  <c r="L28" i="24"/>
  <c r="M27" i="24"/>
  <c r="L27" i="24"/>
  <c r="M26" i="24"/>
  <c r="L26" i="24"/>
  <c r="M25" i="24"/>
  <c r="L25" i="24"/>
  <c r="V20" i="24"/>
  <c r="V19" i="24"/>
  <c r="V18" i="24"/>
  <c r="V17" i="24"/>
  <c r="M17" i="24"/>
  <c r="M18" i="24" s="1"/>
  <c r="E9" i="24"/>
  <c r="E5" i="24"/>
  <c r="E8" i="24" s="1"/>
  <c r="AB18" i="22"/>
  <c r="AB19" i="22"/>
  <c r="AB20" i="22"/>
  <c r="V18" i="21"/>
  <c r="V19" i="21"/>
  <c r="V20" i="21"/>
  <c r="M36" i="23"/>
  <c r="L36" i="23"/>
  <c r="M35" i="23"/>
  <c r="L35" i="23"/>
  <c r="M34" i="23"/>
  <c r="L34" i="23"/>
  <c r="M33" i="23"/>
  <c r="L33" i="23"/>
  <c r="M32" i="23"/>
  <c r="L32" i="23"/>
  <c r="M31" i="23"/>
  <c r="L31" i="23"/>
  <c r="M30" i="23"/>
  <c r="L30" i="23"/>
  <c r="M29" i="23"/>
  <c r="L29" i="23"/>
  <c r="M28" i="23"/>
  <c r="L28" i="23"/>
  <c r="M27" i="23"/>
  <c r="L27" i="23"/>
  <c r="M26" i="23"/>
  <c r="L26" i="23"/>
  <c r="M25" i="23"/>
  <c r="L25" i="23"/>
  <c r="M24" i="23"/>
  <c r="L24" i="23"/>
  <c r="M23" i="23"/>
  <c r="L23" i="23"/>
  <c r="M22" i="23"/>
  <c r="L22" i="23"/>
  <c r="M21" i="23"/>
  <c r="L21" i="23"/>
  <c r="V20" i="23"/>
  <c r="V19" i="23"/>
  <c r="V18" i="23"/>
  <c r="M18" i="23"/>
  <c r="M19" i="23" s="1"/>
  <c r="M20" i="23" s="1"/>
  <c r="V17" i="23"/>
  <c r="M17" i="23"/>
  <c r="E9" i="23"/>
  <c r="E5" i="23"/>
  <c r="E8" i="23" s="1"/>
  <c r="AB17" i="22"/>
  <c r="S17" i="22"/>
  <c r="S18" i="22" s="1"/>
  <c r="S19" i="22" s="1"/>
  <c r="E9" i="22"/>
  <c r="E5" i="22"/>
  <c r="M36" i="21"/>
  <c r="L36" i="21"/>
  <c r="M35" i="21"/>
  <c r="L35" i="21"/>
  <c r="M34" i="21"/>
  <c r="L34" i="21"/>
  <c r="M33" i="21"/>
  <c r="L33" i="21"/>
  <c r="M32" i="21"/>
  <c r="L32" i="21"/>
  <c r="M31" i="21"/>
  <c r="L31" i="21"/>
  <c r="M30" i="21"/>
  <c r="L30" i="21"/>
  <c r="M29" i="21"/>
  <c r="L29" i="21"/>
  <c r="M28" i="21"/>
  <c r="L28" i="21"/>
  <c r="M27" i="21"/>
  <c r="L27" i="21"/>
  <c r="M26" i="21"/>
  <c r="L26" i="21"/>
  <c r="M25" i="21"/>
  <c r="L25" i="21"/>
  <c r="M24" i="21"/>
  <c r="L24" i="21"/>
  <c r="M23" i="21"/>
  <c r="L23" i="21"/>
  <c r="M22" i="21"/>
  <c r="L22" i="21"/>
  <c r="M21" i="21"/>
  <c r="L21" i="21"/>
  <c r="M20" i="21"/>
  <c r="L20" i="21"/>
  <c r="V17" i="21"/>
  <c r="M17" i="21"/>
  <c r="M18" i="21" s="1"/>
  <c r="M19" i="21" s="1"/>
  <c r="E9" i="21"/>
  <c r="E5" i="21"/>
  <c r="E8" i="21" s="1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S26" i="12"/>
  <c r="S27" i="12"/>
  <c r="S28" i="12"/>
  <c r="S29" i="12"/>
  <c r="S30" i="12"/>
  <c r="S31" i="12"/>
  <c r="S32" i="12"/>
  <c r="S33" i="12"/>
  <c r="S34" i="12"/>
  <c r="S35" i="12"/>
  <c r="S36" i="12"/>
  <c r="N27" i="10"/>
  <c r="N23" i="10"/>
  <c r="N24" i="10"/>
  <c r="N25" i="10"/>
  <c r="N26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J19" i="8"/>
  <c r="J20" i="8"/>
  <c r="J21" i="8"/>
  <c r="J22" i="8"/>
  <c r="J23" i="8"/>
  <c r="J24" i="8"/>
  <c r="J25" i="8"/>
  <c r="J26" i="8"/>
  <c r="J27" i="8"/>
  <c r="J28" i="8"/>
  <c r="J29" i="8"/>
  <c r="J30" i="8"/>
  <c r="J19" i="7"/>
  <c r="J20" i="7"/>
  <c r="J21" i="7"/>
  <c r="J22" i="7"/>
  <c r="J23" i="7"/>
  <c r="J24" i="7"/>
  <c r="J25" i="7"/>
  <c r="J26" i="7"/>
  <c r="J27" i="7"/>
  <c r="J28" i="7"/>
  <c r="J29" i="7"/>
  <c r="J30" i="7"/>
  <c r="J20" i="5"/>
  <c r="J21" i="5"/>
  <c r="J22" i="5"/>
  <c r="J23" i="5"/>
  <c r="J24" i="5"/>
  <c r="J25" i="5"/>
  <c r="J26" i="5"/>
  <c r="J27" i="5"/>
  <c r="J28" i="5"/>
  <c r="J29" i="5"/>
  <c r="J30" i="5"/>
  <c r="E5" i="20"/>
  <c r="W17" i="20"/>
  <c r="E9" i="20"/>
  <c r="S19" i="8"/>
  <c r="S18" i="8"/>
  <c r="S17" i="8"/>
  <c r="S19" i="7"/>
  <c r="S18" i="7"/>
  <c r="S17" i="7"/>
  <c r="S18" i="5"/>
  <c r="S19" i="5"/>
  <c r="S17" i="5"/>
  <c r="V18" i="14"/>
  <c r="V19" i="14"/>
  <c r="V20" i="14"/>
  <c r="V21" i="14"/>
  <c r="V18" i="13"/>
  <c r="V19" i="13"/>
  <c r="V20" i="13"/>
  <c r="V21" i="13"/>
  <c r="AB19" i="12"/>
  <c r="AB20" i="12"/>
  <c r="AB21" i="12"/>
  <c r="AB22" i="12"/>
  <c r="W18" i="10"/>
  <c r="W19" i="10"/>
  <c r="W20" i="10"/>
  <c r="W21" i="10"/>
  <c r="W17" i="10"/>
  <c r="V18" i="9"/>
  <c r="V19" i="9"/>
  <c r="V20" i="9"/>
  <c r="V21" i="9"/>
  <c r="W21" i="15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V20" i="19"/>
  <c r="L20" i="19"/>
  <c r="V19" i="19"/>
  <c r="M19" i="19"/>
  <c r="L19" i="19"/>
  <c r="E8" i="19" s="1"/>
  <c r="V18" i="19"/>
  <c r="M18" i="19"/>
  <c r="L18" i="19"/>
  <c r="V17" i="19"/>
  <c r="L17" i="19"/>
  <c r="M17" i="19" s="1"/>
  <c r="E9" i="19"/>
  <c r="E5" i="19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V20" i="18"/>
  <c r="L20" i="18"/>
  <c r="V19" i="18"/>
  <c r="M19" i="18"/>
  <c r="L19" i="18"/>
  <c r="V18" i="18"/>
  <c r="M18" i="18"/>
  <c r="L18" i="18"/>
  <c r="V17" i="18"/>
  <c r="M17" i="18"/>
  <c r="L17" i="18"/>
  <c r="E9" i="18"/>
  <c r="E8" i="18"/>
  <c r="E5" i="18"/>
  <c r="L3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1" i="17"/>
  <c r="V20" i="17"/>
  <c r="L20" i="17"/>
  <c r="V19" i="17"/>
  <c r="M19" i="17"/>
  <c r="L19" i="17"/>
  <c r="V18" i="17"/>
  <c r="M18" i="17"/>
  <c r="L18" i="17"/>
  <c r="V17" i="17"/>
  <c r="L17" i="17"/>
  <c r="M17" i="17" s="1"/>
  <c r="E9" i="17"/>
  <c r="E5" i="17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V20" i="16"/>
  <c r="L20" i="16"/>
  <c r="V19" i="16"/>
  <c r="M19" i="16"/>
  <c r="L19" i="16"/>
  <c r="E8" i="16" s="1"/>
  <c r="V18" i="16"/>
  <c r="M18" i="16"/>
  <c r="L18" i="16"/>
  <c r="V17" i="16"/>
  <c r="L17" i="16"/>
  <c r="M17" i="16" s="1"/>
  <c r="E9" i="16"/>
  <c r="E5" i="16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W20" i="15"/>
  <c r="M20" i="15"/>
  <c r="W19" i="15"/>
  <c r="N19" i="15"/>
  <c r="M19" i="15"/>
  <c r="W18" i="15"/>
  <c r="N18" i="15"/>
  <c r="M18" i="15"/>
  <c r="W17" i="15"/>
  <c r="M17" i="15"/>
  <c r="N17" i="15" s="1"/>
  <c r="E9" i="15"/>
  <c r="E5" i="15"/>
  <c r="E8" i="15" s="1"/>
  <c r="I44" i="3" a="1"/>
  <c r="I34" i="3" a="1"/>
  <c r="H83" i="3" a="1"/>
  <c r="I41" i="3" a="1"/>
  <c r="I48" i="3" a="1"/>
  <c r="I46" i="3" a="1"/>
  <c r="I25" i="3" a="1"/>
  <c r="I27" i="3" a="1"/>
  <c r="I28" i="3" a="1"/>
  <c r="I26" i="3" a="1"/>
  <c r="I39" i="3" a="1"/>
  <c r="I38" i="3" a="1"/>
  <c r="J34" i="3" a="1"/>
  <c r="I40" i="3" a="1"/>
  <c r="I24" i="3" a="1"/>
  <c r="I45" i="3" a="1"/>
  <c r="I47" i="3" a="1"/>
  <c r="I39" i="3" l="1"/>
  <c r="K44" i="1" s="1"/>
  <c r="I40" i="3"/>
  <c r="K45" i="1" s="1"/>
  <c r="I27" i="3"/>
  <c r="K32" i="1" s="1"/>
  <c r="I25" i="3"/>
  <c r="K30" i="1" s="1"/>
  <c r="I26" i="3"/>
  <c r="K31" i="1" s="1"/>
  <c r="I44" i="3"/>
  <c r="K49" i="1" s="1"/>
  <c r="I24" i="3"/>
  <c r="K29" i="1" s="1"/>
  <c r="I48" i="3"/>
  <c r="K53" i="1" s="1"/>
  <c r="I41" i="3"/>
  <c r="K46" i="1" s="1"/>
  <c r="I46" i="3"/>
  <c r="K51" i="1" s="1"/>
  <c r="I38" i="3"/>
  <c r="K43" i="1" s="1"/>
  <c r="I28" i="3"/>
  <c r="K33" i="1" s="1"/>
  <c r="I47" i="3"/>
  <c r="K52" i="1" s="1"/>
  <c r="H83" i="3"/>
  <c r="I88" i="1" s="1"/>
  <c r="I45" i="3"/>
  <c r="K50" i="1" s="1"/>
  <c r="E6" i="19"/>
  <c r="I34" i="3"/>
  <c r="K39" i="1" s="1"/>
  <c r="J34" i="3"/>
  <c r="R34" i="3" s="1"/>
  <c r="S34" i="3" s="1"/>
  <c r="O73" i="1"/>
  <c r="R73" i="1" s="1"/>
  <c r="O72" i="1"/>
  <c r="R72" i="1" s="1"/>
  <c r="E8" i="20"/>
  <c r="M46" i="1"/>
  <c r="E6" i="16"/>
  <c r="E6" i="18"/>
  <c r="E6" i="17"/>
  <c r="E6" i="20"/>
  <c r="E6" i="28"/>
  <c r="E8" i="27"/>
  <c r="E8" i="25"/>
  <c r="E6" i="24"/>
  <c r="E6" i="22"/>
  <c r="E8" i="22"/>
  <c r="E6" i="29"/>
  <c r="E6" i="27"/>
  <c r="E6" i="26"/>
  <c r="E8" i="26"/>
  <c r="E6" i="25"/>
  <c r="E6" i="23"/>
  <c r="E6" i="21"/>
  <c r="E8" i="17"/>
  <c r="E6" i="15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M19" i="14"/>
  <c r="L19" i="14"/>
  <c r="M18" i="14"/>
  <c r="L18" i="14"/>
  <c r="V17" i="14"/>
  <c r="L17" i="14"/>
  <c r="M17" i="14" s="1"/>
  <c r="E9" i="14"/>
  <c r="E5" i="14"/>
  <c r="E8" i="14" s="1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V17" i="13"/>
  <c r="M17" i="13"/>
  <c r="M18" i="13" s="1"/>
  <c r="M19" i="13" s="1"/>
  <c r="E9" i="13"/>
  <c r="E5" i="13"/>
  <c r="M31" i="10"/>
  <c r="M30" i="10"/>
  <c r="M29" i="10"/>
  <c r="M28" i="10"/>
  <c r="M27" i="10"/>
  <c r="M23" i="10"/>
  <c r="M24" i="10"/>
  <c r="M25" i="10"/>
  <c r="M26" i="10"/>
  <c r="M32" i="10"/>
  <c r="M33" i="10"/>
  <c r="M34" i="10"/>
  <c r="M35" i="10"/>
  <c r="M36" i="10"/>
  <c r="M37" i="10"/>
  <c r="M38" i="10"/>
  <c r="M39" i="10"/>
  <c r="L36" i="9"/>
  <c r="L35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A27" i="6"/>
  <c r="A25" i="6"/>
  <c r="A24" i="6"/>
  <c r="A23" i="6"/>
  <c r="A22" i="6"/>
  <c r="A20" i="6"/>
  <c r="A19" i="6"/>
  <c r="A18" i="6"/>
  <c r="A17" i="6"/>
  <c r="A13" i="6"/>
  <c r="H40" i="3" a="1"/>
  <c r="H28" i="3" a="1"/>
  <c r="L34" i="3" a="1"/>
  <c r="H27" i="3" a="1"/>
  <c r="H45" i="3" a="1"/>
  <c r="H38" i="3" a="1"/>
  <c r="H39" i="3" a="1"/>
  <c r="H24" i="3" a="1"/>
  <c r="H26" i="3" a="1"/>
  <c r="I18" i="3" a="1"/>
  <c r="H25" i="3" a="1"/>
  <c r="H44" i="3" a="1"/>
  <c r="H34" i="3" a="1"/>
  <c r="H47" i="3" a="1"/>
  <c r="H46" i="3" a="1"/>
  <c r="H41" i="3" a="1"/>
  <c r="I17" i="3" a="1"/>
  <c r="H48" i="3" a="1"/>
  <c r="H46" i="3" l="1"/>
  <c r="I51" i="1" s="1"/>
  <c r="H38" i="3"/>
  <c r="I43" i="1" s="1"/>
  <c r="H44" i="3"/>
  <c r="I49" i="1" s="1"/>
  <c r="H48" i="3"/>
  <c r="I53" i="1" s="1"/>
  <c r="H26" i="3"/>
  <c r="I31" i="1" s="1"/>
  <c r="H45" i="3"/>
  <c r="I50" i="1" s="1"/>
  <c r="H39" i="3"/>
  <c r="I44" i="1" s="1"/>
  <c r="H40" i="3"/>
  <c r="I45" i="1" s="1"/>
  <c r="H28" i="3"/>
  <c r="I33" i="1" s="1"/>
  <c r="H47" i="3"/>
  <c r="I52" i="1" s="1"/>
  <c r="H41" i="3"/>
  <c r="I46" i="1" s="1"/>
  <c r="I17" i="3"/>
  <c r="K22" i="1" s="1"/>
  <c r="I18" i="3"/>
  <c r="K23" i="1" s="1"/>
  <c r="H27" i="3"/>
  <c r="I32" i="1" s="1"/>
  <c r="H25" i="3"/>
  <c r="I30" i="1" s="1"/>
  <c r="H24" i="3"/>
  <c r="I29" i="1" s="1"/>
  <c r="M39" i="1"/>
  <c r="H34" i="3"/>
  <c r="I39" i="1" s="1"/>
  <c r="L34" i="3"/>
  <c r="O39" i="1"/>
  <c r="R39" i="1" s="1"/>
  <c r="O46" i="1"/>
  <c r="R46" i="1" s="1"/>
  <c r="E8" i="13"/>
  <c r="E6" i="14"/>
  <c r="E6" i="13"/>
  <c r="A12" i="6"/>
  <c r="H17" i="3" a="1"/>
  <c r="H18" i="3" a="1"/>
  <c r="H17" i="3" l="1"/>
  <c r="I22" i="1" s="1"/>
  <c r="H18" i="3"/>
  <c r="I23" i="1" s="1"/>
  <c r="O22" i="1"/>
  <c r="R22" i="1" s="1"/>
  <c r="B13" i="20"/>
  <c r="C9" i="3"/>
  <c r="D9" i="3"/>
  <c r="E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B11" i="3" l="1"/>
  <c r="B14" i="3"/>
  <c r="B10" i="3"/>
  <c r="B9" i="3"/>
  <c r="B13" i="58"/>
  <c r="B13" i="60"/>
  <c r="B13" i="57"/>
  <c r="B13" i="59"/>
  <c r="G13" i="12"/>
  <c r="B13" i="12"/>
  <c r="B13" i="14"/>
  <c r="B13" i="13"/>
  <c r="G13" i="13"/>
  <c r="G13" i="14"/>
  <c r="R23" i="12" l="1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AB17" i="12"/>
  <c r="V17" i="9"/>
  <c r="E9" i="10"/>
  <c r="E5" i="10"/>
  <c r="M19" i="9"/>
  <c r="E9" i="9"/>
  <c r="E5" i="9"/>
  <c r="E9" i="8"/>
  <c r="E9" i="7"/>
  <c r="E9" i="5"/>
  <c r="B8" i="6"/>
  <c r="J18" i="8"/>
  <c r="E5" i="8"/>
  <c r="J18" i="7"/>
  <c r="E5" i="7"/>
  <c r="F4" i="3"/>
  <c r="E4" i="3"/>
  <c r="D4" i="3"/>
  <c r="C4" i="3"/>
  <c r="G8" i="3"/>
  <c r="J19" i="5"/>
  <c r="J18" i="5"/>
  <c r="J17" i="5"/>
  <c r="E5" i="5"/>
  <c r="C8" i="3"/>
  <c r="D8" i="3"/>
  <c r="E8" i="3"/>
  <c r="F8" i="3"/>
  <c r="G13" i="5"/>
  <c r="G9" i="3"/>
  <c r="G13" i="7"/>
  <c r="G13" i="8"/>
  <c r="G12" i="3"/>
  <c r="G13" i="3"/>
  <c r="G13" i="10"/>
  <c r="I11" i="3" a="1"/>
  <c r="I15" i="3" a="1"/>
  <c r="J9" i="3" a="1"/>
  <c r="I9" i="3" a="1"/>
  <c r="I10" i="3" a="1"/>
  <c r="I14" i="3" a="1"/>
  <c r="I14" i="3" l="1"/>
  <c r="K19" i="1" s="1"/>
  <c r="I15" i="3"/>
  <c r="K20" i="1" s="1"/>
  <c r="I10" i="3"/>
  <c r="K15" i="1" s="1"/>
  <c r="I11" i="3"/>
  <c r="K16" i="1" s="1"/>
  <c r="U18" i="83"/>
  <c r="U18" i="79"/>
  <c r="T20" i="78"/>
  <c r="T17" i="77"/>
  <c r="U20" i="79"/>
  <c r="U20" i="83"/>
  <c r="U19" i="83"/>
  <c r="U19" i="82"/>
  <c r="U17" i="79"/>
  <c r="U18" i="82"/>
  <c r="T20" i="77"/>
  <c r="U19" i="81"/>
  <c r="U17" i="81"/>
  <c r="U17" i="80"/>
  <c r="U20" i="82"/>
  <c r="U17" i="83"/>
  <c r="T19" i="78"/>
  <c r="U20" i="81"/>
  <c r="T18" i="78"/>
  <c r="U17" i="82"/>
  <c r="T19" i="77"/>
  <c r="U18" i="80"/>
  <c r="U19" i="79"/>
  <c r="U20" i="80"/>
  <c r="T17" i="78"/>
  <c r="U18" i="81"/>
  <c r="T18" i="77"/>
  <c r="U19" i="80"/>
  <c r="S19" i="74"/>
  <c r="S20" i="75"/>
  <c r="S20" i="74"/>
  <c r="S18" i="75"/>
  <c r="S17" i="74"/>
  <c r="S18" i="74"/>
  <c r="T19" i="76"/>
  <c r="T17" i="76"/>
  <c r="S17" i="75"/>
  <c r="T20" i="76"/>
  <c r="S19" i="75"/>
  <c r="T18" i="76"/>
  <c r="O13" i="75"/>
  <c r="Q13" i="83"/>
  <c r="C13" i="75"/>
  <c r="H13" i="76"/>
  <c r="E4" i="75"/>
  <c r="H13" i="74"/>
  <c r="N13" i="74"/>
  <c r="Q13" i="80"/>
  <c r="P13" i="78"/>
  <c r="O13" i="76"/>
  <c r="H13" i="78"/>
  <c r="P13" i="76"/>
  <c r="P13" i="82"/>
  <c r="O13" i="78"/>
  <c r="N13" i="75"/>
  <c r="E4" i="83"/>
  <c r="E4" i="80"/>
  <c r="E4" i="82"/>
  <c r="E4" i="78"/>
  <c r="H13" i="80"/>
  <c r="O13" i="74"/>
  <c r="Q13" i="82"/>
  <c r="E4" i="74"/>
  <c r="H13" i="82"/>
  <c r="H13" i="75"/>
  <c r="P13" i="80"/>
  <c r="E4" i="76"/>
  <c r="P13" i="83"/>
  <c r="H13" i="83"/>
  <c r="H13" i="79"/>
  <c r="Q13" i="79"/>
  <c r="Q13" i="81"/>
  <c r="C13" i="81"/>
  <c r="E4" i="81"/>
  <c r="C13" i="78"/>
  <c r="E4" i="79"/>
  <c r="C13" i="83"/>
  <c r="H13" i="81"/>
  <c r="C13" i="74"/>
  <c r="C13" i="77"/>
  <c r="C13" i="76"/>
  <c r="C13" i="80"/>
  <c r="P13" i="81"/>
  <c r="C13" i="82"/>
  <c r="O13" i="77"/>
  <c r="P13" i="77"/>
  <c r="E4" i="77"/>
  <c r="H13" i="77"/>
  <c r="C13" i="79"/>
  <c r="P13" i="79"/>
  <c r="H13" i="66"/>
  <c r="T20" i="73"/>
  <c r="T18" i="73"/>
  <c r="T17" i="73"/>
  <c r="P13" i="73"/>
  <c r="T19" i="73"/>
  <c r="O13" i="73"/>
  <c r="E4" i="73"/>
  <c r="E7" i="73" s="1"/>
  <c r="H13" i="73"/>
  <c r="C13" i="73"/>
  <c r="B13" i="5"/>
  <c r="C13" i="5" s="1"/>
  <c r="M20" i="1"/>
  <c r="S17" i="72"/>
  <c r="S18" i="66"/>
  <c r="O13" i="70"/>
  <c r="E4" i="62"/>
  <c r="C13" i="67"/>
  <c r="H13" i="59"/>
  <c r="P13" i="57"/>
  <c r="S18" i="62"/>
  <c r="S17" i="61"/>
  <c r="C13" i="57"/>
  <c r="E4" i="61"/>
  <c r="S17" i="70"/>
  <c r="H13" i="69"/>
  <c r="E4" i="58"/>
  <c r="S17" i="62"/>
  <c r="H13" i="58"/>
  <c r="C13" i="69"/>
  <c r="S20" i="61"/>
  <c r="E4" i="67"/>
  <c r="N13" i="70"/>
  <c r="T21" i="71"/>
  <c r="N13" i="64"/>
  <c r="E4" i="71"/>
  <c r="Q13" i="59"/>
  <c r="T19" i="67"/>
  <c r="E4" i="59"/>
  <c r="E4" i="64"/>
  <c r="T21" i="57"/>
  <c r="E4" i="68"/>
  <c r="S19" i="65"/>
  <c r="C13" i="71"/>
  <c r="S18" i="61"/>
  <c r="C13" i="58"/>
  <c r="S19" i="70"/>
  <c r="N13" i="69"/>
  <c r="S18" i="68"/>
  <c r="U17" i="58"/>
  <c r="S17" i="66"/>
  <c r="P13" i="67"/>
  <c r="T19" i="57"/>
  <c r="E4" i="72"/>
  <c r="R17" i="64"/>
  <c r="N13" i="62"/>
  <c r="E4" i="57"/>
  <c r="T20" i="71"/>
  <c r="C13" i="66"/>
  <c r="N13" i="65"/>
  <c r="O13" i="72"/>
  <c r="S20" i="62"/>
  <c r="H13" i="62"/>
  <c r="E4" i="60"/>
  <c r="S18" i="70"/>
  <c r="T19" i="71"/>
  <c r="H13" i="68"/>
  <c r="S19" i="72"/>
  <c r="N13" i="66"/>
  <c r="U21" i="60"/>
  <c r="P13" i="71"/>
  <c r="H13" i="70"/>
  <c r="O13" i="65"/>
  <c r="O13" i="66"/>
  <c r="U18" i="59"/>
  <c r="S18" i="72"/>
  <c r="S19" i="69"/>
  <c r="T17" i="67"/>
  <c r="O13" i="62"/>
  <c r="U21" i="59"/>
  <c r="R19" i="64"/>
  <c r="U19" i="58"/>
  <c r="O13" i="68"/>
  <c r="O13" i="71"/>
  <c r="R18" i="64"/>
  <c r="U19" i="60"/>
  <c r="U18" i="58"/>
  <c r="C13" i="64"/>
  <c r="T18" i="67"/>
  <c r="P13" i="59"/>
  <c r="U20" i="58"/>
  <c r="H13" i="65"/>
  <c r="U17" i="60"/>
  <c r="H13" i="57"/>
  <c r="T18" i="71"/>
  <c r="S17" i="68"/>
  <c r="S20" i="72"/>
  <c r="C13" i="68"/>
  <c r="S20" i="65"/>
  <c r="S19" i="62"/>
  <c r="N13" i="61"/>
  <c r="P13" i="60"/>
  <c r="S17" i="69"/>
  <c r="E4" i="66"/>
  <c r="C13" i="72"/>
  <c r="H13" i="72"/>
  <c r="S19" i="61"/>
  <c r="T18" i="57"/>
  <c r="C13" i="62"/>
  <c r="S20" i="68"/>
  <c r="R20" i="64"/>
  <c r="U20" i="60"/>
  <c r="O13" i="61"/>
  <c r="E4" i="70"/>
  <c r="U17" i="59"/>
  <c r="S18" i="69"/>
  <c r="M13" i="64"/>
  <c r="H13" i="67"/>
  <c r="H13" i="61"/>
  <c r="O13" i="67"/>
  <c r="S20" i="70"/>
  <c r="U19" i="59"/>
  <c r="S17" i="65"/>
  <c r="S19" i="68"/>
  <c r="H13" i="60"/>
  <c r="S20" i="69"/>
  <c r="H13" i="71"/>
  <c r="U18" i="60"/>
  <c r="Q13" i="60"/>
  <c r="E4" i="20"/>
  <c r="E7" i="20" s="1"/>
  <c r="T17" i="71"/>
  <c r="U21" i="58"/>
  <c r="T20" i="57"/>
  <c r="N13" i="68"/>
  <c r="U20" i="59"/>
  <c r="P13" i="58"/>
  <c r="S19" i="66"/>
  <c r="T20" i="67"/>
  <c r="T17" i="57"/>
  <c r="S18" i="65"/>
  <c r="E4" i="69"/>
  <c r="C13" i="61"/>
  <c r="C13" i="59"/>
  <c r="Q13" i="58"/>
  <c r="O13" i="69"/>
  <c r="C13" i="65"/>
  <c r="C13" i="70"/>
  <c r="C13" i="60"/>
  <c r="E4" i="65"/>
  <c r="O13" i="57"/>
  <c r="N13" i="72"/>
  <c r="S20" i="66"/>
  <c r="H13" i="64"/>
  <c r="B15" i="6"/>
  <c r="B16" i="6"/>
  <c r="B14" i="6"/>
  <c r="M19" i="1"/>
  <c r="M16" i="1"/>
  <c r="E8" i="8"/>
  <c r="M15" i="1"/>
  <c r="E8" i="7"/>
  <c r="Z17" i="34"/>
  <c r="Z18" i="34"/>
  <c r="Z20" i="53"/>
  <c r="U17" i="48"/>
  <c r="V21" i="44"/>
  <c r="T19" i="39"/>
  <c r="W19" i="47"/>
  <c r="T17" i="46"/>
  <c r="U18" i="50"/>
  <c r="X20" i="35"/>
  <c r="T20" i="46"/>
  <c r="V23" i="44"/>
  <c r="T18" i="40"/>
  <c r="U20" i="32"/>
  <c r="V20" i="43"/>
  <c r="U21" i="49"/>
  <c r="T23" i="46"/>
  <c r="U23" i="33"/>
  <c r="T19" i="37"/>
  <c r="W21" i="47"/>
  <c r="V21" i="41"/>
  <c r="T20" i="45"/>
  <c r="T17" i="45"/>
  <c r="T23" i="42"/>
  <c r="T19" i="40"/>
  <c r="X18" i="52"/>
  <c r="Z22" i="51"/>
  <c r="Z17" i="51"/>
  <c r="V21" i="43"/>
  <c r="T17" i="42"/>
  <c r="T20" i="39"/>
  <c r="Z17" i="36"/>
  <c r="Z19" i="34"/>
  <c r="U18" i="33"/>
  <c r="Z21" i="51"/>
  <c r="U19" i="50"/>
  <c r="T19" i="42"/>
  <c r="X21" i="52"/>
  <c r="U20" i="49"/>
  <c r="Z24" i="34"/>
  <c r="V20" i="41"/>
  <c r="T21" i="45"/>
  <c r="X18" i="35"/>
  <c r="V17" i="43"/>
  <c r="T17" i="54"/>
  <c r="U20" i="50"/>
  <c r="U22" i="49"/>
  <c r="U18" i="48"/>
  <c r="T21" i="46"/>
  <c r="V23" i="43"/>
  <c r="Z17" i="38"/>
  <c r="X17" i="52"/>
  <c r="W17" i="47"/>
  <c r="T20" i="37"/>
  <c r="U20" i="48"/>
  <c r="T18" i="39"/>
  <c r="Z20" i="38"/>
  <c r="T22" i="42"/>
  <c r="T18" i="37"/>
  <c r="U22" i="32"/>
  <c r="Z19" i="53"/>
  <c r="V20" i="44"/>
  <c r="X22" i="52"/>
  <c r="X22" i="35"/>
  <c r="U22" i="33"/>
  <c r="T21" i="42"/>
  <c r="Z17" i="53"/>
  <c r="Z22" i="34"/>
  <c r="Z21" i="53"/>
  <c r="W18" i="47"/>
  <c r="T22" i="46"/>
  <c r="T18" i="42"/>
  <c r="T17" i="40"/>
  <c r="X23" i="35"/>
  <c r="U17" i="33"/>
  <c r="U19" i="32"/>
  <c r="V17" i="41"/>
  <c r="V19" i="43"/>
  <c r="Z21" i="36"/>
  <c r="Z22" i="53"/>
  <c r="X19" i="35"/>
  <c r="V17" i="44"/>
  <c r="T17" i="37"/>
  <c r="U23" i="50"/>
  <c r="U21" i="48"/>
  <c r="V18" i="44"/>
  <c r="U17" i="50"/>
  <c r="W22" i="47"/>
  <c r="T20" i="40"/>
  <c r="Z20" i="36"/>
  <c r="Z23" i="34"/>
  <c r="U21" i="33"/>
  <c r="U23" i="32"/>
  <c r="X20" i="52"/>
  <c r="Z19" i="51"/>
  <c r="U22" i="48"/>
  <c r="V18" i="43"/>
  <c r="T17" i="39"/>
  <c r="U22" i="50"/>
  <c r="U19" i="49"/>
  <c r="W23" i="47"/>
  <c r="Z19" i="38"/>
  <c r="Z19" i="36"/>
  <c r="U23" i="48"/>
  <c r="V22" i="44"/>
  <c r="V19" i="41"/>
  <c r="U20" i="33"/>
  <c r="T18" i="46"/>
  <c r="T22" i="45"/>
  <c r="Z18" i="36"/>
  <c r="Z21" i="34"/>
  <c r="X19" i="52"/>
  <c r="Z18" i="51"/>
  <c r="U17" i="49"/>
  <c r="V22" i="43"/>
  <c r="V18" i="41"/>
  <c r="X17" i="35"/>
  <c r="Z18" i="53"/>
  <c r="U19" i="48"/>
  <c r="V19" i="44"/>
  <c r="V23" i="41"/>
  <c r="U18" i="32"/>
  <c r="W20" i="47"/>
  <c r="T18" i="45"/>
  <c r="T20" i="42"/>
  <c r="Z22" i="36"/>
  <c r="X21" i="35"/>
  <c r="Z25" i="34"/>
  <c r="U21" i="50"/>
  <c r="U23" i="49"/>
  <c r="U18" i="49"/>
  <c r="T19" i="46"/>
  <c r="T23" i="45"/>
  <c r="Z18" i="38"/>
  <c r="Z20" i="34"/>
  <c r="U19" i="33"/>
  <c r="U21" i="32"/>
  <c r="Z20" i="51"/>
  <c r="V22" i="41"/>
  <c r="T19" i="45"/>
  <c r="U17" i="32"/>
  <c r="U18" i="31"/>
  <c r="T20" i="28"/>
  <c r="U18" i="15"/>
  <c r="T18" i="16"/>
  <c r="T17" i="16"/>
  <c r="U21" i="15"/>
  <c r="V22" i="26"/>
  <c r="Q19" i="7"/>
  <c r="T19" i="13"/>
  <c r="T17" i="24"/>
  <c r="V21" i="27"/>
  <c r="T18" i="23"/>
  <c r="U22" i="31"/>
  <c r="W20" i="30"/>
  <c r="T17" i="21"/>
  <c r="Q17" i="5"/>
  <c r="Z20" i="12"/>
  <c r="T20" i="9"/>
  <c r="Z22" i="12"/>
  <c r="T19" i="24"/>
  <c r="Q17" i="8"/>
  <c r="T22" i="28"/>
  <c r="T21" i="28"/>
  <c r="U17" i="20"/>
  <c r="T20" i="29"/>
  <c r="V20" i="27"/>
  <c r="V18" i="26"/>
  <c r="T20" i="24"/>
  <c r="T17" i="23"/>
  <c r="T19" i="18"/>
  <c r="T18" i="17"/>
  <c r="W18" i="30"/>
  <c r="T19" i="14"/>
  <c r="V20" i="26"/>
  <c r="T17" i="17"/>
  <c r="U18" i="10"/>
  <c r="T17" i="18"/>
  <c r="T18" i="13"/>
  <c r="T20" i="21"/>
  <c r="T20" i="25"/>
  <c r="T20" i="16"/>
  <c r="T20" i="17"/>
  <c r="T19" i="16"/>
  <c r="U23" i="31"/>
  <c r="U17" i="31"/>
  <c r="W19" i="30"/>
  <c r="Z18" i="22"/>
  <c r="T18" i="14"/>
  <c r="Z21" i="12"/>
  <c r="T21" i="9"/>
  <c r="T20" i="19"/>
  <c r="T18" i="18"/>
  <c r="T17" i="28"/>
  <c r="U21" i="10"/>
  <c r="T17" i="19"/>
  <c r="T21" i="13"/>
  <c r="T19" i="28"/>
  <c r="V19" i="26"/>
  <c r="U17" i="15"/>
  <c r="Z19" i="22"/>
  <c r="V19" i="27"/>
  <c r="Z20" i="22"/>
  <c r="T20" i="14"/>
  <c r="T18" i="24"/>
  <c r="T19" i="25"/>
  <c r="T19" i="23"/>
  <c r="U19" i="31"/>
  <c r="U19" i="15"/>
  <c r="Q18" i="5"/>
  <c r="T19" i="17"/>
  <c r="W17" i="30"/>
  <c r="T18" i="28"/>
  <c r="V21" i="26"/>
  <c r="Q18" i="8"/>
  <c r="T19" i="19"/>
  <c r="T18" i="21"/>
  <c r="T21" i="14"/>
  <c r="U19" i="10"/>
  <c r="T18" i="29"/>
  <c r="V18" i="27"/>
  <c r="T20" i="23"/>
  <c r="U20" i="10"/>
  <c r="U20" i="15"/>
  <c r="V17" i="27"/>
  <c r="T21" i="25"/>
  <c r="Q17" i="7"/>
  <c r="W22" i="30"/>
  <c r="T19" i="21"/>
  <c r="T17" i="29"/>
  <c r="Q18" i="7"/>
  <c r="U17" i="10"/>
  <c r="U20" i="31"/>
  <c r="T21" i="29"/>
  <c r="T22" i="25"/>
  <c r="U21" i="31"/>
  <c r="W21" i="30"/>
  <c r="V17" i="26"/>
  <c r="T17" i="25"/>
  <c r="Q19" i="5"/>
  <c r="Z19" i="12"/>
  <c r="T19" i="9"/>
  <c r="T20" i="18"/>
  <c r="T19" i="29"/>
  <c r="Q19" i="8"/>
  <c r="T18" i="25"/>
  <c r="T18" i="19"/>
  <c r="T22" i="29"/>
  <c r="V22" i="27"/>
  <c r="T20" i="13"/>
  <c r="T18" i="9"/>
  <c r="Z17" i="22"/>
  <c r="T17" i="14"/>
  <c r="T17" i="13"/>
  <c r="H13" i="12"/>
  <c r="C13" i="20"/>
  <c r="C13" i="54"/>
  <c r="C13" i="13"/>
  <c r="H13" i="40"/>
  <c r="O13" i="21"/>
  <c r="Q13" i="15"/>
  <c r="C13" i="45"/>
  <c r="C13" i="53"/>
  <c r="E4" i="39"/>
  <c r="P13" i="18"/>
  <c r="H13" i="51"/>
  <c r="H13" i="29"/>
  <c r="Q13" i="44"/>
  <c r="Q13" i="32"/>
  <c r="E4" i="28"/>
  <c r="H13" i="38"/>
  <c r="C13" i="21"/>
  <c r="E4" i="13"/>
  <c r="C13" i="41"/>
  <c r="H13" i="13"/>
  <c r="H13" i="17"/>
  <c r="R13" i="43"/>
  <c r="H13" i="35"/>
  <c r="O13" i="39"/>
  <c r="C13" i="38"/>
  <c r="C13" i="12"/>
  <c r="P13" i="40"/>
  <c r="E4" i="48"/>
  <c r="H13" i="15"/>
  <c r="C13" i="47"/>
  <c r="H13" i="47"/>
  <c r="P13" i="39"/>
  <c r="H13" i="18"/>
  <c r="V13" i="53"/>
  <c r="C13" i="36"/>
  <c r="E4" i="44"/>
  <c r="H13" i="24"/>
  <c r="H13" i="31"/>
  <c r="R13" i="26"/>
  <c r="C13" i="27"/>
  <c r="E4" i="32"/>
  <c r="M17" i="32" s="1"/>
  <c r="C13" i="52"/>
  <c r="P13" i="37"/>
  <c r="C13" i="26"/>
  <c r="E4" i="26"/>
  <c r="C13" i="14"/>
  <c r="C13" i="49"/>
  <c r="P13" i="54"/>
  <c r="E4" i="54"/>
  <c r="U13" i="34"/>
  <c r="C13" i="22"/>
  <c r="P13" i="46"/>
  <c r="V13" i="22"/>
  <c r="C13" i="37"/>
  <c r="H13" i="21"/>
  <c r="C13" i="18"/>
  <c r="O13" i="40"/>
  <c r="Q13" i="48"/>
  <c r="P13" i="15"/>
  <c r="P13" i="24"/>
  <c r="R13" i="47"/>
  <c r="C13" i="16"/>
  <c r="O13" i="18"/>
  <c r="H13" i="53"/>
  <c r="C13" i="44"/>
  <c r="R13" i="44"/>
  <c r="O13" i="42"/>
  <c r="R13" i="41"/>
  <c r="E4" i="25"/>
  <c r="C13" i="19"/>
  <c r="O13" i="37"/>
  <c r="E4" i="16"/>
  <c r="C13" i="39"/>
  <c r="E4" i="23"/>
  <c r="E4" i="27"/>
  <c r="P13" i="20"/>
  <c r="Q13" i="27"/>
  <c r="Q13" i="20"/>
  <c r="E4" i="19"/>
  <c r="C13" i="50"/>
  <c r="H13" i="34"/>
  <c r="C13" i="30"/>
  <c r="C13" i="15"/>
  <c r="H13" i="48"/>
  <c r="E4" i="30"/>
  <c r="O17" i="30" s="1"/>
  <c r="E4" i="24"/>
  <c r="E4" i="47"/>
  <c r="E4" i="41"/>
  <c r="S13" i="52"/>
  <c r="U13" i="53"/>
  <c r="Q13" i="31"/>
  <c r="H13" i="44"/>
  <c r="S13" i="30"/>
  <c r="T13" i="52"/>
  <c r="P13" i="14"/>
  <c r="P13" i="33"/>
  <c r="P13" i="45"/>
  <c r="C13" i="25"/>
  <c r="H13" i="26"/>
  <c r="P13" i="32"/>
  <c r="H13" i="37"/>
  <c r="R13" i="27"/>
  <c r="P13" i="28"/>
  <c r="H13" i="36"/>
  <c r="P13" i="19"/>
  <c r="C13" i="43"/>
  <c r="P13" i="17"/>
  <c r="O13" i="13"/>
  <c r="E4" i="34"/>
  <c r="T13" i="35"/>
  <c r="Q13" i="43"/>
  <c r="P13" i="21"/>
  <c r="P13" i="29"/>
  <c r="H13" i="39"/>
  <c r="E4" i="15"/>
  <c r="C13" i="29"/>
  <c r="E4" i="42"/>
  <c r="P13" i="48"/>
  <c r="H13" i="30"/>
  <c r="O13" i="24"/>
  <c r="S13" i="47"/>
  <c r="H13" i="41"/>
  <c r="H13" i="52"/>
  <c r="E4" i="53"/>
  <c r="P13" i="31"/>
  <c r="C13" i="33"/>
  <c r="C13" i="48"/>
  <c r="C13" i="34"/>
  <c r="C13" i="31"/>
  <c r="C13" i="28"/>
  <c r="P13" i="50"/>
  <c r="H13" i="14"/>
  <c r="P13" i="16"/>
  <c r="E4" i="37"/>
  <c r="V13" i="36"/>
  <c r="H13" i="28"/>
  <c r="U13" i="38"/>
  <c r="E4" i="17"/>
  <c r="E4" i="22"/>
  <c r="H13" i="19"/>
  <c r="U13" i="22"/>
  <c r="E4" i="35"/>
  <c r="Q13" i="49"/>
  <c r="E4" i="40"/>
  <c r="E4" i="18"/>
  <c r="E7" i="18" s="1"/>
  <c r="Q13" i="50"/>
  <c r="E4" i="50"/>
  <c r="H13" i="42"/>
  <c r="E4" i="45"/>
  <c r="R13" i="30"/>
  <c r="C13" i="17"/>
  <c r="E4" i="14"/>
  <c r="Q13" i="41"/>
  <c r="E4" i="52"/>
  <c r="H13" i="33"/>
  <c r="E4" i="31"/>
  <c r="M17" i="31" s="1"/>
  <c r="P13" i="25"/>
  <c r="H13" i="45"/>
  <c r="H13" i="16"/>
  <c r="O13" i="25"/>
  <c r="Q13" i="26"/>
  <c r="H13" i="25"/>
  <c r="O13" i="45"/>
  <c r="Q13" i="33"/>
  <c r="V13" i="38"/>
  <c r="H13" i="27"/>
  <c r="C13" i="46"/>
  <c r="H13" i="54"/>
  <c r="C13" i="42"/>
  <c r="E4" i="38"/>
  <c r="H13" i="20"/>
  <c r="O13" i="17"/>
  <c r="P13" i="13"/>
  <c r="C13" i="35"/>
  <c r="H13" i="46"/>
  <c r="E4" i="21"/>
  <c r="E4" i="51"/>
  <c r="E4" i="43"/>
  <c r="O13" i="29"/>
  <c r="H13" i="50"/>
  <c r="P13" i="42"/>
  <c r="O13" i="14"/>
  <c r="P13" i="23"/>
  <c r="O13" i="23"/>
  <c r="E4" i="36"/>
  <c r="J3" i="36" s="1"/>
  <c r="H13" i="23"/>
  <c r="C13" i="32"/>
  <c r="C13" i="24"/>
  <c r="O13" i="54"/>
  <c r="E4" i="49"/>
  <c r="H13" i="43"/>
  <c r="C13" i="40"/>
  <c r="V13" i="51"/>
  <c r="H13" i="22"/>
  <c r="E4" i="33"/>
  <c r="O13" i="16"/>
  <c r="H13" i="32"/>
  <c r="O13" i="19"/>
  <c r="O13" i="28"/>
  <c r="U13" i="36"/>
  <c r="C13" i="51"/>
  <c r="E4" i="46"/>
  <c r="C13" i="23"/>
  <c r="V13" i="34"/>
  <c r="S13" i="35"/>
  <c r="P13" i="49"/>
  <c r="O13" i="46"/>
  <c r="E4" i="29"/>
  <c r="H13" i="49"/>
  <c r="U13" i="51"/>
  <c r="B13" i="9"/>
  <c r="C13" i="9" s="1"/>
  <c r="B13" i="6"/>
  <c r="T17" i="9"/>
  <c r="G13" i="9"/>
  <c r="E4" i="9" s="1"/>
  <c r="E7" i="9" s="1"/>
  <c r="B13" i="7"/>
  <c r="C13" i="7" s="1"/>
  <c r="E4" i="7"/>
  <c r="E7" i="7" s="1"/>
  <c r="B13" i="8"/>
  <c r="C13" i="8" s="1"/>
  <c r="B12" i="6"/>
  <c r="B13" i="10"/>
  <c r="C13" i="10" s="1"/>
  <c r="E4" i="8"/>
  <c r="E7" i="8" s="1"/>
  <c r="B17" i="6"/>
  <c r="B18" i="6"/>
  <c r="B19" i="6"/>
  <c r="B20" i="6"/>
  <c r="E4" i="10"/>
  <c r="E7" i="10" s="1"/>
  <c r="B22" i="6"/>
  <c r="B23" i="6"/>
  <c r="E4" i="5"/>
  <c r="E7" i="5" s="1"/>
  <c r="B24" i="6"/>
  <c r="B25" i="6"/>
  <c r="Q13" i="10"/>
  <c r="G5" i="10" s="1"/>
  <c r="B27" i="6"/>
  <c r="U13" i="12"/>
  <c r="Z17" i="12"/>
  <c r="E4" i="12"/>
  <c r="V13" i="12"/>
  <c r="E6" i="10"/>
  <c r="E8" i="10"/>
  <c r="H13" i="10"/>
  <c r="P13" i="10"/>
  <c r="E8" i="9"/>
  <c r="E6" i="9"/>
  <c r="E6" i="8"/>
  <c r="H13" i="8"/>
  <c r="L13" i="8"/>
  <c r="M13" i="8"/>
  <c r="E6" i="7"/>
  <c r="H13" i="7"/>
  <c r="L13" i="7"/>
  <c r="M13" i="7"/>
  <c r="L13" i="5"/>
  <c r="M13" i="5"/>
  <c r="G9" i="5" s="1"/>
  <c r="J9" i="3"/>
  <c r="M14" i="1" s="1"/>
  <c r="I9" i="3"/>
  <c r="K14" i="1" s="1"/>
  <c r="E8" i="5"/>
  <c r="E6" i="5"/>
  <c r="H13" i="5"/>
  <c r="H11" i="3" a="1"/>
  <c r="K9" i="3" a="1"/>
  <c r="H9" i="3" a="1"/>
  <c r="H14" i="3" a="1"/>
  <c r="K27" i="3" a="1"/>
  <c r="K11" i="3" a="1"/>
  <c r="O15" i="3" a="1"/>
  <c r="K34" i="3" a="1"/>
  <c r="L9" i="3" a="1"/>
  <c r="H15" i="3" a="1"/>
  <c r="K69" i="3" a="1"/>
  <c r="H10" i="3" a="1"/>
  <c r="K14" i="3" a="1"/>
  <c r="K15" i="3" a="1"/>
  <c r="K10" i="3" a="1"/>
  <c r="H14" i="3" l="1"/>
  <c r="I19" i="1" s="1"/>
  <c r="H11" i="3"/>
  <c r="I16" i="1" s="1"/>
  <c r="H10" i="3"/>
  <c r="I15" i="1" s="1"/>
  <c r="H15" i="3"/>
  <c r="I20" i="1" s="1"/>
  <c r="O15" i="3"/>
  <c r="N20" i="1" s="1"/>
  <c r="K69" i="3"/>
  <c r="P74" i="1" s="1"/>
  <c r="K34" i="3"/>
  <c r="K27" i="3"/>
  <c r="P32" i="1" s="1"/>
  <c r="K15" i="3"/>
  <c r="P20" i="1" s="1"/>
  <c r="K14" i="3"/>
  <c r="P19" i="1" s="1"/>
  <c r="K11" i="3"/>
  <c r="P16" i="1" s="1"/>
  <c r="K10" i="3"/>
  <c r="P15" i="1" s="1"/>
  <c r="L18" i="81"/>
  <c r="M18" i="81" s="1"/>
  <c r="L17" i="81"/>
  <c r="M17" i="81" s="1"/>
  <c r="L19" i="81"/>
  <c r="M19" i="81" s="1"/>
  <c r="L22" i="81"/>
  <c r="M22" i="81" s="1"/>
  <c r="L21" i="81"/>
  <c r="M21" i="81" s="1"/>
  <c r="L20" i="81"/>
  <c r="M20" i="81" s="1"/>
  <c r="L22" i="79"/>
  <c r="M22" i="79" s="1"/>
  <c r="L21" i="79"/>
  <c r="M21" i="79" s="1"/>
  <c r="L20" i="79"/>
  <c r="M20" i="79" s="1"/>
  <c r="L19" i="79"/>
  <c r="M19" i="79" s="1"/>
  <c r="L18" i="79"/>
  <c r="M18" i="79" s="1"/>
  <c r="L17" i="79"/>
  <c r="M17" i="79" s="1"/>
  <c r="L22" i="80"/>
  <c r="M22" i="80" s="1"/>
  <c r="L21" i="80"/>
  <c r="M21" i="80" s="1"/>
  <c r="L20" i="80"/>
  <c r="M20" i="80" s="1"/>
  <c r="L19" i="80"/>
  <c r="M19" i="80" s="1"/>
  <c r="L18" i="80"/>
  <c r="M18" i="80" s="1"/>
  <c r="L17" i="80"/>
  <c r="M17" i="80" s="1"/>
  <c r="L18" i="83"/>
  <c r="M18" i="83" s="1"/>
  <c r="L17" i="83"/>
  <c r="M17" i="83" s="1"/>
  <c r="L19" i="83"/>
  <c r="M19" i="83" s="1"/>
  <c r="L22" i="82"/>
  <c r="M22" i="82" s="1"/>
  <c r="L18" i="82"/>
  <c r="M18" i="82" s="1"/>
  <c r="L17" i="82"/>
  <c r="M17" i="82" s="1"/>
  <c r="L21" i="82"/>
  <c r="M21" i="82" s="1"/>
  <c r="L20" i="82"/>
  <c r="M20" i="82" s="1"/>
  <c r="L19" i="82"/>
  <c r="M19" i="82" s="1"/>
  <c r="G4" i="80"/>
  <c r="G4" i="79"/>
  <c r="G4" i="81"/>
  <c r="G5" i="76"/>
  <c r="G9" i="76"/>
  <c r="G8" i="76"/>
  <c r="G6" i="76"/>
  <c r="G4" i="78"/>
  <c r="E7" i="78"/>
  <c r="G4" i="77"/>
  <c r="E7" i="77"/>
  <c r="E7" i="76"/>
  <c r="G4" i="76"/>
  <c r="G9" i="77"/>
  <c r="G5" i="77"/>
  <c r="G6" i="77"/>
  <c r="G8" i="77"/>
  <c r="G4" i="75"/>
  <c r="E7" i="75"/>
  <c r="G5" i="78"/>
  <c r="G9" i="78"/>
  <c r="G6" i="78"/>
  <c r="G8" i="78"/>
  <c r="G4" i="74"/>
  <c r="E7" i="74"/>
  <c r="G4" i="82"/>
  <c r="G4" i="83"/>
  <c r="G9" i="74"/>
  <c r="G5" i="74"/>
  <c r="G6" i="74"/>
  <c r="G8" i="74"/>
  <c r="G8" i="75"/>
  <c r="G9" i="75"/>
  <c r="G5" i="75"/>
  <c r="G6" i="75"/>
  <c r="G7" i="73"/>
  <c r="G4" i="73"/>
  <c r="G5" i="73"/>
  <c r="G9" i="73"/>
  <c r="G6" i="73"/>
  <c r="G8" i="73"/>
  <c r="G4" i="65"/>
  <c r="E7" i="65"/>
  <c r="G8" i="60"/>
  <c r="G5" i="60"/>
  <c r="G6" i="60"/>
  <c r="G9" i="60"/>
  <c r="G9" i="65"/>
  <c r="G8" i="65"/>
  <c r="G5" i="65"/>
  <c r="G6" i="65"/>
  <c r="G5" i="67"/>
  <c r="G9" i="67"/>
  <c r="G6" i="67"/>
  <c r="G8" i="67"/>
  <c r="G9" i="71"/>
  <c r="G8" i="71"/>
  <c r="G5" i="71"/>
  <c r="G6" i="71"/>
  <c r="E7" i="58"/>
  <c r="G4" i="58"/>
  <c r="G5" i="69"/>
  <c r="G8" i="69"/>
  <c r="G6" i="69"/>
  <c r="G9" i="69"/>
  <c r="G5" i="58"/>
  <c r="G6" i="58"/>
  <c r="G9" i="58"/>
  <c r="G8" i="58"/>
  <c r="G4" i="66"/>
  <c r="E7" i="66"/>
  <c r="G4" i="60"/>
  <c r="E7" i="60"/>
  <c r="E7" i="61"/>
  <c r="G4" i="61"/>
  <c r="G6" i="61"/>
  <c r="G8" i="61"/>
  <c r="G9" i="61"/>
  <c r="G5" i="61"/>
  <c r="G5" i="68"/>
  <c r="G8" i="68"/>
  <c r="G9" i="68"/>
  <c r="G6" i="68"/>
  <c r="E7" i="69"/>
  <c r="G4" i="69"/>
  <c r="E7" i="68"/>
  <c r="G4" i="68"/>
  <c r="G8" i="62"/>
  <c r="G6" i="62"/>
  <c r="G9" i="62"/>
  <c r="G5" i="62"/>
  <c r="E7" i="59"/>
  <c r="G4" i="59"/>
  <c r="G4" i="67"/>
  <c r="E7" i="67"/>
  <c r="G6" i="72"/>
  <c r="G5" i="72"/>
  <c r="G9" i="72"/>
  <c r="G8" i="72"/>
  <c r="G5" i="57"/>
  <c r="G9" i="57"/>
  <c r="G8" i="57"/>
  <c r="G6" i="57"/>
  <c r="E7" i="57"/>
  <c r="G4" i="57"/>
  <c r="G8" i="59"/>
  <c r="G9" i="59"/>
  <c r="G6" i="59"/>
  <c r="G5" i="59"/>
  <c r="E7" i="71"/>
  <c r="G4" i="71"/>
  <c r="G5" i="64"/>
  <c r="G8" i="64"/>
  <c r="G9" i="64"/>
  <c r="G6" i="64"/>
  <c r="E7" i="64"/>
  <c r="G4" i="64"/>
  <c r="E7" i="62"/>
  <c r="G4" i="62"/>
  <c r="G9" i="70"/>
  <c r="G8" i="70"/>
  <c r="G5" i="70"/>
  <c r="G6" i="70"/>
  <c r="E7" i="70"/>
  <c r="G4" i="70"/>
  <c r="G6" i="66"/>
  <c r="G5" i="66"/>
  <c r="G9" i="66"/>
  <c r="G8" i="66"/>
  <c r="E7" i="72"/>
  <c r="G4" i="72"/>
  <c r="G8" i="7"/>
  <c r="G6" i="8"/>
  <c r="R11" i="3"/>
  <c r="R10" i="3"/>
  <c r="L9" i="3"/>
  <c r="R9" i="3"/>
  <c r="E9" i="31"/>
  <c r="E5" i="31"/>
  <c r="N17" i="31"/>
  <c r="N18" i="31" s="1"/>
  <c r="E9" i="32"/>
  <c r="E5" i="32"/>
  <c r="N17" i="32"/>
  <c r="N18" i="32" s="1"/>
  <c r="M22" i="34"/>
  <c r="R22" i="34" s="1"/>
  <c r="K17" i="33" a="1"/>
  <c r="E9" i="30"/>
  <c r="P17" i="30"/>
  <c r="P18" i="30" s="1"/>
  <c r="E5" i="30"/>
  <c r="G4" i="32"/>
  <c r="G4" i="19"/>
  <c r="E7" i="19"/>
  <c r="G5" i="48"/>
  <c r="G6" i="48"/>
  <c r="G8" i="48"/>
  <c r="G9" i="48"/>
  <c r="G4" i="31"/>
  <c r="G4" i="37"/>
  <c r="E7" i="28"/>
  <c r="G4" i="28"/>
  <c r="G9" i="29"/>
  <c r="G8" i="29"/>
  <c r="G5" i="29"/>
  <c r="G6" i="29"/>
  <c r="G9" i="47"/>
  <c r="G6" i="47"/>
  <c r="G5" i="47"/>
  <c r="G8" i="47"/>
  <c r="G8" i="43"/>
  <c r="G6" i="43"/>
  <c r="G5" i="43"/>
  <c r="G9" i="43"/>
  <c r="G4" i="43"/>
  <c r="E7" i="43"/>
  <c r="G4" i="51"/>
  <c r="E7" i="51"/>
  <c r="G6" i="20"/>
  <c r="G5" i="20"/>
  <c r="G9" i="20"/>
  <c r="G8" i="20"/>
  <c r="E7" i="42"/>
  <c r="G4" i="42"/>
  <c r="E7" i="13"/>
  <c r="G4" i="13"/>
  <c r="E7" i="27"/>
  <c r="G4" i="27"/>
  <c r="E7" i="14"/>
  <c r="G4" i="14"/>
  <c r="G8" i="22"/>
  <c r="G9" i="22"/>
  <c r="G6" i="22"/>
  <c r="G5" i="22"/>
  <c r="E7" i="49"/>
  <c r="G4" i="49"/>
  <c r="G5" i="39"/>
  <c r="G9" i="39"/>
  <c r="G6" i="39"/>
  <c r="G8" i="39"/>
  <c r="E7" i="25"/>
  <c r="G4" i="25"/>
  <c r="G8" i="41"/>
  <c r="G6" i="41"/>
  <c r="G5" i="41"/>
  <c r="G9" i="41"/>
  <c r="E7" i="21"/>
  <c r="G4" i="21"/>
  <c r="E7" i="44"/>
  <c r="G4" i="44"/>
  <c r="G9" i="13"/>
  <c r="G8" i="13"/>
  <c r="G6" i="13"/>
  <c r="G5" i="13"/>
  <c r="E7" i="23"/>
  <c r="G4" i="23"/>
  <c r="G9" i="35"/>
  <c r="G5" i="35"/>
  <c r="G6" i="35"/>
  <c r="G8" i="35"/>
  <c r="E7" i="54"/>
  <c r="G4" i="54"/>
  <c r="E7" i="41"/>
  <c r="G4" i="41"/>
  <c r="E7" i="47"/>
  <c r="G4" i="47"/>
  <c r="E7" i="36"/>
  <c r="G4" i="36"/>
  <c r="G5" i="38"/>
  <c r="G9" i="38"/>
  <c r="G8" i="38"/>
  <c r="G6" i="38"/>
  <c r="G7" i="18"/>
  <c r="E7" i="24"/>
  <c r="G4" i="24"/>
  <c r="G9" i="44"/>
  <c r="G6" i="44"/>
  <c r="G5" i="44"/>
  <c r="G8" i="44"/>
  <c r="G6" i="40"/>
  <c r="G5" i="40"/>
  <c r="G9" i="40"/>
  <c r="G8" i="40"/>
  <c r="G4" i="17"/>
  <c r="E7" i="17"/>
  <c r="G5" i="45"/>
  <c r="G9" i="45"/>
  <c r="G8" i="45"/>
  <c r="G6" i="45"/>
  <c r="G5" i="36"/>
  <c r="G9" i="36"/>
  <c r="G6" i="36"/>
  <c r="G8" i="36"/>
  <c r="G5" i="53"/>
  <c r="G8" i="53"/>
  <c r="G9" i="53"/>
  <c r="G6" i="53"/>
  <c r="G8" i="46"/>
  <c r="G9" i="46"/>
  <c r="G6" i="46"/>
  <c r="G5" i="46"/>
  <c r="G4" i="38"/>
  <c r="E7" i="38"/>
  <c r="G8" i="54"/>
  <c r="G5" i="54"/>
  <c r="G6" i="54"/>
  <c r="G9" i="54"/>
  <c r="G4" i="20"/>
  <c r="E7" i="40"/>
  <c r="G4" i="40"/>
  <c r="G5" i="19"/>
  <c r="G6" i="19"/>
  <c r="G8" i="19"/>
  <c r="G9" i="19"/>
  <c r="G4" i="30"/>
  <c r="G8" i="15"/>
  <c r="G6" i="15"/>
  <c r="G9" i="15"/>
  <c r="G5" i="15"/>
  <c r="E7" i="22"/>
  <c r="G4" i="22"/>
  <c r="G5" i="24"/>
  <c r="G9" i="24"/>
  <c r="G6" i="24"/>
  <c r="G8" i="24"/>
  <c r="G4" i="33"/>
  <c r="G9" i="14"/>
  <c r="G8" i="14"/>
  <c r="G6" i="14"/>
  <c r="G5" i="14"/>
  <c r="G5" i="52"/>
  <c r="G9" i="52"/>
  <c r="G8" i="52"/>
  <c r="G6" i="52"/>
  <c r="E7" i="45"/>
  <c r="G4" i="45"/>
  <c r="E7" i="39"/>
  <c r="G4" i="39"/>
  <c r="G9" i="17"/>
  <c r="G6" i="17"/>
  <c r="G5" i="17"/>
  <c r="G8" i="17"/>
  <c r="G8" i="23"/>
  <c r="G9" i="23"/>
  <c r="G5" i="23"/>
  <c r="G6" i="23"/>
  <c r="G9" i="49"/>
  <c r="G5" i="49"/>
  <c r="G8" i="49"/>
  <c r="G6" i="49"/>
  <c r="E7" i="53"/>
  <c r="G4" i="53"/>
  <c r="G4" i="26"/>
  <c r="E7" i="26"/>
  <c r="G5" i="25"/>
  <c r="G9" i="25"/>
  <c r="G8" i="25"/>
  <c r="G6" i="25"/>
  <c r="G5" i="26"/>
  <c r="G9" i="26"/>
  <c r="G8" i="26"/>
  <c r="G6" i="26"/>
  <c r="E7" i="52"/>
  <c r="G4" i="52"/>
  <c r="G5" i="16"/>
  <c r="G8" i="16"/>
  <c r="G6" i="16"/>
  <c r="G9" i="16"/>
  <c r="G8" i="21"/>
  <c r="G9" i="21"/>
  <c r="G5" i="21"/>
  <c r="G6" i="21"/>
  <c r="E7" i="29"/>
  <c r="G4" i="29"/>
  <c r="G4" i="18"/>
  <c r="G8" i="18"/>
  <c r="G5" i="18"/>
  <c r="G6" i="18"/>
  <c r="G9" i="18"/>
  <c r="G4" i="50"/>
  <c r="E7" i="50"/>
  <c r="G9" i="50"/>
  <c r="G5" i="50"/>
  <c r="G8" i="50"/>
  <c r="G6" i="50"/>
  <c r="E7" i="48"/>
  <c r="G4" i="48"/>
  <c r="E7" i="46"/>
  <c r="G4" i="46"/>
  <c r="G4" i="35"/>
  <c r="E7" i="35"/>
  <c r="G9" i="28"/>
  <c r="G5" i="28"/>
  <c r="G8" i="28"/>
  <c r="G6" i="28"/>
  <c r="E7" i="15"/>
  <c r="G4" i="15"/>
  <c r="G9" i="51"/>
  <c r="G5" i="51"/>
  <c r="G6" i="51"/>
  <c r="G8" i="51"/>
  <c r="E7" i="16"/>
  <c r="G4" i="16"/>
  <c r="G4" i="34"/>
  <c r="G9" i="42"/>
  <c r="G6" i="42"/>
  <c r="G8" i="42"/>
  <c r="G5" i="42"/>
  <c r="G9" i="27"/>
  <c r="G8" i="27"/>
  <c r="G5" i="27"/>
  <c r="G6" i="27"/>
  <c r="O13" i="9"/>
  <c r="H13" i="9"/>
  <c r="P13" i="9"/>
  <c r="G4" i="9" s="1"/>
  <c r="G4" i="10"/>
  <c r="G8" i="10"/>
  <c r="G6" i="10"/>
  <c r="G9" i="10"/>
  <c r="G7" i="10"/>
  <c r="G4" i="12"/>
  <c r="G9" i="8"/>
  <c r="G5" i="8"/>
  <c r="G4" i="8"/>
  <c r="G7" i="8"/>
  <c r="G8" i="8"/>
  <c r="G7" i="7"/>
  <c r="G5" i="7"/>
  <c r="G9" i="7"/>
  <c r="G4" i="7"/>
  <c r="G6" i="7"/>
  <c r="K9" i="3"/>
  <c r="P14" i="1" s="1"/>
  <c r="H9" i="3"/>
  <c r="I14" i="1" s="1"/>
  <c r="G4" i="5"/>
  <c r="N24" i="3" a="1"/>
  <c r="M80" i="3" a="1"/>
  <c r="Q55" i="3" a="1"/>
  <c r="M26" i="3" a="1"/>
  <c r="O56" i="3" a="1"/>
  <c r="M94" i="3" a="1"/>
  <c r="Q48" i="3" a="1"/>
  <c r="O41" i="3" a="1"/>
  <c r="O44" i="3" a="1"/>
  <c r="Q72" i="3" a="1"/>
  <c r="M39" i="3" a="1"/>
  <c r="O38" i="3" a="1"/>
  <c r="K44" i="3" a="1"/>
  <c r="K79" i="3" a="1"/>
  <c r="O55" i="3" a="1"/>
  <c r="K48" i="3" a="1"/>
  <c r="M72" i="3" a="1"/>
  <c r="N30" i="3" a="1"/>
  <c r="K25" i="3" a="1"/>
  <c r="O25" i="3" a="1"/>
  <c r="O40" i="3" a="1"/>
  <c r="O68" i="3" a="1"/>
  <c r="Q83" i="3" a="1"/>
  <c r="N26" i="3" a="1"/>
  <c r="M46" i="3" a="1"/>
  <c r="N87" i="3" a="1"/>
  <c r="Q46" i="3" a="1"/>
  <c r="K68" i="3" a="1"/>
  <c r="Q44" i="3" a="1"/>
  <c r="N15" i="3" a="1"/>
  <c r="M83" i="3" a="1"/>
  <c r="O71" i="3" a="1"/>
  <c r="M34" i="3" a="1"/>
  <c r="P10" i="3" a="1"/>
  <c r="K18" i="3" a="1"/>
  <c r="M87" i="3" a="1"/>
  <c r="J52" i="3" a="1"/>
  <c r="O46" i="3" a="1"/>
  <c r="Q30" i="3" a="1"/>
  <c r="O17" i="3" a="1"/>
  <c r="O79" i="3" a="1"/>
  <c r="M71" i="3" a="1"/>
  <c r="M82" i="3" a="1"/>
  <c r="K77" i="3" a="1"/>
  <c r="O74" i="3" a="1"/>
  <c r="K47" i="3" a="1"/>
  <c r="N62" i="3" a="1"/>
  <c r="N32" i="3" a="1"/>
  <c r="O21" i="3" a="1"/>
  <c r="N74" i="3" a="1"/>
  <c r="K58" i="3" a="1"/>
  <c r="M79" i="3" a="1"/>
  <c r="P27" i="3" a="1"/>
  <c r="N94" i="3" a="1"/>
  <c r="J49" i="3" a="1"/>
  <c r="K21" i="3" a="1"/>
  <c r="O73" i="3" a="1"/>
  <c r="N20" i="3" a="1"/>
  <c r="M25" i="3" a="1"/>
  <c r="M61" i="3" a="1"/>
  <c r="Q56" i="3" a="1"/>
  <c r="N41" i="3" a="1"/>
  <c r="K89" i="3" a="1"/>
  <c r="P69" i="3" a="1"/>
  <c r="Q80" i="3" a="1"/>
  <c r="N22" i="3" a="1"/>
  <c r="N18" i="3" a="1"/>
  <c r="N46" i="3" a="1"/>
  <c r="N48" i="3" a="1"/>
  <c r="K59" i="3" a="1"/>
  <c r="I51" i="3" a="1"/>
  <c r="O93" i="3" a="1"/>
  <c r="K92" i="3" a="1"/>
  <c r="N47" i="3" a="1"/>
  <c r="K46" i="3" a="1"/>
  <c r="O66" i="3" a="1"/>
  <c r="M24" i="3" a="1"/>
  <c r="O62" i="3" a="1"/>
  <c r="Q67" i="3" a="1"/>
  <c r="O18" i="3" a="1"/>
  <c r="M55" i="3" a="1"/>
  <c r="O86" i="3" a="1"/>
  <c r="N35" i="3" a="1"/>
  <c r="K81" i="3" a="1"/>
  <c r="N92" i="3" a="1"/>
  <c r="M59" i="3" a="1"/>
  <c r="K19" i="3" a="1"/>
  <c r="Q40" i="3" a="1"/>
  <c r="M40" i="3" a="1"/>
  <c r="N58" i="3" a="1"/>
  <c r="N21" i="3" a="1"/>
  <c r="M66" i="3" a="1"/>
  <c r="O42" i="3" a="1"/>
  <c r="N10" i="3" a="1"/>
  <c r="Q26" i="3" a="1"/>
  <c r="O27" i="3" a="1"/>
  <c r="K26" i="3" a="1"/>
  <c r="I52" i="3" a="1"/>
  <c r="J51" i="3" a="1"/>
  <c r="Q66" i="3" a="1"/>
  <c r="Q73" i="3" a="1"/>
  <c r="M92" i="3" a="1"/>
  <c r="K29" i="3" a="1"/>
  <c r="O45" i="3" a="1"/>
  <c r="K42" i="3" a="1"/>
  <c r="Q41" i="3" a="1"/>
  <c r="N71" i="3" a="1"/>
  <c r="M69" i="3" a="1"/>
  <c r="K62" i="3" a="1"/>
  <c r="O77" i="3" a="1"/>
  <c r="M29" i="3" a="1"/>
  <c r="M19" i="3" a="1"/>
  <c r="M62" i="3" a="1"/>
  <c r="M18" i="3" a="1"/>
  <c r="M60" i="3" a="1"/>
  <c r="K73" i="3" a="1"/>
  <c r="O19" i="3" a="1"/>
  <c r="N42" i="3" a="1"/>
  <c r="N79" i="3" a="1"/>
  <c r="O35" i="3" a="1"/>
  <c r="K66" i="3" a="1"/>
  <c r="Q62" i="3" a="1"/>
  <c r="Q15" i="3" a="1"/>
  <c r="Q68" i="3" a="1"/>
  <c r="K74" i="3" a="1"/>
  <c r="N60" i="3" a="1"/>
  <c r="Q45" i="3" a="1"/>
  <c r="M74" i="3" a="1"/>
  <c r="M86" i="3" a="1"/>
  <c r="M77" i="3" a="1"/>
  <c r="K94" i="3" a="1"/>
  <c r="N11" i="3" a="1"/>
  <c r="K20" i="3" a="1"/>
  <c r="N89" i="3" a="1"/>
  <c r="N19" i="3" a="1"/>
  <c r="O47" i="3" a="1"/>
  <c r="O82" i="3" a="1"/>
  <c r="O34" i="3" a="1"/>
  <c r="K86" i="3" a="1"/>
  <c r="N77" i="3" a="1"/>
  <c r="Q20" i="3" a="1"/>
  <c r="Q28" i="3" a="1"/>
  <c r="K87" i="3" a="1"/>
  <c r="O89" i="3" a="1"/>
  <c r="K75" i="3" a="1"/>
  <c r="N39" i="3" a="1"/>
  <c r="N75" i="3" a="1"/>
  <c r="M22" i="3" a="1"/>
  <c r="K24" i="3" a="1"/>
  <c r="Q61" i="3" a="1"/>
  <c r="M41" i="3" a="1"/>
  <c r="N86" i="3" a="1"/>
  <c r="N84" i="3" a="1"/>
  <c r="K45" i="3" a="1"/>
  <c r="O84" i="3" a="1"/>
  <c r="N59" i="3" a="1"/>
  <c r="O69" i="3" a="1"/>
  <c r="O31" i="3" a="1"/>
  <c r="O75" i="3" a="1"/>
  <c r="O81" i="3" a="1"/>
  <c r="N66" i="3" a="1"/>
  <c r="Q10" i="3" a="1"/>
  <c r="Q93" i="3" a="1"/>
  <c r="O83" i="3" a="1"/>
  <c r="Q38" i="3" a="1"/>
  <c r="N68" i="3" a="1"/>
  <c r="K32" i="3" a="1"/>
  <c r="Q74" i="3" a="1"/>
  <c r="K83" i="3" a="1"/>
  <c r="O26" i="3" a="1"/>
  <c r="Q31" i="3" a="1"/>
  <c r="Q89" i="3" a="1"/>
  <c r="N55" i="3" a="1"/>
  <c r="Q25" i="3" a="1"/>
  <c r="N61" i="3" a="1"/>
  <c r="Q79" i="3" a="1"/>
  <c r="O59" i="3" a="1"/>
  <c r="M20" i="3" a="1"/>
  <c r="M32" i="3" a="1"/>
  <c r="O76" i="3" a="1"/>
  <c r="K38" i="3" a="1"/>
  <c r="O28" i="3" a="1"/>
  <c r="M44" i="3" a="1"/>
  <c r="M67" i="3" a="1"/>
  <c r="M42" i="3" a="1"/>
  <c r="M35" i="3" a="1"/>
  <c r="O22" i="3" a="1"/>
  <c r="K72" i="3" a="1"/>
  <c r="K17" i="3" a="1"/>
  <c r="O32" i="3" a="1"/>
  <c r="M84" i="3" a="1"/>
  <c r="K41" i="3" a="1"/>
  <c r="P11" i="3" a="1"/>
  <c r="N45" i="3" a="1"/>
  <c r="Q59" i="3" a="1"/>
  <c r="N82" i="3" a="1"/>
  <c r="M68" i="3" a="1"/>
  <c r="Q21" i="3" a="1"/>
  <c r="Q92" i="3" a="1"/>
  <c r="M73" i="3" a="1"/>
  <c r="O20" i="3" a="1"/>
  <c r="N69" i="3" a="1"/>
  <c r="Q69" i="3" a="1"/>
  <c r="O29" i="3" a="1"/>
  <c r="M48" i="3" a="1"/>
  <c r="K93" i="3" a="1"/>
  <c r="Q19" i="3" a="1"/>
  <c r="Q32" i="3" a="1"/>
  <c r="Q81" i="3" a="1"/>
  <c r="O58" i="3" a="1"/>
  <c r="M76" i="3" a="1"/>
  <c r="M38" i="3" a="1"/>
  <c r="Q24" i="3" a="1"/>
  <c r="K67" i="3" a="1"/>
  <c r="M56" i="3" a="1"/>
  <c r="K28" i="3" a="1"/>
  <c r="O48" i="3" a="1"/>
  <c r="M27" i="3" a="1"/>
  <c r="N76" i="3" a="1"/>
  <c r="N44" i="3" a="1"/>
  <c r="M89" i="3" a="1"/>
  <c r="K35" i="3" a="1"/>
  <c r="N34" i="3" a="1"/>
  <c r="Q18" i="3" a="1"/>
  <c r="Q27" i="3" a="1"/>
  <c r="K80" i="3" a="1"/>
  <c r="Q35" i="3" a="1"/>
  <c r="Q86" i="3" a="1"/>
  <c r="Q47" i="3" a="1"/>
  <c r="O67" i="3" a="1"/>
  <c r="M81" i="3" a="1"/>
  <c r="O39" i="3" a="1"/>
  <c r="M17" i="3" a="1"/>
  <c r="M10" i="3" a="1"/>
  <c r="N73" i="3" a="1"/>
  <c r="K61" i="3" a="1"/>
  <c r="N29" i="3" a="1"/>
  <c r="Q17" i="3" a="1"/>
  <c r="Q34" i="3" a="1"/>
  <c r="Q84" i="3" a="1"/>
  <c r="K56" i="3" a="1"/>
  <c r="N83" i="3" a="1"/>
  <c r="Q60" i="3" a="1"/>
  <c r="N17" i="3" a="1"/>
  <c r="K40" i="3" a="1"/>
  <c r="K55" i="3" a="1"/>
  <c r="O87" i="3" a="1"/>
  <c r="M45" i="3" a="1"/>
  <c r="K31" i="3" a="1"/>
  <c r="O92" i="3" a="1"/>
  <c r="K71" i="3" a="1"/>
  <c r="O11" i="3" a="1"/>
  <c r="O72" i="3" a="1"/>
  <c r="Q58" i="3" a="1"/>
  <c r="N25" i="3" a="1"/>
  <c r="O30" i="3" a="1"/>
  <c r="K60" i="3" a="1"/>
  <c r="Q75" i="3" a="1"/>
  <c r="K82" i="3" a="1"/>
  <c r="Q94" i="3" a="1"/>
  <c r="Q87" i="3" a="1"/>
  <c r="N67" i="3" a="1"/>
  <c r="M58" i="3" a="1"/>
  <c r="O24" i="3" a="1"/>
  <c r="K30" i="3" a="1"/>
  <c r="K84" i="3" a="1"/>
  <c r="Q39" i="3" a="1"/>
  <c r="M31" i="3" a="1"/>
  <c r="M30" i="3" a="1"/>
  <c r="N56" i="3" a="1"/>
  <c r="M93" i="3" a="1"/>
  <c r="Q22" i="3" a="1"/>
  <c r="Q71" i="3" a="1"/>
  <c r="Q29" i="3" a="1"/>
  <c r="O61" i="3" a="1"/>
  <c r="Q76" i="3" a="1"/>
  <c r="Q77" i="3" a="1"/>
  <c r="M15" i="3" a="1"/>
  <c r="O94" i="3" a="1"/>
  <c r="O10" i="3" a="1"/>
  <c r="O60" i="3" a="1"/>
  <c r="N38" i="3" a="1"/>
  <c r="N72" i="3" a="1"/>
  <c r="Q11" i="3" a="1"/>
  <c r="Q42" i="3" a="1"/>
  <c r="K39" i="3" a="1"/>
  <c r="M47" i="3" a="1"/>
  <c r="Q82" i="3" a="1"/>
  <c r="I49" i="3" a="1"/>
  <c r="N81" i="3" a="1"/>
  <c r="N28" i="3" a="1"/>
  <c r="M11" i="3" a="1"/>
  <c r="O80" i="3" a="1"/>
  <c r="N31" i="3" a="1"/>
  <c r="N80" i="3" a="1"/>
  <c r="M75" i="3" a="1"/>
  <c r="K76" i="3" a="1"/>
  <c r="P15" i="3" a="1"/>
  <c r="M21" i="3" a="1"/>
  <c r="M28" i="3" a="1"/>
  <c r="N27" i="3" a="1"/>
  <c r="N40" i="3" a="1"/>
  <c r="K22" i="3" a="1"/>
  <c r="N93" i="3" a="1"/>
  <c r="M81" i="3" l="1"/>
  <c r="J86" i="1" s="1"/>
  <c r="O40" i="3"/>
  <c r="N45" i="1" s="1"/>
  <c r="Q41" i="3"/>
  <c r="O89" i="3"/>
  <c r="O11" i="3"/>
  <c r="N16" i="1" s="1"/>
  <c r="O81" i="3"/>
  <c r="N86" i="1" s="1"/>
  <c r="Q40" i="3"/>
  <c r="N41" i="3"/>
  <c r="Q68" i="3"/>
  <c r="Q71" i="3"/>
  <c r="N48" i="3"/>
  <c r="M59" i="3"/>
  <c r="J64" i="1" s="1"/>
  <c r="Q21" i="3"/>
  <c r="O92" i="3"/>
  <c r="N97" i="1" s="1"/>
  <c r="O68" i="3"/>
  <c r="N73" i="1" s="1"/>
  <c r="O79" i="3"/>
  <c r="N11" i="3"/>
  <c r="N81" i="3"/>
  <c r="M45" i="3"/>
  <c r="J50" i="1" s="1"/>
  <c r="Q26" i="3"/>
  <c r="O41" i="3"/>
  <c r="N46" i="1" s="1"/>
  <c r="N68" i="3"/>
  <c r="Q34" i="3"/>
  <c r="M60" i="3"/>
  <c r="J65" i="1" s="1"/>
  <c r="M22" i="3"/>
  <c r="J27" i="1" s="1"/>
  <c r="M58" i="3"/>
  <c r="J63" i="1" s="1"/>
  <c r="Q59" i="3"/>
  <c r="Q94" i="3"/>
  <c r="N34" i="3"/>
  <c r="L39" i="1" s="1"/>
  <c r="O60" i="3"/>
  <c r="N65" i="1" s="1"/>
  <c r="Q22" i="3"/>
  <c r="N58" i="3"/>
  <c r="L63" i="1" s="1"/>
  <c r="O59" i="3"/>
  <c r="N64" i="1" s="1"/>
  <c r="M94" i="3"/>
  <c r="J99" i="1" s="1"/>
  <c r="N45" i="3"/>
  <c r="M26" i="3"/>
  <c r="J31" i="1" s="1"/>
  <c r="M76" i="3"/>
  <c r="M68" i="3"/>
  <c r="J73" i="1" s="1"/>
  <c r="Q55" i="3"/>
  <c r="Q67" i="3"/>
  <c r="O34" i="3"/>
  <c r="N39" i="1" s="1"/>
  <c r="Q60" i="3"/>
  <c r="N22" i="3"/>
  <c r="Q58" i="3"/>
  <c r="Q69" i="3"/>
  <c r="N94" i="3"/>
  <c r="M69" i="3"/>
  <c r="J74" i="1" s="1"/>
  <c r="O94" i="3"/>
  <c r="N99" i="1" s="1"/>
  <c r="O58" i="3"/>
  <c r="N63" i="1" s="1"/>
  <c r="M15" i="3"/>
  <c r="J20" i="1" s="1"/>
  <c r="N82" i="3"/>
  <c r="M27" i="3"/>
  <c r="J32" i="1" s="1"/>
  <c r="M44" i="3"/>
  <c r="J49" i="1" s="1"/>
  <c r="N24" i="3"/>
  <c r="L29" i="1" s="1"/>
  <c r="Q76" i="3"/>
  <c r="O74" i="3"/>
  <c r="N79" i="1" s="1"/>
  <c r="O55" i="3"/>
  <c r="N60" i="1" s="1"/>
  <c r="N67" i="3"/>
  <c r="N79" i="3"/>
  <c r="Q62" i="3"/>
  <c r="O29" i="3"/>
  <c r="N34" i="1" s="1"/>
  <c r="M61" i="3"/>
  <c r="J66" i="1" s="1"/>
  <c r="N69" i="3"/>
  <c r="M34" i="3"/>
  <c r="J39" i="1" s="1"/>
  <c r="N60" i="3"/>
  <c r="O22" i="3"/>
  <c r="N27" i="1" s="1"/>
  <c r="O27" i="3"/>
  <c r="N32" i="1" s="1"/>
  <c r="Q44" i="3"/>
  <c r="M24" i="3"/>
  <c r="J29" i="1" s="1"/>
  <c r="M84" i="3"/>
  <c r="J89" i="1" s="1"/>
  <c r="M74" i="3"/>
  <c r="J79" i="1" s="1"/>
  <c r="N55" i="3"/>
  <c r="O67" i="3"/>
  <c r="N72" i="1" s="1"/>
  <c r="Q79" i="3"/>
  <c r="N62" i="3"/>
  <c r="N29" i="3"/>
  <c r="O61" i="3"/>
  <c r="N66" i="1" s="1"/>
  <c r="O69" i="3"/>
  <c r="N74" i="1" s="1"/>
  <c r="O24" i="3"/>
  <c r="N29" i="1" s="1"/>
  <c r="M67" i="3"/>
  <c r="J72" i="1" s="1"/>
  <c r="Q15" i="3"/>
  <c r="Q27" i="3"/>
  <c r="N44" i="3"/>
  <c r="L49" i="1" s="1"/>
  <c r="Q24" i="3"/>
  <c r="N84" i="3"/>
  <c r="N74" i="3"/>
  <c r="M79" i="3"/>
  <c r="O62" i="3"/>
  <c r="N67" i="1" s="1"/>
  <c r="Q29" i="3"/>
  <c r="Q61" i="3"/>
  <c r="Q93" i="3"/>
  <c r="M62" i="3"/>
  <c r="J67" i="1" s="1"/>
  <c r="M29" i="3"/>
  <c r="J34" i="1" s="1"/>
  <c r="N61" i="3"/>
  <c r="M93" i="3"/>
  <c r="J98" i="1" s="1"/>
  <c r="Q47" i="3"/>
  <c r="M83" i="3"/>
  <c r="J88" i="1" s="1"/>
  <c r="N28" i="3"/>
  <c r="O84" i="3"/>
  <c r="N89" i="1" s="1"/>
  <c r="O17" i="3"/>
  <c r="N22" i="1" s="1"/>
  <c r="O39" i="3"/>
  <c r="N44" i="1" s="1"/>
  <c r="N73" i="3"/>
  <c r="M31" i="3"/>
  <c r="J36" i="1" s="1"/>
  <c r="Q42" i="3"/>
  <c r="M87" i="3"/>
  <c r="J92" i="1" s="1"/>
  <c r="O93" i="3"/>
  <c r="N98" i="1" s="1"/>
  <c r="M82" i="3"/>
  <c r="J87" i="1" s="1"/>
  <c r="N27" i="3"/>
  <c r="O47" i="3"/>
  <c r="N52" i="1" s="1"/>
  <c r="Q83" i="3"/>
  <c r="M17" i="3"/>
  <c r="J22" i="1" s="1"/>
  <c r="M56" i="3"/>
  <c r="J61" i="1" s="1"/>
  <c r="N87" i="3"/>
  <c r="O38" i="3"/>
  <c r="N43" i="1" s="1"/>
  <c r="O31" i="3"/>
  <c r="N36" i="1" s="1"/>
  <c r="O42" i="3"/>
  <c r="N47" i="1" s="1"/>
  <c r="Q87" i="3"/>
  <c r="O26" i="3"/>
  <c r="N31" i="1" s="1"/>
  <c r="O82" i="3"/>
  <c r="N87" i="1" s="1"/>
  <c r="N26" i="3"/>
  <c r="O44" i="3"/>
  <c r="N49" i="1" s="1"/>
  <c r="Q84" i="3"/>
  <c r="Q17" i="3"/>
  <c r="M11" i="3"/>
  <c r="J16" i="1" s="1"/>
  <c r="Q66" i="3"/>
  <c r="Q73" i="3"/>
  <c r="O18" i="3"/>
  <c r="N23" i="1" s="1"/>
  <c r="O56" i="3"/>
  <c r="N61" i="1" s="1"/>
  <c r="N66" i="3"/>
  <c r="Q77" i="3"/>
  <c r="O30" i="3"/>
  <c r="N35" i="1" s="1"/>
  <c r="M32" i="3"/>
  <c r="J37" i="1" s="1"/>
  <c r="Q86" i="3"/>
  <c r="O73" i="3"/>
  <c r="N78" i="1" s="1"/>
  <c r="N31" i="3"/>
  <c r="O87" i="3"/>
  <c r="N92" i="1" s="1"/>
  <c r="N93" i="3"/>
  <c r="M46" i="3"/>
  <c r="J51" i="1" s="1"/>
  <c r="M38" i="3"/>
  <c r="J43" i="1" s="1"/>
  <c r="N83" i="3"/>
  <c r="M66" i="3"/>
  <c r="J71" i="1" s="1"/>
  <c r="N39" i="3"/>
  <c r="M73" i="3"/>
  <c r="J78" i="1" s="1"/>
  <c r="Q31" i="3"/>
  <c r="N42" i="3"/>
  <c r="M10" i="3"/>
  <c r="J15" i="1" s="1"/>
  <c r="O46" i="3"/>
  <c r="N51" i="1" s="1"/>
  <c r="N46" i="3"/>
  <c r="Q38" i="3"/>
  <c r="Q80" i="3"/>
  <c r="M18" i="3"/>
  <c r="J23" i="1" s="1"/>
  <c r="M75" i="3"/>
  <c r="J80" i="1" s="1"/>
  <c r="O66" i="3"/>
  <c r="N71" i="1" s="1"/>
  <c r="O77" i="3"/>
  <c r="N82" i="1" s="1"/>
  <c r="N30" i="3"/>
  <c r="O32" i="3"/>
  <c r="N37" i="1" s="1"/>
  <c r="M86" i="3"/>
  <c r="J91" i="1" s="1"/>
  <c r="N17" i="3"/>
  <c r="N38" i="3"/>
  <c r="L43" i="1" s="1"/>
  <c r="O10" i="3"/>
  <c r="N15" i="1" s="1"/>
  <c r="N25" i="3"/>
  <c r="Q18" i="3"/>
  <c r="M77" i="3"/>
  <c r="J82" i="1" s="1"/>
  <c r="Q35" i="3"/>
  <c r="O20" i="3"/>
  <c r="N25" i="1" s="1"/>
  <c r="M30" i="3"/>
  <c r="J35" i="1" s="1"/>
  <c r="Q19" i="3"/>
  <c r="Q32" i="3"/>
  <c r="O86" i="3"/>
  <c r="N91" i="1" s="1"/>
  <c r="O76" i="3"/>
  <c r="N15" i="3"/>
  <c r="Q74" i="3"/>
  <c r="Q56" i="3"/>
  <c r="O83" i="3"/>
  <c r="N88" i="1" s="1"/>
  <c r="O28" i="3"/>
  <c r="N33" i="1" s="1"/>
  <c r="N56" i="3"/>
  <c r="Q39" i="3"/>
  <c r="Q10" i="3"/>
  <c r="Q46" i="3"/>
  <c r="M80" i="3"/>
  <c r="J85" i="1" s="1"/>
  <c r="N10" i="3"/>
  <c r="O72" i="3"/>
  <c r="N77" i="1" s="1"/>
  <c r="O80" i="3"/>
  <c r="N85" i="1" s="1"/>
  <c r="Q75" i="3"/>
  <c r="Q72" i="3"/>
  <c r="M25" i="3"/>
  <c r="J30" i="1" s="1"/>
  <c r="N80" i="3"/>
  <c r="N18" i="3"/>
  <c r="N89" i="3"/>
  <c r="N75" i="3"/>
  <c r="N77" i="3"/>
  <c r="N35" i="3"/>
  <c r="M20" i="3"/>
  <c r="J25" i="1" s="1"/>
  <c r="Q30" i="3"/>
  <c r="N19" i="3"/>
  <c r="N32" i="3"/>
  <c r="N86" i="3"/>
  <c r="L91" i="1" s="1"/>
  <c r="Q82" i="3"/>
  <c r="Q45" i="3"/>
  <c r="O45" i="3"/>
  <c r="N50" i="1" s="1"/>
  <c r="M55" i="3"/>
  <c r="J60" i="1" s="1"/>
  <c r="M47" i="3"/>
  <c r="J52" i="1" s="1"/>
  <c r="Q28" i="3"/>
  <c r="M39" i="3"/>
  <c r="J44" i="1" s="1"/>
  <c r="M42" i="3"/>
  <c r="J47" i="1" s="1"/>
  <c r="N47" i="3"/>
  <c r="M28" i="3"/>
  <c r="J33" i="1" s="1"/>
  <c r="Q11" i="3"/>
  <c r="M72" i="3"/>
  <c r="J77" i="1" s="1"/>
  <c r="Q25" i="3"/>
  <c r="M40" i="3"/>
  <c r="J45" i="1" s="1"/>
  <c r="M89" i="3"/>
  <c r="O75" i="3"/>
  <c r="N80" i="1" s="1"/>
  <c r="N71" i="3"/>
  <c r="L76" i="1" s="1"/>
  <c r="M48" i="3"/>
  <c r="J53" i="1" s="1"/>
  <c r="O35" i="3"/>
  <c r="N40" i="1" s="1"/>
  <c r="N20" i="3"/>
  <c r="M19" i="3"/>
  <c r="J24" i="1" s="1"/>
  <c r="N21" i="3"/>
  <c r="M92" i="3"/>
  <c r="J97" i="1" s="1"/>
  <c r="O71" i="3"/>
  <c r="N76" i="1" s="1"/>
  <c r="O48" i="3"/>
  <c r="N53" i="1" s="1"/>
  <c r="M35" i="3"/>
  <c r="J40" i="1" s="1"/>
  <c r="Q20" i="3"/>
  <c r="O19" i="3"/>
  <c r="N24" i="1" s="1"/>
  <c r="M21" i="3"/>
  <c r="J26" i="1" s="1"/>
  <c r="Q92" i="3"/>
  <c r="N76" i="3"/>
  <c r="N72" i="3"/>
  <c r="O25" i="3"/>
  <c r="N30" i="1" s="1"/>
  <c r="Q81" i="3"/>
  <c r="N40" i="3"/>
  <c r="M41" i="3"/>
  <c r="J46" i="1" s="1"/>
  <c r="Q89" i="3"/>
  <c r="Q88" i="3" s="1"/>
  <c r="M71" i="3"/>
  <c r="J76" i="1" s="1"/>
  <c r="Q48" i="3"/>
  <c r="N59" i="3"/>
  <c r="O21" i="3"/>
  <c r="N26" i="1" s="1"/>
  <c r="N92" i="3"/>
  <c r="L97" i="1" s="1"/>
  <c r="K93" i="3"/>
  <c r="P98" i="1" s="1"/>
  <c r="K92" i="3"/>
  <c r="P97" i="1" s="1"/>
  <c r="K94" i="3"/>
  <c r="P99" i="1" s="1"/>
  <c r="G7" i="77"/>
  <c r="G7" i="76"/>
  <c r="G7" i="78"/>
  <c r="K89" i="3"/>
  <c r="P94" i="1" s="1"/>
  <c r="K86" i="3"/>
  <c r="P91" i="1" s="1"/>
  <c r="K87" i="3"/>
  <c r="P92" i="1" s="1"/>
  <c r="K83" i="3"/>
  <c r="P88" i="1" s="1"/>
  <c r="K81" i="3"/>
  <c r="P86" i="1" s="1"/>
  <c r="K80" i="3"/>
  <c r="P85" i="1" s="1"/>
  <c r="K84" i="3"/>
  <c r="P89" i="1" s="1"/>
  <c r="K82" i="3"/>
  <c r="P87" i="1" s="1"/>
  <c r="K79" i="3"/>
  <c r="P84" i="1" s="1"/>
  <c r="K73" i="3"/>
  <c r="P78" i="1" s="1"/>
  <c r="K71" i="3"/>
  <c r="P76" i="1" s="1"/>
  <c r="K76" i="3"/>
  <c r="P81" i="1" s="1"/>
  <c r="K72" i="3"/>
  <c r="P77" i="1" s="1"/>
  <c r="K74" i="3"/>
  <c r="P79" i="1" s="1"/>
  <c r="K75" i="3"/>
  <c r="P80" i="1" s="1"/>
  <c r="K77" i="3"/>
  <c r="P82" i="1" s="1"/>
  <c r="K68" i="3"/>
  <c r="P73" i="1" s="1"/>
  <c r="K67" i="3"/>
  <c r="P72" i="1" s="1"/>
  <c r="P69" i="3"/>
  <c r="Q74" i="1" s="1"/>
  <c r="K66" i="3"/>
  <c r="P71" i="1" s="1"/>
  <c r="K60" i="3"/>
  <c r="P65" i="1" s="1"/>
  <c r="K62" i="3"/>
  <c r="P67" i="1" s="1"/>
  <c r="K61" i="3"/>
  <c r="P66" i="1" s="1"/>
  <c r="K59" i="3"/>
  <c r="P64" i="1" s="1"/>
  <c r="K58" i="3"/>
  <c r="P63" i="1" s="1"/>
  <c r="J51" i="3"/>
  <c r="R51" i="3" s="1"/>
  <c r="S51" i="3" s="1"/>
  <c r="I51" i="3"/>
  <c r="K56" i="1" s="1"/>
  <c r="K55" i="3"/>
  <c r="P60" i="1" s="1"/>
  <c r="J52" i="3"/>
  <c r="R52" i="3" s="1"/>
  <c r="S52" i="3" s="1"/>
  <c r="K56" i="3"/>
  <c r="P61" i="1" s="1"/>
  <c r="I52" i="3"/>
  <c r="K57" i="1" s="1"/>
  <c r="K45" i="3"/>
  <c r="P50" i="1" s="1"/>
  <c r="K48" i="3"/>
  <c r="P53" i="1" s="1"/>
  <c r="J49" i="3"/>
  <c r="R49" i="3" s="1"/>
  <c r="S49" i="3" s="1"/>
  <c r="K46" i="3"/>
  <c r="P51" i="1" s="1"/>
  <c r="K44" i="3"/>
  <c r="P49" i="1" s="1"/>
  <c r="K47" i="3"/>
  <c r="P52" i="1" s="1"/>
  <c r="I49" i="3"/>
  <c r="K54" i="1" s="1"/>
  <c r="K41" i="3"/>
  <c r="P46" i="1" s="1"/>
  <c r="K39" i="3"/>
  <c r="P44" i="1" s="1"/>
  <c r="K40" i="3"/>
  <c r="P45" i="1" s="1"/>
  <c r="K42" i="3"/>
  <c r="P47" i="1" s="1"/>
  <c r="K38" i="3"/>
  <c r="P43" i="1" s="1"/>
  <c r="K35" i="3"/>
  <c r="P40" i="1" s="1"/>
  <c r="K32" i="3"/>
  <c r="P37" i="1" s="1"/>
  <c r="K28" i="3"/>
  <c r="P33" i="1" s="1"/>
  <c r="P27" i="3"/>
  <c r="Q32" i="1" s="1"/>
  <c r="K29" i="3"/>
  <c r="P34" i="1" s="1"/>
  <c r="K30" i="3"/>
  <c r="P35" i="1" s="1"/>
  <c r="K25" i="3"/>
  <c r="P30" i="1" s="1"/>
  <c r="K31" i="3"/>
  <c r="P36" i="1" s="1"/>
  <c r="K24" i="3"/>
  <c r="P29" i="1" s="1"/>
  <c r="K26" i="3"/>
  <c r="P31" i="1" s="1"/>
  <c r="K21" i="3"/>
  <c r="P26" i="1" s="1"/>
  <c r="K20" i="3"/>
  <c r="P25" i="1" s="1"/>
  <c r="K22" i="3"/>
  <c r="P27" i="1" s="1"/>
  <c r="K19" i="3"/>
  <c r="P24" i="1" s="1"/>
  <c r="K18" i="3"/>
  <c r="P23" i="1" s="1"/>
  <c r="P15" i="3"/>
  <c r="Q20" i="1" s="1"/>
  <c r="K17" i="3"/>
  <c r="P22" i="1" s="1"/>
  <c r="P11" i="3"/>
  <c r="Q16" i="1" s="1"/>
  <c r="P10" i="3"/>
  <c r="Q15" i="1" s="1"/>
  <c r="O20" i="1"/>
  <c r="R20" i="1" s="1"/>
  <c r="O19" i="1"/>
  <c r="R19" i="1" s="1"/>
  <c r="S11" i="3"/>
  <c r="O16" i="1"/>
  <c r="R16" i="1" s="1"/>
  <c r="S10" i="3"/>
  <c r="O15" i="1"/>
  <c r="R15" i="1" s="1"/>
  <c r="S9" i="3"/>
  <c r="O14" i="1"/>
  <c r="R14" i="1" s="1"/>
  <c r="E5" i="80"/>
  <c r="N17" i="80"/>
  <c r="N18" i="80" s="1"/>
  <c r="N19" i="80" s="1"/>
  <c r="N20" i="80" s="1"/>
  <c r="N21" i="80" s="1"/>
  <c r="N22" i="80" s="1"/>
  <c r="E9" i="80"/>
  <c r="N17" i="79"/>
  <c r="N18" i="79" s="1"/>
  <c r="N19" i="79" s="1"/>
  <c r="N20" i="79" s="1"/>
  <c r="N21" i="79" s="1"/>
  <c r="N22" i="79" s="1"/>
  <c r="E5" i="79"/>
  <c r="E9" i="79"/>
  <c r="E9" i="82"/>
  <c r="N17" i="82"/>
  <c r="N18" i="82" s="1"/>
  <c r="N19" i="82" s="1"/>
  <c r="N20" i="82" s="1"/>
  <c r="N21" i="82" s="1"/>
  <c r="N22" i="82" s="1"/>
  <c r="E5" i="82"/>
  <c r="E8" i="82" s="1"/>
  <c r="N17" i="81"/>
  <c r="N18" i="81" s="1"/>
  <c r="N19" i="81" s="1"/>
  <c r="N20" i="81" s="1"/>
  <c r="N21" i="81" s="1"/>
  <c r="N22" i="81" s="1"/>
  <c r="E9" i="81"/>
  <c r="E5" i="81"/>
  <c r="E9" i="83"/>
  <c r="E5" i="83"/>
  <c r="N17" i="83"/>
  <c r="N18" i="83" s="1"/>
  <c r="N19" i="83" s="1"/>
  <c r="G7" i="74"/>
  <c r="G7" i="75"/>
  <c r="G7" i="62"/>
  <c r="G7" i="67"/>
  <c r="G7" i="61"/>
  <c r="G7" i="58"/>
  <c r="G7" i="60"/>
  <c r="G7" i="66"/>
  <c r="G7" i="71"/>
  <c r="G7" i="70"/>
  <c r="G7" i="57"/>
  <c r="G7" i="69"/>
  <c r="G7" i="64"/>
  <c r="G7" i="59"/>
  <c r="G7" i="72"/>
  <c r="G7" i="68"/>
  <c r="G7" i="65"/>
  <c r="P39" i="1"/>
  <c r="E7" i="32"/>
  <c r="G9" i="32"/>
  <c r="E7" i="31"/>
  <c r="E8" i="30"/>
  <c r="G9" i="31"/>
  <c r="G5" i="31"/>
  <c r="E8" i="31"/>
  <c r="G5" i="30"/>
  <c r="E8" i="32"/>
  <c r="G5" i="32"/>
  <c r="G9" i="30"/>
  <c r="E6" i="32"/>
  <c r="E6" i="30"/>
  <c r="K17" i="33"/>
  <c r="M17" i="33" s="1"/>
  <c r="M18" i="33"/>
  <c r="E6" i="31"/>
  <c r="E7" i="30"/>
  <c r="G7" i="46"/>
  <c r="G7" i="21"/>
  <c r="G7" i="16"/>
  <c r="G7" i="39"/>
  <c r="G7" i="43"/>
  <c r="G7" i="41"/>
  <c r="G7" i="13"/>
  <c r="G7" i="40"/>
  <c r="G7" i="24"/>
  <c r="G7" i="51"/>
  <c r="G7" i="26"/>
  <c r="G7" i="27"/>
  <c r="G7" i="54"/>
  <c r="G7" i="50"/>
  <c r="G7" i="29"/>
  <c r="G7" i="20"/>
  <c r="G7" i="19"/>
  <c r="G7" i="28"/>
  <c r="G7" i="15"/>
  <c r="G7" i="23"/>
  <c r="G7" i="22"/>
  <c r="G7" i="36"/>
  <c r="G7" i="45"/>
  <c r="G7" i="35"/>
  <c r="G7" i="53"/>
  <c r="G7" i="48"/>
  <c r="G7" i="52"/>
  <c r="G7" i="49"/>
  <c r="G7" i="17"/>
  <c r="G7" i="47"/>
  <c r="G7" i="44"/>
  <c r="G7" i="14"/>
  <c r="G7" i="38"/>
  <c r="G7" i="42"/>
  <c r="G7" i="25"/>
  <c r="G6" i="9"/>
  <c r="G7" i="9"/>
  <c r="G8" i="9"/>
  <c r="G9" i="9"/>
  <c r="G5" i="9"/>
  <c r="G7" i="5"/>
  <c r="G6" i="5"/>
  <c r="G5" i="5"/>
  <c r="P79" i="3" a="1"/>
  <c r="P93" i="3" a="1"/>
  <c r="P22" i="3" a="1"/>
  <c r="P75" i="3" a="1"/>
  <c r="P58" i="3" a="1"/>
  <c r="P66" i="3" a="1"/>
  <c r="J96" i="3" a="1"/>
  <c r="I99" i="3" a="1"/>
  <c r="P84" i="3" a="1"/>
  <c r="P31" i="3" a="1"/>
  <c r="P62" i="3" a="1"/>
  <c r="P17" i="3" a="1"/>
  <c r="L49" i="3" a="1"/>
  <c r="P41" i="3" a="1"/>
  <c r="H49" i="3" a="1"/>
  <c r="P29" i="3" a="1"/>
  <c r="P81" i="3" a="1"/>
  <c r="P71" i="3" a="1"/>
  <c r="P9" i="3" a="1"/>
  <c r="P89" i="3" a="1"/>
  <c r="K49" i="3" a="1"/>
  <c r="P26" i="3" a="1"/>
  <c r="P24" i="3" a="1"/>
  <c r="O9" i="3" a="1"/>
  <c r="P86" i="3" a="1"/>
  <c r="P60" i="3" a="1"/>
  <c r="I100" i="3" a="1"/>
  <c r="H52" i="3" a="1"/>
  <c r="J99" i="3" a="1"/>
  <c r="P32" i="3" a="1"/>
  <c r="N52" i="3" a="1"/>
  <c r="O14" i="3" a="1"/>
  <c r="N9" i="3" a="1"/>
  <c r="P73" i="3" a="1"/>
  <c r="I98" i="3" a="1"/>
  <c r="L52" i="3" a="1"/>
  <c r="N51" i="3" a="1"/>
  <c r="K52" i="3" a="1"/>
  <c r="P87" i="3" a="1"/>
  <c r="P28" i="3" a="1"/>
  <c r="M14" i="3" a="1"/>
  <c r="P30" i="3" a="1"/>
  <c r="P80" i="3" a="1"/>
  <c r="P74" i="3" a="1"/>
  <c r="P14" i="3" a="1"/>
  <c r="K51" i="3" a="1"/>
  <c r="P48" i="3" a="1"/>
  <c r="P39" i="3" a="1"/>
  <c r="H51" i="3" a="1"/>
  <c r="P19" i="3" a="1"/>
  <c r="P56" i="3" a="1"/>
  <c r="P35" i="3" a="1"/>
  <c r="J97" i="3" a="1"/>
  <c r="P82" i="3" a="1"/>
  <c r="I96" i="3" a="1"/>
  <c r="P34" i="3" a="1"/>
  <c r="N49" i="3" a="1"/>
  <c r="P59" i="3" a="1"/>
  <c r="P61" i="3" a="1"/>
  <c r="P77" i="3" a="1"/>
  <c r="L99" i="3" a="1"/>
  <c r="J98" i="3" a="1"/>
  <c r="P68" i="3" a="1"/>
  <c r="I97" i="3" a="1"/>
  <c r="Q14" i="3" a="1"/>
  <c r="P83" i="3" a="1"/>
  <c r="P55" i="3" a="1"/>
  <c r="P72" i="3" a="1"/>
  <c r="P94" i="3" a="1"/>
  <c r="N14" i="3" a="1"/>
  <c r="O52" i="3" a="1"/>
  <c r="L51" i="3" a="1"/>
  <c r="P44" i="3" a="1"/>
  <c r="P76" i="3" a="1"/>
  <c r="P92" i="3" a="1"/>
  <c r="O49" i="3" a="1"/>
  <c r="P45" i="3" a="1"/>
  <c r="P38" i="3" a="1"/>
  <c r="P47" i="3" a="1"/>
  <c r="M9" i="3" a="1"/>
  <c r="J100" i="3" a="1"/>
  <c r="P21" i="3" a="1"/>
  <c r="P67" i="3" a="1"/>
  <c r="O51" i="3" a="1"/>
  <c r="P25" i="3" a="1"/>
  <c r="P18" i="3" a="1"/>
  <c r="P46" i="3" a="1"/>
  <c r="P20" i="3" a="1"/>
  <c r="P40" i="3" a="1"/>
  <c r="P42" i="3" a="1"/>
  <c r="N81" i="1" l="1"/>
  <c r="N75" i="1" s="1"/>
  <c r="I24" i="6" s="1"/>
  <c r="J81" i="1"/>
  <c r="L94" i="1"/>
  <c r="L93" i="1" s="1"/>
  <c r="G27" i="6" s="1"/>
  <c r="J94" i="1"/>
  <c r="J93" i="1" s="1"/>
  <c r="E27" i="6" s="1"/>
  <c r="L84" i="1"/>
  <c r="N84" i="1"/>
  <c r="J84" i="1"/>
  <c r="Q14" i="3"/>
  <c r="M14" i="3"/>
  <c r="J19" i="1" s="1"/>
  <c r="N14" i="3"/>
  <c r="L19" i="1" s="1"/>
  <c r="I97" i="3"/>
  <c r="K102" i="1" s="1"/>
  <c r="J97" i="3"/>
  <c r="R97" i="3" s="1"/>
  <c r="S97" i="3" s="1"/>
  <c r="J100" i="3"/>
  <c r="R100" i="3" s="1"/>
  <c r="S100" i="3" s="1"/>
  <c r="J98" i="3"/>
  <c r="R98" i="3" s="1"/>
  <c r="S98" i="3" s="1"/>
  <c r="I98" i="3"/>
  <c r="K103" i="1" s="1"/>
  <c r="J99" i="3"/>
  <c r="R99" i="3" s="1"/>
  <c r="S99" i="3" s="1"/>
  <c r="O9" i="3"/>
  <c r="J96" i="3"/>
  <c r="R96" i="3" s="1"/>
  <c r="S96" i="3" s="1"/>
  <c r="I100" i="3"/>
  <c r="K105" i="1" s="1"/>
  <c r="L99" i="3"/>
  <c r="I99" i="3"/>
  <c r="K104" i="1" s="1"/>
  <c r="O14" i="3"/>
  <c r="N19" i="1" s="1"/>
  <c r="I96" i="3"/>
  <c r="K101" i="1" s="1"/>
  <c r="E8" i="80"/>
  <c r="E8" i="81"/>
  <c r="E8" i="79"/>
  <c r="P92" i="3"/>
  <c r="Q97" i="1" s="1"/>
  <c r="P94" i="3"/>
  <c r="Q99" i="1" s="1"/>
  <c r="P93" i="3"/>
  <c r="Q98" i="1" s="1"/>
  <c r="P89" i="3"/>
  <c r="Q94" i="1" s="1"/>
  <c r="P87" i="3"/>
  <c r="Q92" i="1" s="1"/>
  <c r="P86" i="3"/>
  <c r="Q91" i="1" s="1"/>
  <c r="P80" i="3"/>
  <c r="Q85" i="1" s="1"/>
  <c r="P84" i="3"/>
  <c r="Q89" i="1" s="1"/>
  <c r="P81" i="3"/>
  <c r="Q86" i="1" s="1"/>
  <c r="P82" i="3"/>
  <c r="Q87" i="1" s="1"/>
  <c r="P83" i="3"/>
  <c r="Q88" i="1" s="1"/>
  <c r="P79" i="3"/>
  <c r="Q84" i="1" s="1"/>
  <c r="P73" i="3"/>
  <c r="Q78" i="1" s="1"/>
  <c r="P72" i="3"/>
  <c r="Q77" i="1" s="1"/>
  <c r="P71" i="3"/>
  <c r="Q76" i="1" s="1"/>
  <c r="P76" i="3"/>
  <c r="Q81" i="1" s="1"/>
  <c r="P75" i="3"/>
  <c r="Q80" i="1" s="1"/>
  <c r="P74" i="3"/>
  <c r="Q79" i="1" s="1"/>
  <c r="P77" i="3"/>
  <c r="Q82" i="1" s="1"/>
  <c r="M56" i="1"/>
  <c r="P66" i="3"/>
  <c r="Q71" i="1" s="1"/>
  <c r="P68" i="3"/>
  <c r="Q73" i="1" s="1"/>
  <c r="P67" i="3"/>
  <c r="Q72" i="1" s="1"/>
  <c r="P58" i="3"/>
  <c r="Q63" i="1" s="1"/>
  <c r="P62" i="3"/>
  <c r="Q67" i="1" s="1"/>
  <c r="P59" i="3"/>
  <c r="Q64" i="1" s="1"/>
  <c r="P60" i="3"/>
  <c r="Q65" i="1" s="1"/>
  <c r="P61" i="3"/>
  <c r="Q66" i="1" s="1"/>
  <c r="M57" i="1"/>
  <c r="O52" i="3"/>
  <c r="N57" i="1" s="1"/>
  <c r="H52" i="3"/>
  <c r="I57" i="1" s="1"/>
  <c r="K51" i="3"/>
  <c r="P56" i="1" s="1"/>
  <c r="K52" i="3"/>
  <c r="P57" i="1" s="1"/>
  <c r="O51" i="3"/>
  <c r="P55" i="3"/>
  <c r="Q60" i="1" s="1"/>
  <c r="L52" i="3"/>
  <c r="L51" i="3"/>
  <c r="N51" i="3"/>
  <c r="N52" i="3"/>
  <c r="P56" i="3"/>
  <c r="Q61" i="1" s="1"/>
  <c r="H51" i="3"/>
  <c r="I56" i="1" s="1"/>
  <c r="G7" i="31"/>
  <c r="G7" i="32"/>
  <c r="M54" i="1"/>
  <c r="P46" i="3"/>
  <c r="Q51" i="1" s="1"/>
  <c r="N49" i="3"/>
  <c r="P45" i="3"/>
  <c r="Q50" i="1" s="1"/>
  <c r="O49" i="3"/>
  <c r="L49" i="3"/>
  <c r="K49" i="3"/>
  <c r="P54" i="1" s="1"/>
  <c r="P47" i="3"/>
  <c r="Q52" i="1" s="1"/>
  <c r="H49" i="3"/>
  <c r="I54" i="1" s="1"/>
  <c r="P44" i="3"/>
  <c r="Q49" i="1" s="1"/>
  <c r="P48" i="3"/>
  <c r="Q53" i="1" s="1"/>
  <c r="G8" i="30"/>
  <c r="P38" i="3"/>
  <c r="Q43" i="1" s="1"/>
  <c r="P40" i="3"/>
  <c r="Q45" i="1" s="1"/>
  <c r="P42" i="3"/>
  <c r="Q47" i="1" s="1"/>
  <c r="P39" i="3"/>
  <c r="Q44" i="1" s="1"/>
  <c r="P41" i="3"/>
  <c r="Q46" i="1" s="1"/>
  <c r="P34" i="3"/>
  <c r="P35" i="3"/>
  <c r="Q40" i="1" s="1"/>
  <c r="P25" i="3"/>
  <c r="Q30" i="1" s="1"/>
  <c r="P32" i="3"/>
  <c r="Q37" i="1" s="1"/>
  <c r="P24" i="3"/>
  <c r="Q29" i="1" s="1"/>
  <c r="P31" i="3"/>
  <c r="Q36" i="1" s="1"/>
  <c r="P30" i="3"/>
  <c r="Q35" i="1" s="1"/>
  <c r="P26" i="3"/>
  <c r="Q31" i="1" s="1"/>
  <c r="P28" i="3"/>
  <c r="Q33" i="1" s="1"/>
  <c r="P29" i="3"/>
  <c r="Q34" i="1" s="1"/>
  <c r="P14" i="3"/>
  <c r="Q19" i="1" s="1"/>
  <c r="P22" i="3"/>
  <c r="Q27" i="1" s="1"/>
  <c r="P21" i="3"/>
  <c r="Q26" i="1" s="1"/>
  <c r="P20" i="3"/>
  <c r="Q25" i="1" s="1"/>
  <c r="P19" i="3"/>
  <c r="Q24" i="1" s="1"/>
  <c r="P18" i="3"/>
  <c r="Q23" i="1" s="1"/>
  <c r="P17" i="3"/>
  <c r="Q22" i="1" s="1"/>
  <c r="P9" i="3"/>
  <c r="C92" i="56"/>
  <c r="AC92" i="56" s="1"/>
  <c r="L99" i="1"/>
  <c r="C91" i="56"/>
  <c r="AI91" i="56" s="1"/>
  <c r="L98" i="1"/>
  <c r="O88" i="3"/>
  <c r="N94" i="1"/>
  <c r="C85" i="56"/>
  <c r="AG85" i="56" s="1"/>
  <c r="L92" i="1"/>
  <c r="C80" i="56"/>
  <c r="M80" i="56" s="1"/>
  <c r="L87" i="1"/>
  <c r="C81" i="56"/>
  <c r="O81" i="56" s="1"/>
  <c r="L88" i="1"/>
  <c r="C79" i="56"/>
  <c r="AA79" i="56" s="1"/>
  <c r="L86" i="1"/>
  <c r="C78" i="56"/>
  <c r="AI78" i="56" s="1"/>
  <c r="L85" i="1"/>
  <c r="C82" i="56"/>
  <c r="AI82" i="56" s="1"/>
  <c r="L89" i="1"/>
  <c r="C75" i="56"/>
  <c r="AE75" i="56" s="1"/>
  <c r="L82" i="1"/>
  <c r="C73" i="56"/>
  <c r="Y73" i="56" s="1"/>
  <c r="L80" i="1"/>
  <c r="C72" i="56"/>
  <c r="AO72" i="56" s="1"/>
  <c r="L79" i="1"/>
  <c r="C71" i="56"/>
  <c r="Y71" i="56" s="1"/>
  <c r="L78" i="1"/>
  <c r="C70" i="56"/>
  <c r="AI70" i="56" s="1"/>
  <c r="L77" i="1"/>
  <c r="C74" i="56"/>
  <c r="AE74" i="56" s="1"/>
  <c r="L81" i="1"/>
  <c r="C64" i="56"/>
  <c r="AM64" i="56" s="1"/>
  <c r="L71" i="1"/>
  <c r="C65" i="56"/>
  <c r="AG65" i="56" s="1"/>
  <c r="L72" i="1"/>
  <c r="C67" i="56"/>
  <c r="AC67" i="56" s="1"/>
  <c r="L74" i="1"/>
  <c r="C66" i="56"/>
  <c r="AG66" i="56" s="1"/>
  <c r="L73" i="1"/>
  <c r="C59" i="56"/>
  <c r="AG59" i="56" s="1"/>
  <c r="L66" i="1"/>
  <c r="C57" i="56"/>
  <c r="AM57" i="56" s="1"/>
  <c r="L64" i="1"/>
  <c r="C60" i="56"/>
  <c r="O60" i="56" s="1"/>
  <c r="L67" i="1"/>
  <c r="C58" i="56"/>
  <c r="E58" i="56" s="1"/>
  <c r="L65" i="1"/>
  <c r="C53" i="56"/>
  <c r="AI53" i="56" s="1"/>
  <c r="L60" i="1"/>
  <c r="C54" i="56"/>
  <c r="AM54" i="56" s="1"/>
  <c r="L61" i="1"/>
  <c r="C43" i="56"/>
  <c r="AC43" i="56" s="1"/>
  <c r="L50" i="1"/>
  <c r="C46" i="56"/>
  <c r="M46" i="56" s="1"/>
  <c r="L53" i="1"/>
  <c r="C45" i="56"/>
  <c r="AM45" i="56" s="1"/>
  <c r="L52" i="1"/>
  <c r="C44" i="56"/>
  <c r="E44" i="56" s="1"/>
  <c r="L51" i="1"/>
  <c r="C37" i="56"/>
  <c r="AI37" i="56" s="1"/>
  <c r="L44" i="1"/>
  <c r="C39" i="56"/>
  <c r="AG39" i="56" s="1"/>
  <c r="L46" i="1"/>
  <c r="C38" i="56"/>
  <c r="E38" i="56" s="1"/>
  <c r="L45" i="1"/>
  <c r="C40" i="56"/>
  <c r="AA40" i="56" s="1"/>
  <c r="L47" i="1"/>
  <c r="C33" i="56"/>
  <c r="E33" i="56" s="1"/>
  <c r="L40" i="1"/>
  <c r="L38" i="1" s="1"/>
  <c r="G16" i="6" s="1"/>
  <c r="C30" i="56"/>
  <c r="Y30" i="56" s="1"/>
  <c r="L37" i="1"/>
  <c r="C29" i="56"/>
  <c r="AI29" i="56" s="1"/>
  <c r="L36" i="1"/>
  <c r="C26" i="56"/>
  <c r="AO26" i="56" s="1"/>
  <c r="L33" i="1"/>
  <c r="C23" i="56"/>
  <c r="E23" i="56" s="1"/>
  <c r="L30" i="1"/>
  <c r="C25" i="56"/>
  <c r="Y25" i="56" s="1"/>
  <c r="L32" i="1"/>
  <c r="C24" i="56"/>
  <c r="O24" i="56" s="1"/>
  <c r="L31" i="1"/>
  <c r="C27" i="56"/>
  <c r="M27" i="56" s="1"/>
  <c r="L34" i="1"/>
  <c r="C28" i="56"/>
  <c r="E28" i="56" s="1"/>
  <c r="L35" i="1"/>
  <c r="C20" i="56"/>
  <c r="M20" i="56" s="1"/>
  <c r="L27" i="1"/>
  <c r="C19" i="56"/>
  <c r="S19" i="56" s="1"/>
  <c r="L26" i="1"/>
  <c r="C18" i="56"/>
  <c r="AG18" i="56" s="1"/>
  <c r="L25" i="1"/>
  <c r="C17" i="56"/>
  <c r="AA17" i="56" s="1"/>
  <c r="L24" i="1"/>
  <c r="C16" i="56"/>
  <c r="O16" i="56" s="1"/>
  <c r="L23" i="1"/>
  <c r="C15" i="56"/>
  <c r="AI15" i="56" s="1"/>
  <c r="L22" i="1"/>
  <c r="C13" i="56"/>
  <c r="S13" i="56" s="1"/>
  <c r="L20" i="1"/>
  <c r="C9" i="56"/>
  <c r="E9" i="56" s="1"/>
  <c r="L16" i="1"/>
  <c r="C8" i="56"/>
  <c r="AG8" i="56" s="1"/>
  <c r="L15" i="1"/>
  <c r="G8" i="80"/>
  <c r="E6" i="83"/>
  <c r="G5" i="83"/>
  <c r="E7" i="83"/>
  <c r="G9" i="81"/>
  <c r="G9" i="83"/>
  <c r="G8" i="82"/>
  <c r="E6" i="82"/>
  <c r="E7" i="82"/>
  <c r="G5" i="82"/>
  <c r="G9" i="82"/>
  <c r="E6" i="81"/>
  <c r="E7" i="81"/>
  <c r="G5" i="81"/>
  <c r="G9" i="79"/>
  <c r="E6" i="79"/>
  <c r="E7" i="79"/>
  <c r="G5" i="79"/>
  <c r="G9" i="80"/>
  <c r="E8" i="83"/>
  <c r="E6" i="80"/>
  <c r="E7" i="80"/>
  <c r="G5" i="80"/>
  <c r="Q85" i="3"/>
  <c r="O85" i="3"/>
  <c r="O33" i="3"/>
  <c r="M85" i="3"/>
  <c r="C22" i="56"/>
  <c r="N23" i="3"/>
  <c r="C21" i="56" s="1"/>
  <c r="Q57" i="3"/>
  <c r="O78" i="3"/>
  <c r="N37" i="3"/>
  <c r="C35" i="56" s="1"/>
  <c r="C36" i="56"/>
  <c r="O70" i="3"/>
  <c r="C84" i="56"/>
  <c r="N85" i="3"/>
  <c r="C83" i="56" s="1"/>
  <c r="Q78" i="3"/>
  <c r="N88" i="3"/>
  <c r="C86" i="56" s="1"/>
  <c r="C87" i="56"/>
  <c r="Q70" i="3"/>
  <c r="O37" i="3"/>
  <c r="Q23" i="3"/>
  <c r="C77" i="56"/>
  <c r="N78" i="3"/>
  <c r="C76" i="56" s="1"/>
  <c r="C69" i="56"/>
  <c r="N70" i="3"/>
  <c r="C42" i="56"/>
  <c r="O23" i="3"/>
  <c r="Q37" i="3"/>
  <c r="C56" i="56"/>
  <c r="N57" i="3"/>
  <c r="C55" i="56" s="1"/>
  <c r="O57" i="3"/>
  <c r="Q33" i="3"/>
  <c r="M91" i="3"/>
  <c r="Q91" i="3"/>
  <c r="O91" i="3"/>
  <c r="N38" i="1"/>
  <c r="I16" i="6" s="1"/>
  <c r="C90" i="56"/>
  <c r="N91" i="3"/>
  <c r="C32" i="56"/>
  <c r="N33" i="3"/>
  <c r="C31" i="56" s="1"/>
  <c r="N62" i="1"/>
  <c r="I21" i="6" s="1"/>
  <c r="M57" i="3"/>
  <c r="J62" i="1"/>
  <c r="E21" i="6" s="1"/>
  <c r="N9" i="3"/>
  <c r="L14" i="1" s="1"/>
  <c r="N42" i="1"/>
  <c r="I18" i="6" s="1"/>
  <c r="J38" i="1"/>
  <c r="E16" i="6" s="1"/>
  <c r="M33" i="3"/>
  <c r="N28" i="1"/>
  <c r="I15" i="6" s="1"/>
  <c r="J42" i="1"/>
  <c r="E18" i="6" s="1"/>
  <c r="J28" i="1"/>
  <c r="E15" i="6" s="1"/>
  <c r="M88" i="3"/>
  <c r="O56" i="1"/>
  <c r="R56" i="1" s="1"/>
  <c r="O54" i="1"/>
  <c r="R54" i="1" s="1"/>
  <c r="M37" i="3"/>
  <c r="M78" i="3"/>
  <c r="M70" i="3"/>
  <c r="M23" i="3"/>
  <c r="O57" i="1"/>
  <c r="R57" i="1" s="1"/>
  <c r="G7" i="30"/>
  <c r="G8" i="31"/>
  <c r="G8" i="32"/>
  <c r="G6" i="30"/>
  <c r="G6" i="31"/>
  <c r="G6" i="32"/>
  <c r="N17" i="33"/>
  <c r="N18" i="33" s="1"/>
  <c r="N19" i="33" s="1"/>
  <c r="E9" i="33"/>
  <c r="E5" i="33"/>
  <c r="M9" i="3"/>
  <c r="J14" i="1" s="1"/>
  <c r="G8" i="5"/>
  <c r="K96" i="3" a="1"/>
  <c r="O97" i="3" a="1"/>
  <c r="N100" i="3" a="1"/>
  <c r="Q9" i="3" a="1"/>
  <c r="H99" i="3" a="1"/>
  <c r="M52" i="3" a="1"/>
  <c r="H100" i="3" a="1"/>
  <c r="H96" i="3" a="1"/>
  <c r="Q97" i="3" a="1"/>
  <c r="L100" i="3" a="1"/>
  <c r="L98" i="3" a="1"/>
  <c r="N98" i="3" a="1"/>
  <c r="H97" i="3" a="1"/>
  <c r="L96" i="3" a="1"/>
  <c r="Q99" i="3" a="1"/>
  <c r="Q51" i="3" a="1"/>
  <c r="P49" i="3" a="1"/>
  <c r="M49" i="3" a="1"/>
  <c r="O100" i="3" a="1"/>
  <c r="O96" i="3" a="1"/>
  <c r="Q49" i="3" a="1"/>
  <c r="K98" i="3" a="1"/>
  <c r="N96" i="3" a="1"/>
  <c r="J53" i="3" a="1"/>
  <c r="P52" i="3" a="1"/>
  <c r="I53" i="3" a="1"/>
  <c r="O98" i="3" a="1"/>
  <c r="M51" i="3" a="1"/>
  <c r="N99" i="3" a="1"/>
  <c r="N97" i="3" a="1"/>
  <c r="Q52" i="3" a="1"/>
  <c r="H98" i="3" a="1"/>
  <c r="K100" i="3" a="1"/>
  <c r="K97" i="3" a="1"/>
  <c r="O99" i="3" a="1"/>
  <c r="P51" i="3" a="1"/>
  <c r="K99" i="3" a="1"/>
  <c r="L97" i="3" a="1"/>
  <c r="L24" i="6" l="1"/>
  <c r="L21" i="6"/>
  <c r="L18" i="6"/>
  <c r="K16" i="6"/>
  <c r="L16" i="6"/>
  <c r="L15" i="6"/>
  <c r="K27" i="6"/>
  <c r="J75" i="1"/>
  <c r="E24" i="6" s="1"/>
  <c r="C68" i="56"/>
  <c r="L56" i="1"/>
  <c r="N56" i="1"/>
  <c r="M105" i="1"/>
  <c r="N93" i="1"/>
  <c r="I27" i="6" s="1"/>
  <c r="P91" i="3"/>
  <c r="M102" i="1"/>
  <c r="L96" i="3"/>
  <c r="N100" i="3"/>
  <c r="L105" i="1" s="1"/>
  <c r="O99" i="3"/>
  <c r="N104" i="1" s="1"/>
  <c r="L98" i="3"/>
  <c r="L97" i="3"/>
  <c r="N98" i="3"/>
  <c r="L103" i="1" s="1"/>
  <c r="H97" i="3"/>
  <c r="I102" i="1" s="1"/>
  <c r="Q99" i="3"/>
  <c r="N97" i="3"/>
  <c r="L102" i="1" s="1"/>
  <c r="O96" i="3"/>
  <c r="N101" i="1" s="1"/>
  <c r="N96" i="3"/>
  <c r="L101" i="1" s="1"/>
  <c r="H100" i="3"/>
  <c r="I105" i="1" s="1"/>
  <c r="H96" i="3"/>
  <c r="I101" i="1" s="1"/>
  <c r="H99" i="3"/>
  <c r="I104" i="1" s="1"/>
  <c r="O100" i="3"/>
  <c r="N105" i="1" s="1"/>
  <c r="L100" i="3"/>
  <c r="O98" i="3"/>
  <c r="N103" i="1" s="1"/>
  <c r="Q97" i="3"/>
  <c r="H98" i="3"/>
  <c r="I103" i="1" s="1"/>
  <c r="O97" i="3"/>
  <c r="N102" i="1" s="1"/>
  <c r="N99" i="3"/>
  <c r="L104" i="1" s="1"/>
  <c r="G8" i="81"/>
  <c r="G8" i="79"/>
  <c r="M101" i="1"/>
  <c r="M103" i="1"/>
  <c r="M104" i="1"/>
  <c r="Q39" i="1"/>
  <c r="Q38" i="1" s="1"/>
  <c r="P33" i="3"/>
  <c r="K100" i="3"/>
  <c r="P105" i="1" s="1"/>
  <c r="K99" i="3"/>
  <c r="P104" i="1" s="1"/>
  <c r="K96" i="3"/>
  <c r="P101" i="1" s="1"/>
  <c r="K98" i="3"/>
  <c r="P103" i="1" s="1"/>
  <c r="K97" i="3"/>
  <c r="P102" i="1" s="1"/>
  <c r="J53" i="3"/>
  <c r="R53" i="3" s="1"/>
  <c r="S53" i="3" s="1"/>
  <c r="M52" i="3"/>
  <c r="J57" i="1" s="1"/>
  <c r="M51" i="3"/>
  <c r="J56" i="1" s="1"/>
  <c r="P52" i="3"/>
  <c r="Q57" i="1" s="1"/>
  <c r="I53" i="3"/>
  <c r="K58" i="1" s="1"/>
  <c r="P51" i="3"/>
  <c r="Q56" i="1" s="1"/>
  <c r="Q52" i="3"/>
  <c r="Q51" i="3"/>
  <c r="AG81" i="56"/>
  <c r="AK81" i="56"/>
  <c r="P49" i="3"/>
  <c r="Q49" i="3"/>
  <c r="Q43" i="3" s="1"/>
  <c r="M49" i="3"/>
  <c r="J54" i="1" s="1"/>
  <c r="AI92" i="56"/>
  <c r="AG74" i="56"/>
  <c r="AG92" i="56"/>
  <c r="AA92" i="56"/>
  <c r="AK92" i="56"/>
  <c r="M92" i="56"/>
  <c r="K74" i="56"/>
  <c r="U92" i="56"/>
  <c r="AO92" i="56"/>
  <c r="AM92" i="56"/>
  <c r="G92" i="56"/>
  <c r="AE91" i="56"/>
  <c r="AA91" i="56"/>
  <c r="E92" i="56"/>
  <c r="K91" i="56"/>
  <c r="AE92" i="56"/>
  <c r="O92" i="56"/>
  <c r="S92" i="56"/>
  <c r="AI81" i="56"/>
  <c r="Q85" i="56"/>
  <c r="K85" i="56"/>
  <c r="Y92" i="56"/>
  <c r="E91" i="56"/>
  <c r="AG91" i="56"/>
  <c r="AM91" i="56"/>
  <c r="W92" i="56"/>
  <c r="G85" i="56"/>
  <c r="G91" i="56"/>
  <c r="K92" i="56"/>
  <c r="U74" i="56"/>
  <c r="S91" i="56"/>
  <c r="AM74" i="56"/>
  <c r="AO91" i="56"/>
  <c r="I92" i="56"/>
  <c r="AO81" i="56"/>
  <c r="M74" i="56"/>
  <c r="O91" i="56"/>
  <c r="W91" i="56"/>
  <c r="Q92" i="56"/>
  <c r="AO64" i="56"/>
  <c r="Q91" i="56"/>
  <c r="Y91" i="56"/>
  <c r="M91" i="56"/>
  <c r="W81" i="56"/>
  <c r="Q74" i="56"/>
  <c r="E64" i="56"/>
  <c r="M81" i="56"/>
  <c r="AA64" i="56"/>
  <c r="G81" i="56"/>
  <c r="S81" i="56"/>
  <c r="AM70" i="56"/>
  <c r="AE78" i="56"/>
  <c r="AK78" i="56"/>
  <c r="Y66" i="56"/>
  <c r="AI74" i="56"/>
  <c r="AE66" i="56"/>
  <c r="AA80" i="56"/>
  <c r="G74" i="56"/>
  <c r="AO80" i="56"/>
  <c r="Q80" i="56"/>
  <c r="I80" i="56"/>
  <c r="K80" i="56"/>
  <c r="U80" i="56"/>
  <c r="Y80" i="56"/>
  <c r="AM67" i="56"/>
  <c r="AI80" i="56"/>
  <c r="S70" i="56"/>
  <c r="AA70" i="56"/>
  <c r="AC70" i="56"/>
  <c r="E85" i="56"/>
  <c r="I85" i="56"/>
  <c r="AG53" i="56"/>
  <c r="E53" i="56"/>
  <c r="M85" i="56"/>
  <c r="Y85" i="56"/>
  <c r="AE85" i="56"/>
  <c r="AM53" i="56"/>
  <c r="AO85" i="56"/>
  <c r="AK91" i="56"/>
  <c r="AK53" i="56"/>
  <c r="E80" i="56"/>
  <c r="AC85" i="56"/>
  <c r="U91" i="56"/>
  <c r="E81" i="56"/>
  <c r="G80" i="56"/>
  <c r="AA85" i="56"/>
  <c r="E82" i="56"/>
  <c r="AG64" i="56"/>
  <c r="O82" i="56"/>
  <c r="Q81" i="56"/>
  <c r="W79" i="56"/>
  <c r="G64" i="56"/>
  <c r="AM82" i="56"/>
  <c r="AC81" i="56"/>
  <c r="AO79" i="56"/>
  <c r="AK80" i="56"/>
  <c r="W85" i="56"/>
  <c r="AK82" i="56"/>
  <c r="G79" i="56"/>
  <c r="AC91" i="56"/>
  <c r="I82" i="56"/>
  <c r="I81" i="56"/>
  <c r="S80" i="56"/>
  <c r="AM85" i="56"/>
  <c r="AI64" i="56"/>
  <c r="K81" i="56"/>
  <c r="M82" i="56"/>
  <c r="U81" i="56"/>
  <c r="Q79" i="56"/>
  <c r="AK85" i="56"/>
  <c r="AG82" i="56"/>
  <c r="Y81" i="56"/>
  <c r="S85" i="56"/>
  <c r="U82" i="56"/>
  <c r="AA81" i="56"/>
  <c r="AI85" i="56"/>
  <c r="W59" i="56"/>
  <c r="Q59" i="56"/>
  <c r="AM81" i="56"/>
  <c r="I91" i="56"/>
  <c r="AK65" i="56"/>
  <c r="AC78" i="56"/>
  <c r="AE81" i="56"/>
  <c r="W80" i="56"/>
  <c r="U85" i="56"/>
  <c r="AO59" i="56"/>
  <c r="AI59" i="56"/>
  <c r="Q64" i="56"/>
  <c r="I78" i="56"/>
  <c r="AM80" i="56"/>
  <c r="E74" i="56"/>
  <c r="E75" i="56"/>
  <c r="AO82" i="56"/>
  <c r="Q75" i="56"/>
  <c r="AA82" i="56"/>
  <c r="AK79" i="56"/>
  <c r="W75" i="56"/>
  <c r="O80" i="56"/>
  <c r="Y82" i="56"/>
  <c r="G75" i="56"/>
  <c r="S82" i="56"/>
  <c r="Q82" i="56"/>
  <c r="E78" i="56"/>
  <c r="M75" i="56"/>
  <c r="U79" i="56"/>
  <c r="AO78" i="56"/>
  <c r="Y79" i="56"/>
  <c r="AC80" i="56"/>
  <c r="K79" i="56"/>
  <c r="AG75" i="56"/>
  <c r="AK75" i="56"/>
  <c r="AA75" i="56"/>
  <c r="S79" i="56"/>
  <c r="AM78" i="56"/>
  <c r="AG80" i="56"/>
  <c r="Y78" i="56"/>
  <c r="AC79" i="56"/>
  <c r="AE80" i="56"/>
  <c r="O85" i="56"/>
  <c r="AC82" i="56"/>
  <c r="W78" i="56"/>
  <c r="Q78" i="56"/>
  <c r="AI79" i="56"/>
  <c r="E59" i="56"/>
  <c r="O75" i="56"/>
  <c r="K75" i="56"/>
  <c r="AA72" i="56"/>
  <c r="Q72" i="56"/>
  <c r="I79" i="56"/>
  <c r="AI65" i="56"/>
  <c r="K82" i="56"/>
  <c r="O72" i="56"/>
  <c r="E57" i="56"/>
  <c r="AK37" i="56"/>
  <c r="O65" i="56"/>
  <c r="W82" i="56"/>
  <c r="AO46" i="56"/>
  <c r="AA73" i="56"/>
  <c r="Q37" i="56"/>
  <c r="W57" i="56"/>
  <c r="Q65" i="56"/>
  <c r="S37" i="56"/>
  <c r="G82" i="56"/>
  <c r="E79" i="56"/>
  <c r="AO37" i="56"/>
  <c r="AE72" i="56"/>
  <c r="E73" i="56"/>
  <c r="AM73" i="56"/>
  <c r="I37" i="56"/>
  <c r="M65" i="56"/>
  <c r="AA65" i="56"/>
  <c r="W73" i="56"/>
  <c r="I65" i="56"/>
  <c r="AE82" i="56"/>
  <c r="AM79" i="56"/>
  <c r="AE65" i="56"/>
  <c r="K78" i="56"/>
  <c r="M79" i="56"/>
  <c r="M73" i="56"/>
  <c r="AA37" i="56"/>
  <c r="AE73" i="56"/>
  <c r="AI73" i="56"/>
  <c r="M72" i="56"/>
  <c r="U72" i="56"/>
  <c r="K72" i="56"/>
  <c r="AO71" i="56"/>
  <c r="W71" i="56"/>
  <c r="AM72" i="56"/>
  <c r="M78" i="56"/>
  <c r="AI57" i="56"/>
  <c r="U73" i="56"/>
  <c r="AC75" i="56"/>
  <c r="O37" i="56"/>
  <c r="AI71" i="56"/>
  <c r="G72" i="56"/>
  <c r="AK57" i="56"/>
  <c r="S73" i="56"/>
  <c r="AC71" i="56"/>
  <c r="W72" i="56"/>
  <c r="S78" i="56"/>
  <c r="S57" i="56"/>
  <c r="AC73" i="56"/>
  <c r="Y75" i="56"/>
  <c r="Y37" i="56"/>
  <c r="E70" i="56"/>
  <c r="U71" i="56"/>
  <c r="S72" i="56"/>
  <c r="U78" i="56"/>
  <c r="U57" i="56"/>
  <c r="G73" i="56"/>
  <c r="AO75" i="56"/>
  <c r="S71" i="56"/>
  <c r="M60" i="56"/>
  <c r="AC57" i="56"/>
  <c r="Q73" i="56"/>
  <c r="W60" i="56"/>
  <c r="O73" i="56"/>
  <c r="AA78" i="56"/>
  <c r="AG79" i="56"/>
  <c r="AG73" i="56"/>
  <c r="S75" i="56"/>
  <c r="AM59" i="56"/>
  <c r="U58" i="56"/>
  <c r="O71" i="56"/>
  <c r="AI72" i="56"/>
  <c r="AA57" i="56"/>
  <c r="AO73" i="56"/>
  <c r="G70" i="56"/>
  <c r="G78" i="56"/>
  <c r="U75" i="56"/>
  <c r="G71" i="56"/>
  <c r="G65" i="56"/>
  <c r="I70" i="56"/>
  <c r="AE71" i="56"/>
  <c r="U60" i="56"/>
  <c r="O78" i="56"/>
  <c r="AA46" i="56"/>
  <c r="AE79" i="56"/>
  <c r="AK73" i="56"/>
  <c r="AI75" i="56"/>
  <c r="I59" i="56"/>
  <c r="K71" i="56"/>
  <c r="AK72" i="56"/>
  <c r="AC65" i="56"/>
  <c r="Y70" i="56"/>
  <c r="E72" i="56"/>
  <c r="G60" i="56"/>
  <c r="AG78" i="56"/>
  <c r="O46" i="56"/>
  <c r="O79" i="56"/>
  <c r="K73" i="56"/>
  <c r="I75" i="56"/>
  <c r="AK59" i="56"/>
  <c r="E71" i="56"/>
  <c r="AK71" i="56"/>
  <c r="AE59" i="56"/>
  <c r="U70" i="56"/>
  <c r="AG71" i="56"/>
  <c r="Q60" i="56"/>
  <c r="I73" i="56"/>
  <c r="AM75" i="56"/>
  <c r="O59" i="56"/>
  <c r="Y58" i="56"/>
  <c r="E65" i="56"/>
  <c r="W70" i="56"/>
  <c r="I60" i="56"/>
  <c r="AG46" i="56"/>
  <c r="S65" i="56"/>
  <c r="M70" i="56"/>
  <c r="AG72" i="56"/>
  <c r="AM60" i="56"/>
  <c r="K46" i="56"/>
  <c r="K59" i="56"/>
  <c r="AC66" i="56"/>
  <c r="E67" i="56"/>
  <c r="AC64" i="56"/>
  <c r="I45" i="56"/>
  <c r="AK66" i="56"/>
  <c r="I67" i="56"/>
  <c r="AA74" i="56"/>
  <c r="AI66" i="56"/>
  <c r="U44" i="56"/>
  <c r="Y67" i="56"/>
  <c r="S67" i="56"/>
  <c r="AG54" i="56"/>
  <c r="U53" i="56"/>
  <c r="W67" i="56"/>
  <c r="Y64" i="56"/>
  <c r="M64" i="56"/>
  <c r="I54" i="56"/>
  <c r="AE67" i="56"/>
  <c r="I74" i="56"/>
  <c r="AM65" i="56"/>
  <c r="G53" i="56"/>
  <c r="I43" i="56"/>
  <c r="Y74" i="56"/>
  <c r="AK64" i="56"/>
  <c r="U65" i="56"/>
  <c r="AG70" i="56"/>
  <c r="Q71" i="56"/>
  <c r="K66" i="56"/>
  <c r="Y53" i="56"/>
  <c r="G43" i="56"/>
  <c r="G67" i="56"/>
  <c r="AC74" i="56"/>
  <c r="AC33" i="56"/>
  <c r="O64" i="56"/>
  <c r="K65" i="56"/>
  <c r="O70" i="56"/>
  <c r="AA71" i="56"/>
  <c r="I72" i="56"/>
  <c r="AA66" i="56"/>
  <c r="AE53" i="56"/>
  <c r="AO43" i="56"/>
  <c r="Q67" i="56"/>
  <c r="AK74" i="56"/>
  <c r="G66" i="56"/>
  <c r="AM44" i="56"/>
  <c r="W64" i="56"/>
  <c r="AO67" i="56"/>
  <c r="U64" i="56"/>
  <c r="U67" i="56"/>
  <c r="W74" i="56"/>
  <c r="AE64" i="56"/>
  <c r="Q70" i="56"/>
  <c r="I64" i="56"/>
  <c r="S64" i="56"/>
  <c r="M71" i="56"/>
  <c r="AA67" i="56"/>
  <c r="M33" i="56"/>
  <c r="K64" i="56"/>
  <c r="W65" i="56"/>
  <c r="AK70" i="56"/>
  <c r="AM71" i="56"/>
  <c r="Y72" i="56"/>
  <c r="AO66" i="56"/>
  <c r="I53" i="56"/>
  <c r="O43" i="56"/>
  <c r="K67" i="56"/>
  <c r="S74" i="56"/>
  <c r="AM66" i="56"/>
  <c r="AO74" i="56"/>
  <c r="AG67" i="56"/>
  <c r="Y65" i="56"/>
  <c r="AE70" i="56"/>
  <c r="I71" i="56"/>
  <c r="AC72" i="56"/>
  <c r="O66" i="56"/>
  <c r="S43" i="56"/>
  <c r="M67" i="56"/>
  <c r="O74" i="56"/>
  <c r="O67" i="56"/>
  <c r="AO65" i="56"/>
  <c r="AO70" i="56"/>
  <c r="AA53" i="56"/>
  <c r="K70" i="56"/>
  <c r="E66" i="56"/>
  <c r="W66" i="56"/>
  <c r="AM43" i="56"/>
  <c r="AK67" i="56"/>
  <c r="AI54" i="56"/>
  <c r="O58" i="56"/>
  <c r="K60" i="56"/>
  <c r="AE57" i="56"/>
  <c r="U54" i="56"/>
  <c r="S58" i="56"/>
  <c r="AM58" i="56"/>
  <c r="AK58" i="56"/>
  <c r="M39" i="56"/>
  <c r="AO57" i="56"/>
  <c r="AI18" i="56"/>
  <c r="AA58" i="56"/>
  <c r="AI33" i="56"/>
  <c r="AA39" i="56"/>
  <c r="U66" i="56"/>
  <c r="K53" i="56"/>
  <c r="K57" i="56"/>
  <c r="S59" i="56"/>
  <c r="AI39" i="56"/>
  <c r="M66" i="56"/>
  <c r="AC53" i="56"/>
  <c r="Y57" i="56"/>
  <c r="S54" i="56"/>
  <c r="U59" i="56"/>
  <c r="AI67" i="56"/>
  <c r="AG57" i="56"/>
  <c r="AG58" i="56"/>
  <c r="U33" i="56"/>
  <c r="I39" i="56"/>
  <c r="S53" i="56"/>
  <c r="O57" i="56"/>
  <c r="M59" i="56"/>
  <c r="W54" i="56"/>
  <c r="AG19" i="56"/>
  <c r="Q66" i="56"/>
  <c r="M53" i="56"/>
  <c r="M57" i="56"/>
  <c r="O54" i="56"/>
  <c r="G59" i="56"/>
  <c r="AO39" i="56"/>
  <c r="AM33" i="56"/>
  <c r="O39" i="56"/>
  <c r="O53" i="56"/>
  <c r="Q57" i="56"/>
  <c r="E54" i="56"/>
  <c r="I33" i="56"/>
  <c r="K39" i="56"/>
  <c r="S66" i="56"/>
  <c r="Q53" i="56"/>
  <c r="G57" i="56"/>
  <c r="AO54" i="56"/>
  <c r="AC59" i="56"/>
  <c r="E60" i="56"/>
  <c r="I66" i="56"/>
  <c r="AO53" i="56"/>
  <c r="I57" i="56"/>
  <c r="M54" i="56"/>
  <c r="Y59" i="56"/>
  <c r="K58" i="56"/>
  <c r="AA18" i="56"/>
  <c r="AG60" i="56"/>
  <c r="AO60" i="56"/>
  <c r="AE58" i="56"/>
  <c r="AC60" i="56"/>
  <c r="AA59" i="56"/>
  <c r="Y60" i="56"/>
  <c r="W53" i="56"/>
  <c r="AE54" i="56"/>
  <c r="E45" i="56"/>
  <c r="AI45" i="56"/>
  <c r="AK45" i="56"/>
  <c r="W46" i="56"/>
  <c r="AK43" i="56"/>
  <c r="I46" i="56"/>
  <c r="Y44" i="56"/>
  <c r="Y46" i="56"/>
  <c r="S44" i="56"/>
  <c r="AI46" i="56"/>
  <c r="G44" i="56"/>
  <c r="AI60" i="56"/>
  <c r="AK46" i="56"/>
  <c r="G54" i="56"/>
  <c r="AI58" i="56"/>
  <c r="G46" i="56"/>
  <c r="W58" i="56"/>
  <c r="I44" i="56"/>
  <c r="U46" i="56"/>
  <c r="Q54" i="56"/>
  <c r="AO58" i="56"/>
  <c r="K44" i="56"/>
  <c r="S60" i="56"/>
  <c r="Y54" i="56"/>
  <c r="Q58" i="56"/>
  <c r="AG45" i="56"/>
  <c r="U43" i="56"/>
  <c r="AI43" i="56"/>
  <c r="M43" i="56"/>
  <c r="K54" i="56"/>
  <c r="AK60" i="56"/>
  <c r="Q43" i="56"/>
  <c r="AK54" i="56"/>
  <c r="M58" i="56"/>
  <c r="AO45" i="56"/>
  <c r="AE43" i="56"/>
  <c r="AC54" i="56"/>
  <c r="G58" i="56"/>
  <c r="AE60" i="56"/>
  <c r="I58" i="56"/>
  <c r="AA60" i="56"/>
  <c r="AG43" i="56"/>
  <c r="E29" i="56"/>
  <c r="AA54" i="56"/>
  <c r="AC58" i="56"/>
  <c r="K40" i="56"/>
  <c r="AE46" i="56"/>
  <c r="K43" i="56"/>
  <c r="AE29" i="56"/>
  <c r="AI44" i="56"/>
  <c r="AO38" i="56"/>
  <c r="AE37" i="56"/>
  <c r="M45" i="56"/>
  <c r="AC44" i="56"/>
  <c r="K45" i="56"/>
  <c r="AC39" i="56"/>
  <c r="M38" i="56"/>
  <c r="E46" i="56"/>
  <c r="E43" i="56"/>
  <c r="AM29" i="56"/>
  <c r="Y23" i="56"/>
  <c r="O38" i="56"/>
  <c r="AE45" i="56"/>
  <c r="AK39" i="56"/>
  <c r="AC46" i="56"/>
  <c r="U29" i="56"/>
  <c r="Q45" i="56"/>
  <c r="Y39" i="56"/>
  <c r="Q46" i="56"/>
  <c r="AA43" i="56"/>
  <c r="E37" i="56"/>
  <c r="O29" i="56"/>
  <c r="C50" i="56"/>
  <c r="AC50" i="56" s="1"/>
  <c r="L57" i="1"/>
  <c r="S38" i="56"/>
  <c r="M37" i="56"/>
  <c r="U23" i="56"/>
  <c r="I38" i="56"/>
  <c r="W39" i="56"/>
  <c r="E26" i="56"/>
  <c r="W45" i="56"/>
  <c r="G39" i="56"/>
  <c r="S46" i="56"/>
  <c r="W43" i="56"/>
  <c r="K37" i="56"/>
  <c r="AC29" i="56"/>
  <c r="W28" i="56"/>
  <c r="AK38" i="56"/>
  <c r="AI38" i="56"/>
  <c r="W37" i="56"/>
  <c r="U38" i="56"/>
  <c r="G37" i="56"/>
  <c r="K26" i="56"/>
  <c r="AA45" i="56"/>
  <c r="S39" i="56"/>
  <c r="AM46" i="56"/>
  <c r="Y43" i="56"/>
  <c r="AM37" i="56"/>
  <c r="AG29" i="56"/>
  <c r="M24" i="56"/>
  <c r="S40" i="56"/>
  <c r="AE44" i="56"/>
  <c r="O45" i="56"/>
  <c r="AE26" i="56"/>
  <c r="U45" i="56"/>
  <c r="AM39" i="56"/>
  <c r="AG37" i="56"/>
  <c r="AO24" i="56"/>
  <c r="AC40" i="56"/>
  <c r="O43" i="3"/>
  <c r="N54" i="1"/>
  <c r="M30" i="56"/>
  <c r="K30" i="56"/>
  <c r="O30" i="56"/>
  <c r="Q44" i="56"/>
  <c r="AG38" i="56"/>
  <c r="G30" i="56"/>
  <c r="M44" i="56"/>
  <c r="Y38" i="56"/>
  <c r="M25" i="56"/>
  <c r="S30" i="56"/>
  <c r="G45" i="56"/>
  <c r="O44" i="56"/>
  <c r="AE39" i="56"/>
  <c r="W38" i="56"/>
  <c r="AE25" i="56"/>
  <c r="AC30" i="56"/>
  <c r="Y45" i="56"/>
  <c r="AG44" i="56"/>
  <c r="U39" i="56"/>
  <c r="AE38" i="56"/>
  <c r="S20" i="56"/>
  <c r="W19" i="56"/>
  <c r="E40" i="56"/>
  <c r="K18" i="56"/>
  <c r="AA44" i="56"/>
  <c r="I40" i="56"/>
  <c r="I18" i="56"/>
  <c r="AO44" i="56"/>
  <c r="AC19" i="56"/>
  <c r="W44" i="56"/>
  <c r="Q40" i="56"/>
  <c r="AA33" i="56"/>
  <c r="M18" i="56"/>
  <c r="AC45" i="56"/>
  <c r="AK44" i="56"/>
  <c r="K38" i="56"/>
  <c r="AK19" i="56"/>
  <c r="AA27" i="56"/>
  <c r="AC37" i="56"/>
  <c r="M40" i="56"/>
  <c r="AE30" i="56"/>
  <c r="M19" i="56"/>
  <c r="G19" i="56"/>
  <c r="AE40" i="56"/>
  <c r="O33" i="56"/>
  <c r="Q18" i="56"/>
  <c r="S45" i="56"/>
  <c r="Q39" i="56"/>
  <c r="E27" i="56"/>
  <c r="S33" i="56"/>
  <c r="AE18" i="56"/>
  <c r="E39" i="56"/>
  <c r="AA38" i="56"/>
  <c r="K19" i="56"/>
  <c r="K27" i="56"/>
  <c r="U37" i="56"/>
  <c r="Y40" i="56"/>
  <c r="E30" i="56"/>
  <c r="I30" i="56"/>
  <c r="E18" i="56"/>
  <c r="C47" i="56"/>
  <c r="AI47" i="56" s="1"/>
  <c r="L54" i="1"/>
  <c r="L48" i="1" s="1"/>
  <c r="G19" i="6" s="1"/>
  <c r="AI19" i="56"/>
  <c r="AK33" i="56"/>
  <c r="O18" i="56"/>
  <c r="AC38" i="56"/>
  <c r="AO19" i="56"/>
  <c r="AK27" i="56"/>
  <c r="AG40" i="56"/>
  <c r="K17" i="56"/>
  <c r="K25" i="56"/>
  <c r="AM26" i="56"/>
  <c r="W17" i="56"/>
  <c r="AC25" i="56"/>
  <c r="Y17" i="56"/>
  <c r="I26" i="56"/>
  <c r="G29" i="56"/>
  <c r="AA23" i="56"/>
  <c r="G26" i="56"/>
  <c r="AA30" i="56"/>
  <c r="S18" i="56"/>
  <c r="M29" i="56"/>
  <c r="AI40" i="56"/>
  <c r="Q23" i="56"/>
  <c r="O26" i="56"/>
  <c r="AG30" i="56"/>
  <c r="AM18" i="56"/>
  <c r="Y29" i="56"/>
  <c r="O40" i="56"/>
  <c r="G33" i="56"/>
  <c r="AM23" i="56"/>
  <c r="AO30" i="56"/>
  <c r="AO18" i="56"/>
  <c r="G38" i="56"/>
  <c r="AM15" i="56"/>
  <c r="K29" i="56"/>
  <c r="W40" i="56"/>
  <c r="AG17" i="56"/>
  <c r="Q17" i="56"/>
  <c r="U26" i="56"/>
  <c r="I23" i="56"/>
  <c r="I29" i="56"/>
  <c r="AM40" i="56"/>
  <c r="W25" i="56"/>
  <c r="AE23" i="56"/>
  <c r="Y26" i="56"/>
  <c r="I16" i="56"/>
  <c r="AA29" i="56"/>
  <c r="S26" i="56"/>
  <c r="AI30" i="56"/>
  <c r="W18" i="56"/>
  <c r="AM38" i="56"/>
  <c r="Q13" i="56"/>
  <c r="AO29" i="56"/>
  <c r="Q25" i="56"/>
  <c r="AK40" i="56"/>
  <c r="W29" i="56"/>
  <c r="AE15" i="56"/>
  <c r="AE33" i="56"/>
  <c r="AK17" i="56"/>
  <c r="W30" i="56"/>
  <c r="O19" i="56"/>
  <c r="O13" i="56"/>
  <c r="S25" i="56"/>
  <c r="G40" i="56"/>
  <c r="O23" i="56"/>
  <c r="K23" i="56"/>
  <c r="U30" i="56"/>
  <c r="G18" i="56"/>
  <c r="W13" i="56"/>
  <c r="Q29" i="56"/>
  <c r="M23" i="56"/>
  <c r="Q30" i="56"/>
  <c r="AC18" i="56"/>
  <c r="U13" i="56"/>
  <c r="AK29" i="56"/>
  <c r="U40" i="56"/>
  <c r="Q33" i="56"/>
  <c r="G23" i="56"/>
  <c r="AM30" i="56"/>
  <c r="AK18" i="56"/>
  <c r="Q38" i="56"/>
  <c r="AA13" i="56"/>
  <c r="S29" i="56"/>
  <c r="E25" i="56"/>
  <c r="AO40" i="56"/>
  <c r="K33" i="56"/>
  <c r="AG23" i="56"/>
  <c r="AO23" i="56"/>
  <c r="Y18" i="56"/>
  <c r="W33" i="56"/>
  <c r="AE17" i="56"/>
  <c r="AK30" i="56"/>
  <c r="U18" i="56"/>
  <c r="Y19" i="56"/>
  <c r="I25" i="56"/>
  <c r="AE28" i="56"/>
  <c r="O28" i="56"/>
  <c r="Q24" i="56"/>
  <c r="AO33" i="56"/>
  <c r="AK23" i="56"/>
  <c r="W26" i="56"/>
  <c r="I19" i="56"/>
  <c r="O27" i="56"/>
  <c r="G25" i="56"/>
  <c r="AM24" i="56"/>
  <c r="Y24" i="56"/>
  <c r="AM27" i="56"/>
  <c r="AC23" i="56"/>
  <c r="AO25" i="56"/>
  <c r="W24" i="56"/>
  <c r="Y33" i="56"/>
  <c r="S23" i="56"/>
  <c r="AA16" i="56"/>
  <c r="AK25" i="56"/>
  <c r="K24" i="56"/>
  <c r="AI24" i="56"/>
  <c r="AG33" i="56"/>
  <c r="W23" i="56"/>
  <c r="AK16" i="56"/>
  <c r="AM25" i="56"/>
  <c r="W16" i="56"/>
  <c r="AI25" i="56"/>
  <c r="AI23" i="56"/>
  <c r="AK24" i="56"/>
  <c r="U25" i="56"/>
  <c r="O25" i="56"/>
  <c r="E20" i="56"/>
  <c r="S28" i="56"/>
  <c r="G27" i="56"/>
  <c r="W20" i="56"/>
  <c r="AG28" i="56"/>
  <c r="AG24" i="56"/>
  <c r="AC20" i="56"/>
  <c r="Q28" i="56"/>
  <c r="AC28" i="56"/>
  <c r="AK20" i="56"/>
  <c r="U28" i="56"/>
  <c r="AM20" i="56"/>
  <c r="AE20" i="56"/>
  <c r="I20" i="56"/>
  <c r="AI27" i="56"/>
  <c r="AM28" i="56"/>
  <c r="AE24" i="56"/>
  <c r="AI26" i="56"/>
  <c r="Y27" i="56"/>
  <c r="Y20" i="56"/>
  <c r="AC24" i="56"/>
  <c r="AE27" i="56"/>
  <c r="K20" i="56"/>
  <c r="K28" i="56"/>
  <c r="AI20" i="56"/>
  <c r="AO28" i="56"/>
  <c r="I28" i="56"/>
  <c r="M26" i="56"/>
  <c r="AC27" i="56"/>
  <c r="AA20" i="56"/>
  <c r="M28" i="56"/>
  <c r="S24" i="56"/>
  <c r="Q26" i="56"/>
  <c r="E19" i="56"/>
  <c r="AG27" i="56"/>
  <c r="Q20" i="56"/>
  <c r="AK28" i="56"/>
  <c r="AA24" i="56"/>
  <c r="AG26" i="56"/>
  <c r="AA19" i="56"/>
  <c r="Q27" i="56"/>
  <c r="U20" i="56"/>
  <c r="Y28" i="56"/>
  <c r="U24" i="56"/>
  <c r="G20" i="56"/>
  <c r="I27" i="56"/>
  <c r="S27" i="56"/>
  <c r="AM19" i="56"/>
  <c r="AG20" i="56"/>
  <c r="AA28" i="56"/>
  <c r="G24" i="56"/>
  <c r="AC26" i="56"/>
  <c r="AE19" i="56"/>
  <c r="W27" i="56"/>
  <c r="I13" i="56"/>
  <c r="AA25" i="56"/>
  <c r="O20" i="56"/>
  <c r="AI28" i="56"/>
  <c r="G28" i="56"/>
  <c r="I24" i="56"/>
  <c r="U19" i="56"/>
  <c r="AO27" i="56"/>
  <c r="AE13" i="56"/>
  <c r="AG25" i="56"/>
  <c r="AO20" i="56"/>
  <c r="E24" i="56"/>
  <c r="AA26" i="56"/>
  <c r="U27" i="56"/>
  <c r="AK26" i="56"/>
  <c r="Q19" i="56"/>
  <c r="AK13" i="56"/>
  <c r="O17" i="56"/>
  <c r="S16" i="56"/>
  <c r="I17" i="56"/>
  <c r="AG16" i="56"/>
  <c r="Q16" i="56"/>
  <c r="M17" i="56"/>
  <c r="AA8" i="56"/>
  <c r="AI17" i="56"/>
  <c r="K9" i="56"/>
  <c r="Y16" i="56"/>
  <c r="Q9" i="56"/>
  <c r="AO17" i="56"/>
  <c r="AM17" i="56"/>
  <c r="U9" i="56"/>
  <c r="E17" i="56"/>
  <c r="W9" i="56"/>
  <c r="AC13" i="56"/>
  <c r="G17" i="56"/>
  <c r="AC9" i="56"/>
  <c r="AG13" i="56"/>
  <c r="U17" i="56"/>
  <c r="G16" i="56"/>
  <c r="S9" i="56"/>
  <c r="S17" i="56"/>
  <c r="AI9" i="56"/>
  <c r="M9" i="56"/>
  <c r="AC17" i="56"/>
  <c r="AE16" i="56"/>
  <c r="S8" i="56"/>
  <c r="AC16" i="56"/>
  <c r="AK15" i="56"/>
  <c r="K16" i="56"/>
  <c r="U16" i="56"/>
  <c r="E15" i="56"/>
  <c r="AO16" i="56"/>
  <c r="M15" i="56"/>
  <c r="M16" i="56"/>
  <c r="AC15" i="56"/>
  <c r="K13" i="56"/>
  <c r="K15" i="56"/>
  <c r="AM16" i="56"/>
  <c r="W15" i="56"/>
  <c r="I15" i="56"/>
  <c r="E16" i="56"/>
  <c r="O9" i="56"/>
  <c r="AG15" i="56"/>
  <c r="AI16" i="56"/>
  <c r="O15" i="56"/>
  <c r="M8" i="56"/>
  <c r="Y9" i="56"/>
  <c r="AO15" i="56"/>
  <c r="M13" i="56"/>
  <c r="AO8" i="56"/>
  <c r="AA15" i="56"/>
  <c r="Y13" i="56"/>
  <c r="Q15" i="56"/>
  <c r="AM13" i="56"/>
  <c r="S15" i="56"/>
  <c r="AA9" i="56"/>
  <c r="G15" i="56"/>
  <c r="AO9" i="56"/>
  <c r="Y15" i="56"/>
  <c r="U15" i="56"/>
  <c r="AK9" i="56"/>
  <c r="G9" i="56"/>
  <c r="AO13" i="56"/>
  <c r="E13" i="56"/>
  <c r="AI13" i="56"/>
  <c r="G13" i="56"/>
  <c r="I9" i="56"/>
  <c r="AE8" i="56"/>
  <c r="Y8" i="56"/>
  <c r="AC8" i="56"/>
  <c r="AG9" i="56"/>
  <c r="I8" i="56"/>
  <c r="W8" i="56"/>
  <c r="AI8" i="56"/>
  <c r="K8" i="56"/>
  <c r="G8" i="56"/>
  <c r="AM8" i="56"/>
  <c r="AM9" i="56"/>
  <c r="Q8" i="56"/>
  <c r="U8" i="56"/>
  <c r="AK8" i="56"/>
  <c r="O8" i="56"/>
  <c r="AE9" i="56"/>
  <c r="P8" i="3"/>
  <c r="Q14" i="1"/>
  <c r="Q13" i="1" s="1"/>
  <c r="O8" i="3"/>
  <c r="N14" i="1"/>
  <c r="G7" i="83"/>
  <c r="G7" i="80"/>
  <c r="G6" i="79"/>
  <c r="O101" i="1"/>
  <c r="R101" i="1" s="1"/>
  <c r="G7" i="79"/>
  <c r="G6" i="83"/>
  <c r="O103" i="1"/>
  <c r="R103" i="1" s="1"/>
  <c r="G7" i="81"/>
  <c r="G6" i="81"/>
  <c r="O104" i="1"/>
  <c r="R104" i="1" s="1"/>
  <c r="G8" i="83"/>
  <c r="O102" i="1"/>
  <c r="R102" i="1" s="1"/>
  <c r="G7" i="82"/>
  <c r="G6" i="80"/>
  <c r="G6" i="82"/>
  <c r="O105" i="1"/>
  <c r="R105" i="1" s="1"/>
  <c r="L62" i="1"/>
  <c r="G21" i="6" s="1"/>
  <c r="N43" i="3"/>
  <c r="C41" i="56" s="1"/>
  <c r="L42" i="1"/>
  <c r="G18" i="6" s="1"/>
  <c r="P23" i="3"/>
  <c r="L28" i="1"/>
  <c r="G15" i="6" s="1"/>
  <c r="P70" i="3"/>
  <c r="P78" i="3"/>
  <c r="W36" i="56"/>
  <c r="K36" i="56"/>
  <c r="Q36" i="56"/>
  <c r="M36" i="56"/>
  <c r="AG36" i="56"/>
  <c r="S36" i="56"/>
  <c r="AI36" i="56"/>
  <c r="AE36" i="56"/>
  <c r="U36" i="56"/>
  <c r="G36" i="56"/>
  <c r="AC36" i="56"/>
  <c r="Y36" i="56"/>
  <c r="AO36" i="56"/>
  <c r="AM36" i="56"/>
  <c r="AK36" i="56"/>
  <c r="O36" i="56"/>
  <c r="I36" i="56"/>
  <c r="AA36" i="56"/>
  <c r="AI84" i="56"/>
  <c r="W84" i="56"/>
  <c r="S84" i="56"/>
  <c r="AM84" i="56"/>
  <c r="AO84" i="56"/>
  <c r="O84" i="56"/>
  <c r="AG84" i="56"/>
  <c r="AG83" i="56" s="1"/>
  <c r="U84" i="56"/>
  <c r="K84" i="56"/>
  <c r="Q84" i="56"/>
  <c r="AE84" i="56"/>
  <c r="AA84" i="56"/>
  <c r="G84" i="56"/>
  <c r="M84" i="56"/>
  <c r="I84" i="56"/>
  <c r="AK84" i="56"/>
  <c r="Y84" i="56"/>
  <c r="AC84" i="56"/>
  <c r="AM87" i="56"/>
  <c r="AM86" i="56" s="1"/>
  <c r="Y87" i="56"/>
  <c r="Y86" i="56" s="1"/>
  <c r="G87" i="56"/>
  <c r="G86" i="56" s="1"/>
  <c r="M87" i="56"/>
  <c r="M86" i="56" s="1"/>
  <c r="AA87" i="56"/>
  <c r="AA86" i="56" s="1"/>
  <c r="U87" i="56"/>
  <c r="U86" i="56" s="1"/>
  <c r="W87" i="56"/>
  <c r="W86" i="56" s="1"/>
  <c r="AI87" i="56"/>
  <c r="AI86" i="56" s="1"/>
  <c r="K87" i="56"/>
  <c r="K86" i="56" s="1"/>
  <c r="AG87" i="56"/>
  <c r="AG86" i="56" s="1"/>
  <c r="AE87" i="56"/>
  <c r="AE86" i="56" s="1"/>
  <c r="AK87" i="56"/>
  <c r="AK86" i="56" s="1"/>
  <c r="I87" i="56"/>
  <c r="I86" i="56" s="1"/>
  <c r="S87" i="56"/>
  <c r="S86" i="56" s="1"/>
  <c r="AC87" i="56"/>
  <c r="AC86" i="56" s="1"/>
  <c r="Q87" i="56"/>
  <c r="Q86" i="56" s="1"/>
  <c r="AO87" i="56"/>
  <c r="AO86" i="56" s="1"/>
  <c r="O87" i="56"/>
  <c r="O86" i="56" s="1"/>
  <c r="P37" i="3"/>
  <c r="Q28" i="1"/>
  <c r="S56" i="56"/>
  <c r="Y56" i="56"/>
  <c r="O56" i="56"/>
  <c r="G56" i="56"/>
  <c r="AK56" i="56"/>
  <c r="U56" i="56"/>
  <c r="AO56" i="56"/>
  <c r="AE56" i="56"/>
  <c r="AG56" i="56"/>
  <c r="W56" i="56"/>
  <c r="I56" i="56"/>
  <c r="AA56" i="56"/>
  <c r="AM56" i="56"/>
  <c r="M56" i="56"/>
  <c r="AC56" i="56"/>
  <c r="AI56" i="56"/>
  <c r="K56" i="56"/>
  <c r="Q56" i="56"/>
  <c r="C49" i="56"/>
  <c r="C12" i="56"/>
  <c r="AA42" i="56"/>
  <c r="G42" i="56"/>
  <c r="I42" i="56"/>
  <c r="AG42" i="56"/>
  <c r="Y42" i="56"/>
  <c r="Q42" i="56"/>
  <c r="M42" i="56"/>
  <c r="AC42" i="56"/>
  <c r="AO42" i="56"/>
  <c r="U42" i="56"/>
  <c r="AM42" i="56"/>
  <c r="AI42" i="56"/>
  <c r="S42" i="56"/>
  <c r="AK42" i="56"/>
  <c r="O42" i="56"/>
  <c r="K42" i="56"/>
  <c r="AE42" i="56"/>
  <c r="W42" i="56"/>
  <c r="P57" i="3"/>
  <c r="K22" i="56"/>
  <c r="AK22" i="56"/>
  <c r="S22" i="56"/>
  <c r="Q22" i="56"/>
  <c r="AE22" i="56"/>
  <c r="O22" i="56"/>
  <c r="AC22" i="56"/>
  <c r="AG22" i="56"/>
  <c r="U22" i="56"/>
  <c r="Y22" i="56"/>
  <c r="AO22" i="56"/>
  <c r="AI22" i="56"/>
  <c r="AA22" i="56"/>
  <c r="I22" i="56"/>
  <c r="M22" i="56"/>
  <c r="W22" i="56"/>
  <c r="G22" i="56"/>
  <c r="AM22" i="56"/>
  <c r="S69" i="56"/>
  <c r="Y69" i="56"/>
  <c r="G69" i="56"/>
  <c r="AI69" i="56"/>
  <c r="AK69" i="56"/>
  <c r="AE69" i="56"/>
  <c r="I69" i="56"/>
  <c r="O69" i="56"/>
  <c r="AG69" i="56"/>
  <c r="K69" i="56"/>
  <c r="AO69" i="56"/>
  <c r="M69" i="56"/>
  <c r="AM69" i="56"/>
  <c r="W69" i="56"/>
  <c r="Q69" i="56"/>
  <c r="U69" i="56"/>
  <c r="AC69" i="56"/>
  <c r="AA69" i="56"/>
  <c r="AO77" i="56"/>
  <c r="O77" i="56"/>
  <c r="AI77" i="56"/>
  <c r="Y77" i="56"/>
  <c r="AK77" i="56"/>
  <c r="W77" i="56"/>
  <c r="S77" i="56"/>
  <c r="K77" i="56"/>
  <c r="G77" i="56"/>
  <c r="M77" i="56"/>
  <c r="I77" i="56"/>
  <c r="Q77" i="56"/>
  <c r="AE77" i="56"/>
  <c r="AM77" i="56"/>
  <c r="AA77" i="56"/>
  <c r="U77" i="56"/>
  <c r="AC77" i="56"/>
  <c r="AG77" i="56"/>
  <c r="P85" i="3"/>
  <c r="P88" i="3"/>
  <c r="Q93" i="1"/>
  <c r="N96" i="1"/>
  <c r="I29" i="6" s="1"/>
  <c r="J96" i="1"/>
  <c r="E29" i="6" s="1"/>
  <c r="L96" i="1"/>
  <c r="G29" i="6" s="1"/>
  <c r="M90" i="56"/>
  <c r="Q90" i="56"/>
  <c r="AM90" i="56"/>
  <c r="AI90" i="56"/>
  <c r="I90" i="56"/>
  <c r="U90" i="56"/>
  <c r="W90" i="56"/>
  <c r="AG90" i="56"/>
  <c r="AA90" i="56"/>
  <c r="AK90" i="56"/>
  <c r="K90" i="56"/>
  <c r="G90" i="56"/>
  <c r="O90" i="56"/>
  <c r="AO90" i="56"/>
  <c r="AE90" i="56"/>
  <c r="AC90" i="56"/>
  <c r="Y90" i="56"/>
  <c r="S90" i="56"/>
  <c r="C89" i="56"/>
  <c r="W32" i="56"/>
  <c r="U32" i="56"/>
  <c r="AE32" i="56"/>
  <c r="AK32" i="56"/>
  <c r="AM32" i="56"/>
  <c r="G32" i="56"/>
  <c r="I32" i="56"/>
  <c r="AG32" i="56"/>
  <c r="K32" i="56"/>
  <c r="AI32" i="56"/>
  <c r="S32" i="56"/>
  <c r="Y32" i="56"/>
  <c r="AO32" i="56"/>
  <c r="AA32" i="56"/>
  <c r="Q32" i="56"/>
  <c r="M32" i="56"/>
  <c r="AC32" i="56"/>
  <c r="O32" i="56"/>
  <c r="C7" i="56"/>
  <c r="AM7" i="56" s="1"/>
  <c r="N8" i="3"/>
  <c r="E36" i="56"/>
  <c r="E87" i="56"/>
  <c r="E86" i="56" s="1"/>
  <c r="E56" i="56"/>
  <c r="E22" i="56"/>
  <c r="E77" i="56"/>
  <c r="E69" i="56"/>
  <c r="E32" i="56"/>
  <c r="E31" i="56" s="1"/>
  <c r="E84" i="56"/>
  <c r="Q96" i="1"/>
  <c r="Q83" i="1"/>
  <c r="L83" i="1"/>
  <c r="G25" i="6" s="1"/>
  <c r="N83" i="1"/>
  <c r="I25" i="6" s="1"/>
  <c r="J83" i="1"/>
  <c r="E25" i="6" s="1"/>
  <c r="L75" i="1"/>
  <c r="G24" i="6" s="1"/>
  <c r="Q62" i="1"/>
  <c r="L13" i="1"/>
  <c r="G12" i="6" s="1"/>
  <c r="Q75" i="1"/>
  <c r="Q42" i="1"/>
  <c r="M8" i="3"/>
  <c r="J13" i="1"/>
  <c r="E8" i="33"/>
  <c r="Q9" i="3"/>
  <c r="Q8" i="3" s="1"/>
  <c r="G9" i="33"/>
  <c r="E6" i="33"/>
  <c r="E7" i="33"/>
  <c r="G5" i="33"/>
  <c r="Q100" i="3" a="1"/>
  <c r="Q98" i="3" a="1"/>
  <c r="K53" i="3" a="1"/>
  <c r="P98" i="3" a="1"/>
  <c r="M100" i="3" a="1"/>
  <c r="P97" i="3" a="1"/>
  <c r="Q96" i="3" a="1"/>
  <c r="M96" i="3" a="1"/>
  <c r="P100" i="3" a="1"/>
  <c r="M99" i="3" a="1"/>
  <c r="N53" i="3" a="1"/>
  <c r="M98" i="3" a="1"/>
  <c r="L53" i="3" a="1"/>
  <c r="H53" i="3" a="1"/>
  <c r="P99" i="3" a="1"/>
  <c r="M97" i="3" a="1"/>
  <c r="O53" i="3" a="1"/>
  <c r="P96" i="3" a="1"/>
  <c r="L29" i="6" l="1"/>
  <c r="K29" i="6"/>
  <c r="K25" i="6"/>
  <c r="L25" i="6"/>
  <c r="K24" i="6"/>
  <c r="K21" i="6"/>
  <c r="K19" i="6"/>
  <c r="K18" i="6"/>
  <c r="K15" i="6"/>
  <c r="L27" i="6"/>
  <c r="E12" i="6"/>
  <c r="C6" i="56"/>
  <c r="N48" i="1"/>
  <c r="I19" i="6" s="1"/>
  <c r="N13" i="1"/>
  <c r="I12" i="6" s="1"/>
  <c r="M58" i="1"/>
  <c r="M96" i="3"/>
  <c r="J101" i="1" s="1"/>
  <c r="M99" i="3"/>
  <c r="J104" i="1" s="1"/>
  <c r="M97" i="3"/>
  <c r="J102" i="1" s="1"/>
  <c r="M100" i="3"/>
  <c r="J105" i="1" s="1"/>
  <c r="Q96" i="3"/>
  <c r="M98" i="3"/>
  <c r="J103" i="1" s="1"/>
  <c r="Q100" i="3"/>
  <c r="Q98" i="3"/>
  <c r="P99" i="3"/>
  <c r="Q104" i="1" s="1"/>
  <c r="P96" i="3"/>
  <c r="Q101" i="1" s="1"/>
  <c r="P97" i="3"/>
  <c r="Q102" i="1" s="1"/>
  <c r="P100" i="3"/>
  <c r="Q105" i="1" s="1"/>
  <c r="P98" i="3"/>
  <c r="Q103" i="1" s="1"/>
  <c r="L53" i="3"/>
  <c r="K53" i="3"/>
  <c r="P58" i="1" s="1"/>
  <c r="O53" i="3"/>
  <c r="N58" i="1" s="1"/>
  <c r="H53" i="3"/>
  <c r="I58" i="1" s="1"/>
  <c r="N53" i="3"/>
  <c r="L58" i="1" s="1"/>
  <c r="AI89" i="56"/>
  <c r="AE89" i="56"/>
  <c r="AA89" i="56"/>
  <c r="Q89" i="56"/>
  <c r="AG89" i="56"/>
  <c r="W89" i="56"/>
  <c r="G83" i="56"/>
  <c r="G89" i="56"/>
  <c r="Q83" i="56"/>
  <c r="AM89" i="56"/>
  <c r="K89" i="56"/>
  <c r="K83" i="56"/>
  <c r="AO89" i="56"/>
  <c r="O89" i="56"/>
  <c r="S89" i="56"/>
  <c r="Y89" i="56"/>
  <c r="M89" i="56"/>
  <c r="M83" i="56"/>
  <c r="AK76" i="56"/>
  <c r="Y83" i="56"/>
  <c r="E83" i="56"/>
  <c r="AC83" i="56"/>
  <c r="AK83" i="56"/>
  <c r="I83" i="56"/>
  <c r="AA83" i="56"/>
  <c r="AC89" i="56"/>
  <c r="AE83" i="56"/>
  <c r="AI76" i="56"/>
  <c r="AK89" i="56"/>
  <c r="AO83" i="56"/>
  <c r="U89" i="56"/>
  <c r="U83" i="56"/>
  <c r="AM76" i="56"/>
  <c r="O83" i="56"/>
  <c r="W83" i="56"/>
  <c r="I89" i="56"/>
  <c r="S83" i="56"/>
  <c r="AI83" i="56"/>
  <c r="AM83" i="56"/>
  <c r="U31" i="56"/>
  <c r="AC31" i="56"/>
  <c r="AO76" i="56"/>
  <c r="Y76" i="56"/>
  <c r="Q76" i="56"/>
  <c r="AC76" i="56"/>
  <c r="I76" i="56"/>
  <c r="AG68" i="56"/>
  <c r="M76" i="56"/>
  <c r="AA76" i="56"/>
  <c r="K68" i="56"/>
  <c r="E76" i="56"/>
  <c r="G76" i="56"/>
  <c r="S76" i="56"/>
  <c r="W76" i="56"/>
  <c r="AM68" i="56"/>
  <c r="E68" i="56"/>
  <c r="K76" i="56"/>
  <c r="AE76" i="56"/>
  <c r="AK68" i="56"/>
  <c r="AI68" i="56"/>
  <c r="U55" i="56"/>
  <c r="G68" i="56"/>
  <c r="Y68" i="56"/>
  <c r="S68" i="56"/>
  <c r="G50" i="56"/>
  <c r="O55" i="56"/>
  <c r="AK50" i="56"/>
  <c r="S55" i="56"/>
  <c r="U50" i="56"/>
  <c r="AG50" i="56"/>
  <c r="O76" i="56"/>
  <c r="AE50" i="56"/>
  <c r="AG76" i="56"/>
  <c r="U68" i="56"/>
  <c r="U76" i="56"/>
  <c r="W68" i="56"/>
  <c r="Y55" i="56"/>
  <c r="M31" i="56"/>
  <c r="AC68" i="56"/>
  <c r="S31" i="56"/>
  <c r="AO68" i="56"/>
  <c r="AM55" i="56"/>
  <c r="Q68" i="56"/>
  <c r="O68" i="56"/>
  <c r="I31" i="56"/>
  <c r="AM31" i="56"/>
  <c r="I68" i="56"/>
  <c r="AG55" i="56"/>
  <c r="AA68" i="56"/>
  <c r="M68" i="56"/>
  <c r="AK31" i="56"/>
  <c r="AE68" i="56"/>
  <c r="AC47" i="56"/>
  <c r="AC41" i="56" s="1"/>
  <c r="S47" i="56"/>
  <c r="S41" i="56" s="1"/>
  <c r="AI31" i="56"/>
  <c r="Y47" i="56"/>
  <c r="Y41" i="56" s="1"/>
  <c r="I35" i="56"/>
  <c r="E47" i="56"/>
  <c r="Q47" i="56"/>
  <c r="Q41" i="56" s="1"/>
  <c r="AA55" i="56"/>
  <c r="AM47" i="56"/>
  <c r="AM41" i="56" s="1"/>
  <c r="Q55" i="56"/>
  <c r="M47" i="56"/>
  <c r="M41" i="56" s="1"/>
  <c r="K55" i="56"/>
  <c r="AC55" i="56"/>
  <c r="G31" i="56"/>
  <c r="I47" i="56"/>
  <c r="I41" i="56" s="1"/>
  <c r="E55" i="56"/>
  <c r="AO55" i="56"/>
  <c r="W50" i="56"/>
  <c r="I55" i="56"/>
  <c r="K47" i="56"/>
  <c r="K41" i="56" s="1"/>
  <c r="G47" i="56"/>
  <c r="G41" i="56" s="1"/>
  <c r="M35" i="56"/>
  <c r="K50" i="56"/>
  <c r="U47" i="56"/>
  <c r="U41" i="56" s="1"/>
  <c r="W47" i="56"/>
  <c r="W41" i="56" s="1"/>
  <c r="AK47" i="56"/>
  <c r="AK41" i="56" s="1"/>
  <c r="W55" i="56"/>
  <c r="AE47" i="56"/>
  <c r="AE41" i="56" s="1"/>
  <c r="O50" i="56"/>
  <c r="AO47" i="56"/>
  <c r="AO41" i="56" s="1"/>
  <c r="Y50" i="56"/>
  <c r="I50" i="56"/>
  <c r="AO31" i="56"/>
  <c r="AG47" i="56"/>
  <c r="AG41" i="56" s="1"/>
  <c r="AI50" i="56"/>
  <c r="AK55" i="56"/>
  <c r="O47" i="56"/>
  <c r="O41" i="56" s="1"/>
  <c r="AI55" i="56"/>
  <c r="M55" i="56"/>
  <c r="S50" i="56"/>
  <c r="AO50" i="56"/>
  <c r="AE55" i="56"/>
  <c r="AA47" i="56"/>
  <c r="AA41" i="56" s="1"/>
  <c r="AA50" i="56"/>
  <c r="E50" i="56"/>
  <c r="AM50" i="56"/>
  <c r="G55" i="56"/>
  <c r="K35" i="56"/>
  <c r="AA35" i="56"/>
  <c r="AC35" i="56"/>
  <c r="M50" i="56"/>
  <c r="O31" i="56"/>
  <c r="Q50" i="56"/>
  <c r="AI35" i="56"/>
  <c r="S35" i="56"/>
  <c r="E35" i="56"/>
  <c r="Y35" i="56"/>
  <c r="P43" i="3"/>
  <c r="Q54" i="1"/>
  <c r="Q48" i="1" s="1"/>
  <c r="W31" i="56"/>
  <c r="G35" i="56"/>
  <c r="AG31" i="56"/>
  <c r="U35" i="56"/>
  <c r="AE35" i="56"/>
  <c r="Q31" i="56"/>
  <c r="AA31" i="56"/>
  <c r="AG35" i="56"/>
  <c r="W35" i="56"/>
  <c r="Q35" i="56"/>
  <c r="O35" i="56"/>
  <c r="AK35" i="56"/>
  <c r="AE31" i="56"/>
  <c r="AM35" i="56"/>
  <c r="K31" i="56"/>
  <c r="O21" i="56"/>
  <c r="AO35" i="56"/>
  <c r="W21" i="56"/>
  <c r="M21" i="56"/>
  <c r="K21" i="56"/>
  <c r="AM21" i="56"/>
  <c r="Y31" i="56"/>
  <c r="U21" i="56"/>
  <c r="AA21" i="56"/>
  <c r="AO21" i="56"/>
  <c r="Y21" i="56"/>
  <c r="I21" i="56"/>
  <c r="AI21" i="56"/>
  <c r="AG21" i="56"/>
  <c r="G21" i="56"/>
  <c r="AC21" i="56"/>
  <c r="AE21" i="56"/>
  <c r="E21" i="56"/>
  <c r="S21" i="56"/>
  <c r="Q21" i="56"/>
  <c r="AK21" i="56"/>
  <c r="AM6" i="56"/>
  <c r="N95" i="3"/>
  <c r="C94" i="56"/>
  <c r="E94" i="56" s="1"/>
  <c r="O95" i="3"/>
  <c r="N100" i="1"/>
  <c r="I30" i="6" s="1"/>
  <c r="C97" i="56"/>
  <c r="C98" i="56"/>
  <c r="C95" i="56"/>
  <c r="C96" i="56"/>
  <c r="AI41" i="56"/>
  <c r="W12" i="56"/>
  <c r="AE12" i="56"/>
  <c r="AA12" i="56"/>
  <c r="AK12" i="56"/>
  <c r="AO12" i="56"/>
  <c r="K12" i="56"/>
  <c r="AG12" i="56"/>
  <c r="S12" i="56"/>
  <c r="O12" i="56"/>
  <c r="Y12" i="56"/>
  <c r="AC12" i="56"/>
  <c r="M12" i="56"/>
  <c r="U12" i="56"/>
  <c r="Q12" i="56"/>
  <c r="G12" i="56"/>
  <c r="AM12" i="56"/>
  <c r="AI12" i="56"/>
  <c r="I12" i="56"/>
  <c r="S49" i="56"/>
  <c r="I49" i="56"/>
  <c r="M49" i="56"/>
  <c r="U49" i="56"/>
  <c r="AI49" i="56"/>
  <c r="AM49" i="56"/>
  <c r="Q49" i="56"/>
  <c r="AK49" i="56"/>
  <c r="K49" i="56"/>
  <c r="Y49" i="56"/>
  <c r="AA49" i="56"/>
  <c r="AC49" i="56"/>
  <c r="AG49" i="56"/>
  <c r="AO49" i="56"/>
  <c r="AE49" i="56"/>
  <c r="W49" i="56"/>
  <c r="G49" i="56"/>
  <c r="O49" i="56"/>
  <c r="AK7" i="56"/>
  <c r="AK6" i="56" s="1"/>
  <c r="I7" i="56"/>
  <c r="I6" i="56" s="1"/>
  <c r="AO7" i="56"/>
  <c r="AO6" i="56" s="1"/>
  <c r="G7" i="56"/>
  <c r="G6" i="56" s="1"/>
  <c r="K7" i="56"/>
  <c r="K6" i="56" s="1"/>
  <c r="AC7" i="56"/>
  <c r="AC6" i="56" s="1"/>
  <c r="O7" i="56"/>
  <c r="O6" i="56" s="1"/>
  <c r="S7" i="56"/>
  <c r="S6" i="56" s="1"/>
  <c r="Y7" i="56"/>
  <c r="Y6" i="56" s="1"/>
  <c r="W7" i="56"/>
  <c r="W6" i="56" s="1"/>
  <c r="AA7" i="56"/>
  <c r="AA6" i="56" s="1"/>
  <c r="M7" i="56"/>
  <c r="M6" i="56" s="1"/>
  <c r="Q7" i="56"/>
  <c r="Q6" i="56" s="1"/>
  <c r="U7" i="56"/>
  <c r="U6" i="56" s="1"/>
  <c r="AG7" i="56"/>
  <c r="AG6" i="56" s="1"/>
  <c r="AE7" i="56"/>
  <c r="AE6" i="56" s="1"/>
  <c r="AI7" i="56"/>
  <c r="AI6" i="56" s="1"/>
  <c r="E8" i="56"/>
  <c r="E90" i="56"/>
  <c r="E89" i="56" s="1"/>
  <c r="N90" i="1"/>
  <c r="I26" i="6" s="1"/>
  <c r="J90" i="1"/>
  <c r="E26" i="6" s="1"/>
  <c r="L90" i="1"/>
  <c r="G26" i="6" s="1"/>
  <c r="J48" i="1"/>
  <c r="E19" i="6" s="1"/>
  <c r="M43" i="3"/>
  <c r="G8" i="33"/>
  <c r="O58" i="1"/>
  <c r="R58" i="1" s="1"/>
  <c r="G6" i="33"/>
  <c r="G7" i="33"/>
  <c r="M53" i="3" a="1"/>
  <c r="P53" i="3" a="1"/>
  <c r="Q53" i="3" a="1"/>
  <c r="K26" i="6" l="1"/>
  <c r="L26" i="6"/>
  <c r="L19" i="6"/>
  <c r="L12" i="6"/>
  <c r="N95" i="1"/>
  <c r="I28" i="6" s="1"/>
  <c r="L30" i="6"/>
  <c r="O90" i="3"/>
  <c r="Q95" i="3"/>
  <c r="Q90" i="3" s="1"/>
  <c r="M53" i="3"/>
  <c r="J58" i="1" s="1"/>
  <c r="P53" i="3"/>
  <c r="Q58" i="1" s="1"/>
  <c r="Q53" i="3"/>
  <c r="I98" i="56"/>
  <c r="E98" i="56"/>
  <c r="K98" i="56"/>
  <c r="AE98" i="56"/>
  <c r="AM98" i="56"/>
  <c r="S98" i="56"/>
  <c r="W98" i="56"/>
  <c r="O98" i="56"/>
  <c r="AI98" i="56"/>
  <c r="AG98" i="56"/>
  <c r="Y98" i="56"/>
  <c r="AK98" i="56"/>
  <c r="M98" i="56"/>
  <c r="Q98" i="56"/>
  <c r="U98" i="56"/>
  <c r="G98" i="56"/>
  <c r="AO98" i="56"/>
  <c r="AC98" i="56"/>
  <c r="AA98" i="56"/>
  <c r="AK97" i="56"/>
  <c r="Q97" i="56"/>
  <c r="AG97" i="56"/>
  <c r="G97" i="56"/>
  <c r="AI97" i="56"/>
  <c r="AM97" i="56"/>
  <c r="S97" i="56"/>
  <c r="W97" i="56"/>
  <c r="Y97" i="56"/>
  <c r="AE97" i="56"/>
  <c r="I97" i="56"/>
  <c r="AO97" i="56"/>
  <c r="K97" i="56"/>
  <c r="O97" i="56"/>
  <c r="U97" i="56"/>
  <c r="AA97" i="56"/>
  <c r="M97" i="56"/>
  <c r="AC97" i="56"/>
  <c r="E97" i="56"/>
  <c r="C93" i="56"/>
  <c r="N90" i="3"/>
  <c r="J100" i="1"/>
  <c r="E30" i="6" s="1"/>
  <c r="M95" i="3"/>
  <c r="L100" i="1"/>
  <c r="G30" i="6" s="1"/>
  <c r="AO96" i="56"/>
  <c r="AC96" i="56"/>
  <c r="S96" i="56"/>
  <c r="M96" i="56"/>
  <c r="I96" i="56"/>
  <c r="G96" i="56"/>
  <c r="AE96" i="56"/>
  <c r="W96" i="56"/>
  <c r="K96" i="56"/>
  <c r="AA96" i="56"/>
  <c r="AM96" i="56"/>
  <c r="AG96" i="56"/>
  <c r="Y96" i="56"/>
  <c r="U96" i="56"/>
  <c r="Q96" i="56"/>
  <c r="AI96" i="56"/>
  <c r="O96" i="56"/>
  <c r="AK96" i="56"/>
  <c r="E96" i="56"/>
  <c r="Q100" i="1"/>
  <c r="Q95" i="1" s="1"/>
  <c r="P95" i="3"/>
  <c r="P90" i="3" s="1"/>
  <c r="AO94" i="56"/>
  <c r="Q94" i="56"/>
  <c r="W94" i="56"/>
  <c r="Y94" i="56"/>
  <c r="AA94" i="56"/>
  <c r="AI94" i="56"/>
  <c r="I94" i="56"/>
  <c r="AM94" i="56"/>
  <c r="AG94" i="56"/>
  <c r="M94" i="56"/>
  <c r="O94" i="56"/>
  <c r="AK94" i="56"/>
  <c r="AC94" i="56"/>
  <c r="S94" i="56"/>
  <c r="U94" i="56"/>
  <c r="G94" i="56"/>
  <c r="AE94" i="56"/>
  <c r="K94" i="56"/>
  <c r="E95" i="56"/>
  <c r="AA95" i="56"/>
  <c r="W95" i="56"/>
  <c r="U95" i="56"/>
  <c r="M95" i="56"/>
  <c r="O95" i="56"/>
  <c r="AO95" i="56"/>
  <c r="AG95" i="56"/>
  <c r="AE95" i="56"/>
  <c r="AM95" i="56"/>
  <c r="G95" i="56"/>
  <c r="Y95" i="56"/>
  <c r="S95" i="56"/>
  <c r="AC95" i="56"/>
  <c r="AK95" i="56"/>
  <c r="K95" i="56"/>
  <c r="I95" i="56"/>
  <c r="AI95" i="56"/>
  <c r="Q95" i="56"/>
  <c r="C51" i="56"/>
  <c r="E51" i="56" s="1"/>
  <c r="E42" i="56"/>
  <c r="E41" i="56" s="1"/>
  <c r="E7" i="56"/>
  <c r="E6" i="56" s="1"/>
  <c r="Q90" i="1"/>
  <c r="K30" i="6" l="1"/>
  <c r="L28" i="6"/>
  <c r="J95" i="1"/>
  <c r="E28" i="6" s="1"/>
  <c r="M90" i="3"/>
  <c r="C88" i="56"/>
  <c r="S93" i="56"/>
  <c r="S88" i="56" s="1"/>
  <c r="M93" i="56"/>
  <c r="M88" i="56" s="1"/>
  <c r="O93" i="56"/>
  <c r="O88" i="56" s="1"/>
  <c r="AK93" i="56"/>
  <c r="AK88" i="56" s="1"/>
  <c r="I93" i="56"/>
  <c r="I88" i="56" s="1"/>
  <c r="AC93" i="56"/>
  <c r="AC88" i="56" s="1"/>
  <c r="E93" i="56"/>
  <c r="E88" i="56" s="1"/>
  <c r="AI93" i="56"/>
  <c r="AI88" i="56" s="1"/>
  <c r="AM93" i="56"/>
  <c r="AM88" i="56" s="1"/>
  <c r="AO93" i="56"/>
  <c r="AO88" i="56" s="1"/>
  <c r="AG93" i="56"/>
  <c r="AG88" i="56" s="1"/>
  <c r="AA93" i="56"/>
  <c r="AA88" i="56" s="1"/>
  <c r="Y93" i="56"/>
  <c r="Y88" i="56" s="1"/>
  <c r="Q93" i="56"/>
  <c r="Q88" i="56" s="1"/>
  <c r="W93" i="56"/>
  <c r="W88" i="56" s="1"/>
  <c r="K93" i="56"/>
  <c r="K88" i="56" s="1"/>
  <c r="AE93" i="56"/>
  <c r="AE88" i="56" s="1"/>
  <c r="G93" i="56"/>
  <c r="G88" i="56" s="1"/>
  <c r="U93" i="56"/>
  <c r="U88" i="56" s="1"/>
  <c r="AI51" i="56"/>
  <c r="AC51" i="56"/>
  <c r="W51" i="56"/>
  <c r="O51" i="56"/>
  <c r="I51" i="56"/>
  <c r="AE51" i="56"/>
  <c r="K51" i="56"/>
  <c r="AA51" i="56"/>
  <c r="AK51" i="56"/>
  <c r="AO51" i="56"/>
  <c r="Y51" i="56"/>
  <c r="M51" i="56"/>
  <c r="S51" i="56"/>
  <c r="Q51" i="56"/>
  <c r="G51" i="56"/>
  <c r="AG51" i="56"/>
  <c r="U51" i="56"/>
  <c r="AM51" i="56"/>
  <c r="H13" i="1"/>
  <c r="J5" i="6" l="1"/>
  <c r="R19" i="34"/>
  <c r="E9" i="34" s="1"/>
  <c r="E5" i="34"/>
  <c r="J54" i="3" a="1"/>
  <c r="I54" i="3" a="1"/>
  <c r="J54" i="3" l="1"/>
  <c r="R54" i="3" s="1"/>
  <c r="S54" i="3" s="1"/>
  <c r="I54" i="3"/>
  <c r="K59" i="1" s="1"/>
  <c r="K12" i="6"/>
  <c r="E7" i="34"/>
  <c r="G9" i="34"/>
  <c r="G5" i="34"/>
  <c r="E6" i="34"/>
  <c r="S19" i="34"/>
  <c r="S20" i="34" s="1"/>
  <c r="S21" i="34" s="1"/>
  <c r="S22" i="34" s="1"/>
  <c r="S23" i="34" s="1"/>
  <c r="E8" i="34"/>
  <c r="N54" i="3" a="1"/>
  <c r="L54" i="3" a="1"/>
  <c r="O54" i="3" a="1"/>
  <c r="H54" i="3" a="1"/>
  <c r="K54" i="3" a="1"/>
  <c r="M59" i="1" l="1"/>
  <c r="H54" i="3"/>
  <c r="I59" i="1" s="1"/>
  <c r="L54" i="3"/>
  <c r="O54" i="3"/>
  <c r="N54" i="3"/>
  <c r="L59" i="1" s="1"/>
  <c r="K54" i="3"/>
  <c r="P59" i="1" s="1"/>
  <c r="O59" i="1"/>
  <c r="R59" i="1" s="1"/>
  <c r="G8" i="34"/>
  <c r="G6" i="34"/>
  <c r="G7" i="34"/>
  <c r="Q54" i="3" a="1"/>
  <c r="M54" i="3" a="1"/>
  <c r="P54" i="3" a="1"/>
  <c r="M54" i="3" l="1"/>
  <c r="J59" i="1" s="1"/>
  <c r="P54" i="3"/>
  <c r="Q54" i="3"/>
  <c r="Q50" i="3" s="1"/>
  <c r="O50" i="3"/>
  <c r="O36" i="3" s="1"/>
  <c r="N59" i="1"/>
  <c r="C52" i="56"/>
  <c r="E52" i="56" s="1"/>
  <c r="N50" i="3"/>
  <c r="C48" i="56" s="1"/>
  <c r="L55" i="1"/>
  <c r="G20" i="6" s="1"/>
  <c r="L41" i="1" l="1"/>
  <c r="G17" i="6" s="1"/>
  <c r="K20" i="6"/>
  <c r="N55" i="1"/>
  <c r="I20" i="6" s="1"/>
  <c r="P50" i="3"/>
  <c r="P36" i="3" s="1"/>
  <c r="Q59" i="1"/>
  <c r="Q55" i="1" s="1"/>
  <c r="AE52" i="56"/>
  <c r="AE48" i="56" s="1"/>
  <c r="AE34" i="56" s="1"/>
  <c r="AC52" i="56"/>
  <c r="AC48" i="56" s="1"/>
  <c r="AC34" i="56" s="1"/>
  <c r="AK52" i="56"/>
  <c r="AK48" i="56" s="1"/>
  <c r="AK34" i="56" s="1"/>
  <c r="S52" i="56"/>
  <c r="S48" i="56" s="1"/>
  <c r="S34" i="56" s="1"/>
  <c r="U52" i="56"/>
  <c r="U48" i="56" s="1"/>
  <c r="U34" i="56" s="1"/>
  <c r="G52" i="56"/>
  <c r="G48" i="56" s="1"/>
  <c r="G34" i="56" s="1"/>
  <c r="AA52" i="56"/>
  <c r="AA48" i="56" s="1"/>
  <c r="AA34" i="56" s="1"/>
  <c r="Y52" i="56"/>
  <c r="Y48" i="56" s="1"/>
  <c r="Y34" i="56" s="1"/>
  <c r="W52" i="56"/>
  <c r="W48" i="56" s="1"/>
  <c r="W34" i="56" s="1"/>
  <c r="M52" i="56"/>
  <c r="M48" i="56" s="1"/>
  <c r="M34" i="56" s="1"/>
  <c r="K52" i="56"/>
  <c r="K48" i="56" s="1"/>
  <c r="K34" i="56" s="1"/>
  <c r="I52" i="56"/>
  <c r="I48" i="56" s="1"/>
  <c r="I34" i="56" s="1"/>
  <c r="AI52" i="56"/>
  <c r="AI48" i="56" s="1"/>
  <c r="AI34" i="56" s="1"/>
  <c r="AM52" i="56"/>
  <c r="AM48" i="56" s="1"/>
  <c r="AM34" i="56" s="1"/>
  <c r="O52" i="56"/>
  <c r="O48" i="56" s="1"/>
  <c r="O34" i="56" s="1"/>
  <c r="Q52" i="56"/>
  <c r="Q48" i="56" s="1"/>
  <c r="Q34" i="56" s="1"/>
  <c r="AG52" i="56"/>
  <c r="AG48" i="56" s="1"/>
  <c r="AG34" i="56" s="1"/>
  <c r="AO52" i="56"/>
  <c r="AO48" i="56" s="1"/>
  <c r="AO34" i="56" s="1"/>
  <c r="N36" i="3"/>
  <c r="C34" i="56" s="1"/>
  <c r="E49" i="56"/>
  <c r="E48" i="56" s="1"/>
  <c r="J55" i="1"/>
  <c r="E20" i="6" s="1"/>
  <c r="Q36" i="3"/>
  <c r="M50" i="3"/>
  <c r="L20" i="6" l="1"/>
  <c r="K17" i="6"/>
  <c r="M36" i="3"/>
  <c r="E9" i="37"/>
  <c r="I65" i="3" a="1"/>
  <c r="I65" i="3" l="1"/>
  <c r="K70" i="1" s="1"/>
  <c r="G9" i="37"/>
  <c r="N65" i="3" a="1"/>
  <c r="N65" i="3" l="1"/>
  <c r="L70" i="1" s="1"/>
  <c r="L69" i="1" s="1"/>
  <c r="G23" i="6" s="1"/>
  <c r="E5" i="37"/>
  <c r="E7" i="37" s="1"/>
  <c r="K65" i="3" a="1"/>
  <c r="L68" i="1" l="1"/>
  <c r="G22" i="6" s="1"/>
  <c r="K23" i="6"/>
  <c r="C63" i="56"/>
  <c r="W63" i="56" s="1"/>
  <c r="W62" i="56" s="1"/>
  <c r="W61" i="56" s="1"/>
  <c r="N64" i="3"/>
  <c r="N63" i="3" s="1"/>
  <c r="C61" i="56" s="1"/>
  <c r="K65" i="3"/>
  <c r="P70" i="1" s="1"/>
  <c r="G7" i="37"/>
  <c r="G5" i="37"/>
  <c r="E8" i="37"/>
  <c r="E6" i="37"/>
  <c r="H65" i="3" a="1"/>
  <c r="P65" i="3" a="1"/>
  <c r="O65" i="3" a="1"/>
  <c r="K22" i="6" l="1"/>
  <c r="O63" i="56"/>
  <c r="O62" i="56" s="1"/>
  <c r="O61" i="56" s="1"/>
  <c r="E63" i="56"/>
  <c r="E62" i="56" s="1"/>
  <c r="E61" i="56" s="1"/>
  <c r="U63" i="56"/>
  <c r="U62" i="56" s="1"/>
  <c r="U61" i="56" s="1"/>
  <c r="I63" i="56"/>
  <c r="I62" i="56" s="1"/>
  <c r="I61" i="56" s="1"/>
  <c r="K63" i="56"/>
  <c r="K62" i="56" s="1"/>
  <c r="K61" i="56" s="1"/>
  <c r="AK63" i="56"/>
  <c r="AK62" i="56" s="1"/>
  <c r="AK61" i="56" s="1"/>
  <c r="S63" i="56"/>
  <c r="S62" i="56" s="1"/>
  <c r="S61" i="56" s="1"/>
  <c r="Q63" i="56"/>
  <c r="Q62" i="56" s="1"/>
  <c r="Q61" i="56" s="1"/>
  <c r="AM63" i="56"/>
  <c r="AM62" i="56" s="1"/>
  <c r="AM61" i="56" s="1"/>
  <c r="AA63" i="56"/>
  <c r="AA62" i="56" s="1"/>
  <c r="AA61" i="56" s="1"/>
  <c r="AI63" i="56"/>
  <c r="AI62" i="56" s="1"/>
  <c r="AI61" i="56" s="1"/>
  <c r="AG63" i="56"/>
  <c r="AG62" i="56" s="1"/>
  <c r="AG61" i="56" s="1"/>
  <c r="AO63" i="56"/>
  <c r="AO62" i="56" s="1"/>
  <c r="AO61" i="56" s="1"/>
  <c r="M63" i="56"/>
  <c r="M62" i="56" s="1"/>
  <c r="M61" i="56" s="1"/>
  <c r="G63" i="56"/>
  <c r="G62" i="56" s="1"/>
  <c r="G61" i="56" s="1"/>
  <c r="AC63" i="56"/>
  <c r="AC62" i="56" s="1"/>
  <c r="AC61" i="56" s="1"/>
  <c r="AE63" i="56"/>
  <c r="AE62" i="56" s="1"/>
  <c r="AE61" i="56" s="1"/>
  <c r="Y63" i="56"/>
  <c r="Y62" i="56" s="1"/>
  <c r="Y61" i="56" s="1"/>
  <c r="C62" i="56"/>
  <c r="H65" i="3"/>
  <c r="I70" i="1" s="1"/>
  <c r="O65" i="3"/>
  <c r="P65" i="3"/>
  <c r="G6" i="37"/>
  <c r="G8" i="37"/>
  <c r="Q65" i="3" a="1"/>
  <c r="M65" i="3" a="1"/>
  <c r="M65" i="3" l="1"/>
  <c r="J70" i="1" s="1"/>
  <c r="Q65" i="3"/>
  <c r="Q64" i="3" s="1"/>
  <c r="Q63" i="3" s="1"/>
  <c r="P64" i="3"/>
  <c r="P63" i="3" s="1"/>
  <c r="Q70" i="1"/>
  <c r="Q69" i="1" s="1"/>
  <c r="Q68" i="1" s="1"/>
  <c r="O64" i="3"/>
  <c r="O63" i="3" s="1"/>
  <c r="N70" i="1"/>
  <c r="E34" i="56"/>
  <c r="N69" i="1" l="1"/>
  <c r="I23" i="6" s="1"/>
  <c r="M64" i="3"/>
  <c r="M63" i="3" s="1"/>
  <c r="J69" i="1"/>
  <c r="E23" i="6" s="1"/>
  <c r="Q41" i="1"/>
  <c r="N68" i="1" l="1"/>
  <c r="I22" i="6" s="1"/>
  <c r="L23" i="6"/>
  <c r="J68" i="1"/>
  <c r="E22" i="6" s="1"/>
  <c r="N41" i="1"/>
  <c r="I17" i="6" s="1"/>
  <c r="J41" i="1"/>
  <c r="E17" i="6" s="1"/>
  <c r="L22" i="6" l="1"/>
  <c r="L17" i="6"/>
  <c r="E5" i="12"/>
  <c r="E9" i="12"/>
  <c r="I16" i="3" a="1"/>
  <c r="I16" i="3" l="1"/>
  <c r="K21" i="1" s="1"/>
  <c r="M21" i="1"/>
  <c r="G9" i="12"/>
  <c r="G5" i="12"/>
  <c r="E7" i="12"/>
  <c r="E6" i="12"/>
  <c r="E8" i="12"/>
  <c r="H16" i="3" a="1"/>
  <c r="O16" i="3" a="1"/>
  <c r="N16" i="3" a="1"/>
  <c r="K16" i="3" a="1"/>
  <c r="H16" i="3" l="1"/>
  <c r="I21" i="1" s="1"/>
  <c r="N16" i="3"/>
  <c r="L21" i="1" s="1"/>
  <c r="O16" i="3"/>
  <c r="K16" i="3"/>
  <c r="P21" i="1" s="1"/>
  <c r="G8" i="12"/>
  <c r="G7" i="12"/>
  <c r="G6" i="12"/>
  <c r="Q16" i="3" a="1"/>
  <c r="P16" i="3" a="1"/>
  <c r="M16" i="3" a="1"/>
  <c r="M16" i="3" l="1"/>
  <c r="J21" i="1" s="1"/>
  <c r="Q16" i="3"/>
  <c r="Q13" i="3" s="1"/>
  <c r="Q12" i="3" s="1"/>
  <c r="Q7" i="3" s="1"/>
  <c r="P16" i="3"/>
  <c r="O21" i="1"/>
  <c r="R21" i="1" s="1"/>
  <c r="O13" i="3"/>
  <c r="O12" i="3" s="1"/>
  <c r="N21" i="1"/>
  <c r="C14" i="56"/>
  <c r="E14" i="56" s="1"/>
  <c r="N13" i="3"/>
  <c r="C11" i="56" s="1"/>
  <c r="L18" i="1"/>
  <c r="G14" i="6" s="1"/>
  <c r="L17" i="1" l="1"/>
  <c r="G13" i="6" s="1"/>
  <c r="K14" i="6"/>
  <c r="O7" i="3"/>
  <c r="N18" i="1"/>
  <c r="I14" i="6" s="1"/>
  <c r="P13" i="3"/>
  <c r="P12" i="3" s="1"/>
  <c r="Q21" i="1"/>
  <c r="Q18" i="1" s="1"/>
  <c r="Q17" i="1" s="1"/>
  <c r="M14" i="56"/>
  <c r="M11" i="56" s="1"/>
  <c r="M10" i="56" s="1"/>
  <c r="M101" i="56" s="1"/>
  <c r="M102" i="56" s="1"/>
  <c r="AO14" i="56"/>
  <c r="AO11" i="56" s="1"/>
  <c r="AO10" i="56" s="1"/>
  <c r="K14" i="56"/>
  <c r="K11" i="56" s="1"/>
  <c r="K10" i="56" s="1"/>
  <c r="K101" i="56" s="1"/>
  <c r="K102" i="56" s="1"/>
  <c r="G14" i="56"/>
  <c r="G11" i="56" s="1"/>
  <c r="G10" i="56" s="1"/>
  <c r="G101" i="56" s="1"/>
  <c r="G102" i="56" s="1"/>
  <c r="Q14" i="56"/>
  <c r="Q11" i="56" s="1"/>
  <c r="Q10" i="56" s="1"/>
  <c r="Q101" i="56" s="1"/>
  <c r="Q102" i="56" s="1"/>
  <c r="I14" i="56"/>
  <c r="I11" i="56" s="1"/>
  <c r="I10" i="56" s="1"/>
  <c r="I101" i="56" s="1"/>
  <c r="I102" i="56" s="1"/>
  <c r="AI14" i="56"/>
  <c r="AI11" i="56" s="1"/>
  <c r="AI10" i="56" s="1"/>
  <c r="AI101" i="56" s="1"/>
  <c r="AI102" i="56" s="1"/>
  <c r="S14" i="56"/>
  <c r="S11" i="56" s="1"/>
  <c r="S10" i="56" s="1"/>
  <c r="S101" i="56" s="1"/>
  <c r="S102" i="56" s="1"/>
  <c r="AM14" i="56"/>
  <c r="AM11" i="56" s="1"/>
  <c r="AM10" i="56" s="1"/>
  <c r="AM101" i="56" s="1"/>
  <c r="AM102" i="56" s="1"/>
  <c r="U14" i="56"/>
  <c r="U11" i="56" s="1"/>
  <c r="U10" i="56" s="1"/>
  <c r="U101" i="56" s="1"/>
  <c r="U102" i="56" s="1"/>
  <c r="AG14" i="56"/>
  <c r="AG11" i="56" s="1"/>
  <c r="AG10" i="56" s="1"/>
  <c r="AG101" i="56" s="1"/>
  <c r="AG102" i="56" s="1"/>
  <c r="AA14" i="56"/>
  <c r="AA11" i="56" s="1"/>
  <c r="AA10" i="56" s="1"/>
  <c r="AA101" i="56" s="1"/>
  <c r="AA102" i="56" s="1"/>
  <c r="Y14" i="56"/>
  <c r="Y11" i="56" s="1"/>
  <c r="Y10" i="56" s="1"/>
  <c r="Y101" i="56" s="1"/>
  <c r="Y102" i="56" s="1"/>
  <c r="W14" i="56"/>
  <c r="W11" i="56" s="1"/>
  <c r="W10" i="56" s="1"/>
  <c r="W101" i="56" s="1"/>
  <c r="W102" i="56" s="1"/>
  <c r="O14" i="56"/>
  <c r="O11" i="56" s="1"/>
  <c r="O10" i="56" s="1"/>
  <c r="O101" i="56" s="1"/>
  <c r="O102" i="56" s="1"/>
  <c r="AE14" i="56"/>
  <c r="AE11" i="56" s="1"/>
  <c r="AE10" i="56" s="1"/>
  <c r="AE101" i="56" s="1"/>
  <c r="AE102" i="56" s="1"/>
  <c r="AK14" i="56"/>
  <c r="AK11" i="56" s="1"/>
  <c r="AK10" i="56" s="1"/>
  <c r="AK101" i="56" s="1"/>
  <c r="AK102" i="56" s="1"/>
  <c r="AC14" i="56"/>
  <c r="AC11" i="56" s="1"/>
  <c r="AC10" i="56" s="1"/>
  <c r="AC101" i="56" s="1"/>
  <c r="AC102" i="56" s="1"/>
  <c r="E12" i="56"/>
  <c r="E11" i="56" s="1"/>
  <c r="N12" i="3"/>
  <c r="J18" i="1"/>
  <c r="E14" i="6" s="1"/>
  <c r="M13" i="3"/>
  <c r="M12" i="3" s="1"/>
  <c r="N17" i="1" l="1"/>
  <c r="I13" i="6" s="1"/>
  <c r="L14" i="6"/>
  <c r="J17" i="1"/>
  <c r="E13" i="6" s="1"/>
  <c r="P7" i="3"/>
  <c r="C10" i="56"/>
  <c r="C100" i="56" s="1"/>
  <c r="M7" i="3"/>
  <c r="N7" i="3"/>
  <c r="N2" i="3"/>
  <c r="P2" i="3" s="1"/>
  <c r="E10" i="56"/>
  <c r="E101" i="56" s="1"/>
  <c r="E102" i="56" s="1"/>
  <c r="L13" i="6" l="1"/>
  <c r="L5" i="6" s="1"/>
  <c r="K13" i="6"/>
  <c r="AO101" i="56"/>
  <c r="AN101" i="56" s="1"/>
  <c r="AO102" i="56"/>
  <c r="R2" i="3"/>
  <c r="C102" i="56" l="1"/>
  <c r="AN102" i="56" s="1"/>
  <c r="X101" i="56"/>
  <c r="H101" i="56"/>
  <c r="AL102" i="56"/>
  <c r="D101" i="56"/>
  <c r="V101" i="56"/>
  <c r="AD101" i="56"/>
  <c r="AJ101" i="56"/>
  <c r="AJ102" i="56"/>
  <c r="N101" i="56"/>
  <c r="T101" i="56"/>
  <c r="AB101" i="56"/>
  <c r="J101" i="56"/>
  <c r="AH101" i="56"/>
  <c r="AF101" i="56"/>
  <c r="P101" i="56"/>
  <c r="R101" i="56"/>
  <c r="F101" i="56"/>
  <c r="AH102" i="56"/>
  <c r="AL101" i="56"/>
  <c r="AF102" i="56"/>
  <c r="L101" i="56"/>
  <c r="Z101" i="56"/>
  <c r="X102" i="56"/>
  <c r="N102" i="56"/>
  <c r="AB102" i="56"/>
  <c r="P102" i="56"/>
  <c r="AD102" i="56"/>
  <c r="T102" i="56"/>
  <c r="H102" i="56"/>
  <c r="D102" i="56"/>
  <c r="L102" i="56"/>
  <c r="V102" i="56"/>
  <c r="F102" i="56"/>
  <c r="R102" i="56"/>
  <c r="Z102" i="56"/>
  <c r="J102" i="56"/>
  <c r="L95" i="1" l="1"/>
  <c r="G28" i="6" s="1"/>
  <c r="J7" i="6" l="1"/>
  <c r="K28" i="6"/>
  <c r="L107" i="1"/>
  <c r="L108" i="1" s="1"/>
  <c r="L112" i="1" s="1"/>
  <c r="H142" i="1" l="1"/>
  <c r="E141" i="1" s="1"/>
  <c r="E14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<sst xmlns="http://schemas.openxmlformats.org/spreadsheetml/2006/main" count="5187" uniqueCount="472">
  <si>
    <t>CONSÓRIO CONSTRUTOR BR-381</t>
  </si>
  <si>
    <t>Nº MEDIÇÃO</t>
  </si>
  <si>
    <t>TIPO</t>
  </si>
  <si>
    <t>CONTRATO:</t>
  </si>
  <si>
    <t>381/188/2025</t>
  </si>
  <si>
    <t>EMPRESA:</t>
  </si>
  <si>
    <t>CONSÓRCIO CONSTRUTOR BR-381</t>
  </si>
  <si>
    <t>STATUS CONTRATUAL</t>
  </si>
  <si>
    <t>OBJETO:</t>
  </si>
  <si>
    <t>RECOMPOSIÇÃO DE TALUDES - SINISTRO 297+500 - OESTE</t>
  </si>
  <si>
    <t>R$ CONTRATUAL:</t>
  </si>
  <si>
    <t>TRECHO:</t>
  </si>
  <si>
    <t>GOV. VALADARES A CAETÉ</t>
  </si>
  <si>
    <t>RODOVIA:</t>
  </si>
  <si>
    <t>BR-381</t>
  </si>
  <si>
    <t>EXTENSÃO:</t>
  </si>
  <si>
    <t>R$ MEDIÇÃO:</t>
  </si>
  <si>
    <t>MEDIÇÃO:</t>
  </si>
  <si>
    <t>PERÍODO:</t>
  </si>
  <si>
    <t>GRUPO DE SERVIÇOS</t>
  </si>
  <si>
    <t>ACUMULADO ANTERIOR</t>
  </si>
  <si>
    <t>ACUMULADO ATUAL</t>
  </si>
  <si>
    <t>MEDIÇÃO ATUAL</t>
  </si>
  <si>
    <t>ACUMULADO</t>
  </si>
  <si>
    <t xml:space="preserve">       BOLETIM DE MEDIÇÃO DE SERVIÇOS - BMS</t>
  </si>
  <si>
    <t xml:space="preserve">CONTRATO </t>
  </si>
  <si>
    <t>PERIODO MEDIÇÃO</t>
  </si>
  <si>
    <t>MEDIÇÃO</t>
  </si>
  <si>
    <t>Nº DO BMS</t>
  </si>
  <si>
    <t>Rev. 01</t>
  </si>
  <si>
    <t>Base: Jan/25</t>
  </si>
  <si>
    <t>VIGÊNCIA</t>
  </si>
  <si>
    <t>INÍCIO:</t>
  </si>
  <si>
    <t>DATA DE EMISSÃO</t>
  </si>
  <si>
    <t>FINAL:</t>
  </si>
  <si>
    <t>EMPRESA</t>
  </si>
  <si>
    <t>OBJETO CONTRATUAL</t>
  </si>
  <si>
    <t>CENTRO DE CUSTO</t>
  </si>
  <si>
    <t>ENDEREÇO</t>
  </si>
  <si>
    <t>R PROJETADA 30, 386, PEDRA FURADA</t>
  </si>
  <si>
    <t>CIDADE/UF:</t>
  </si>
  <si>
    <t>NOVA ERA/MG</t>
  </si>
  <si>
    <t>TELEFONE:</t>
  </si>
  <si>
    <t>(31) 9 9659-1026</t>
  </si>
  <si>
    <t>E-MAIL:</t>
  </si>
  <si>
    <t>ygor.bastos@consorcio381.com.br</t>
  </si>
  <si>
    <t>ITEM</t>
  </si>
  <si>
    <t>DESCRIÇÃO</t>
  </si>
  <si>
    <t>BASES CONTRATUAIS</t>
  </si>
  <si>
    <t>REALIZADO</t>
  </si>
  <si>
    <t>A REALIZAR</t>
  </si>
  <si>
    <t>UNID.</t>
  </si>
  <si>
    <t>P. UNITÁRIO (R$ / UNID.)</t>
  </si>
  <si>
    <t>QTDE</t>
  </si>
  <si>
    <t>VALOR TOTAL</t>
  </si>
  <si>
    <t>PERÍODO</t>
  </si>
  <si>
    <t>SALDO</t>
  </si>
  <si>
    <t>VALOR</t>
  </si>
  <si>
    <t>%</t>
  </si>
  <si>
    <t>A.</t>
  </si>
  <si>
    <t>Custos Indiretos</t>
  </si>
  <si>
    <t>A.1</t>
  </si>
  <si>
    <t>Mobilização e desmobilização</t>
  </si>
  <si>
    <t>vb.</t>
  </si>
  <si>
    <t>A.2</t>
  </si>
  <si>
    <t>Sinalização e desvio de tráfego</t>
  </si>
  <si>
    <t>A.3</t>
  </si>
  <si>
    <t>Administração local</t>
  </si>
  <si>
    <t>B.</t>
  </si>
  <si>
    <t>Estabilização de Talude</t>
  </si>
  <si>
    <t>B.1</t>
  </si>
  <si>
    <t>Terraplenagem</t>
  </si>
  <si>
    <t>B.1.1</t>
  </si>
  <si>
    <t>Escavação, carga e transporte de material de 1ª categoria - DMT de 800 a 1.000 m - caminho de serviço pavimentado - com escavadeira e caminhão basculante de 14 m³</t>
  </si>
  <si>
    <t>m³</t>
  </si>
  <si>
    <t>B.1.2</t>
  </si>
  <si>
    <t>Escavação e carga de material de 1ª categoria - DMT acima de 3.000 m</t>
  </si>
  <si>
    <t>B.1.3</t>
  </si>
  <si>
    <t>Transporte com caminhão basculante de 10 m³ - rodovia pavimentada (DMT 5 Km)</t>
  </si>
  <si>
    <t>T x Km</t>
  </si>
  <si>
    <t>B.1.4</t>
  </si>
  <si>
    <t>Regularização de bota-fora com espalhamento e execução de hidrossemeadura</t>
  </si>
  <si>
    <t>B.1.5</t>
  </si>
  <si>
    <t>Royaltie de bota-fora</t>
  </si>
  <si>
    <t>B.2</t>
  </si>
  <si>
    <t>Drenagem e OACs</t>
  </si>
  <si>
    <t>B.2.1</t>
  </si>
  <si>
    <t>Demolição de dispositivos de drenagem</t>
  </si>
  <si>
    <t>B.2.2</t>
  </si>
  <si>
    <t>Sarjeta triangular de concreto - STC 150-30 - escavação mecânica - areia e brita comerciais</t>
  </si>
  <si>
    <t>m</t>
  </si>
  <si>
    <t>B.2.3</t>
  </si>
  <si>
    <t>Valeta de proteção de cortes com revestimento de concreto - VPC 04 - areia e brita comerciais</t>
  </si>
  <si>
    <t>B.2.4</t>
  </si>
  <si>
    <t>Caixa coletora A6 - CCS 200-60A</t>
  </si>
  <si>
    <t>und.</t>
  </si>
  <si>
    <t>B.2.5</t>
  </si>
  <si>
    <t>Descida d'água de cortes em degraus - DCD 02 - areia e brita comerciais</t>
  </si>
  <si>
    <t>B.3</t>
  </si>
  <si>
    <t>Revestimento Vegetal</t>
  </si>
  <si>
    <t>B.3.1</t>
  </si>
  <si>
    <t>Proteção Vegetal (Hidrossemeadura + Biomanta)</t>
  </si>
  <si>
    <t>m²</t>
  </si>
  <si>
    <t>C.</t>
  </si>
  <si>
    <t>Implantação de Desvio 1 - Km 303+450 - Leste</t>
  </si>
  <si>
    <t>C.1</t>
  </si>
  <si>
    <t>C.1.1</t>
  </si>
  <si>
    <t>Desmatamento, destocamento, limpeza de área e estocagem do material de limpeza com árvores de diâmetro até 0,15 m</t>
  </si>
  <si>
    <t>C.1.2</t>
  </si>
  <si>
    <t>Transporte com caminhão basculante de 14 m³ - rodovia pavimentada</t>
  </si>
  <si>
    <t>C.1.3</t>
  </si>
  <si>
    <t xml:space="preserve">Escavação, carga e transporte de material de 1ª categoria - DMT de 1.000 a 1.200 m -  com escavadeira e caminhão basculante de 14 m³  </t>
  </si>
  <si>
    <t>C.1.4</t>
  </si>
  <si>
    <t>C.2</t>
  </si>
  <si>
    <t>Pavimentação</t>
  </si>
  <si>
    <t>C.2.1</t>
  </si>
  <si>
    <t>Preparo e melhoramento do subleito</t>
  </si>
  <si>
    <t>C.2.2</t>
  </si>
  <si>
    <t>Rachão ou pedra de mão</t>
  </si>
  <si>
    <t>C.2.3</t>
  </si>
  <si>
    <t>Sub-base ou base de brita graduada simples (BGS)</t>
  </si>
  <si>
    <t>C.2.4</t>
  </si>
  <si>
    <t>Imprimadura betuminosa impermeabilizante</t>
  </si>
  <si>
    <t>C.2.5</t>
  </si>
  <si>
    <t>Imprimadura betuminosa ligante</t>
  </si>
  <si>
    <t>C.2.6</t>
  </si>
  <si>
    <t>CBUQ  Faixa C/D c/ DOP ou polímero similar</t>
  </si>
  <si>
    <t>T</t>
  </si>
  <si>
    <t>C.3</t>
  </si>
  <si>
    <t>Material Betuminoso e Transportes</t>
  </si>
  <si>
    <t>C.3.1</t>
  </si>
  <si>
    <t xml:space="preserve">Fornecimento de emulsão asfáltica Imprimer                </t>
  </si>
  <si>
    <t>C.3.2</t>
  </si>
  <si>
    <t xml:space="preserve">Fornecimento de emulsão asfáltica tipo RR-1C                                </t>
  </si>
  <si>
    <t>C.3.3</t>
  </si>
  <si>
    <t>Fornecimento de CAP modificado com adição de polímero</t>
  </si>
  <si>
    <t>C.3.4</t>
  </si>
  <si>
    <t xml:space="preserve">Transporte com caminhão basculante de 14 m³ - rodovia pavimentada  - Agregados  </t>
  </si>
  <si>
    <t>C.3.5</t>
  </si>
  <si>
    <t xml:space="preserve">Transporte com caminhão basculante de 14 m³ - rodovia pavimentada  - Massa Asfaltica  </t>
  </si>
  <si>
    <t>C.3.6</t>
  </si>
  <si>
    <t>Transporte com caminhão basculante de 14 m³ - rodovia pavimentada  - Materiais Betuminosos</t>
  </si>
  <si>
    <t>D.</t>
  </si>
  <si>
    <t>Implantação de Desvios 2 e 3</t>
  </si>
  <si>
    <t>D.1</t>
  </si>
  <si>
    <t>D.1.1</t>
  </si>
  <si>
    <t>D.1.2</t>
  </si>
  <si>
    <t>D.1.3</t>
  </si>
  <si>
    <t>D.1.4</t>
  </si>
  <si>
    <t>D.2</t>
  </si>
  <si>
    <t>Pavimento</t>
  </si>
  <si>
    <t>D.2.1</t>
  </si>
  <si>
    <t>Fresagem contínua de revestimento betuminoso</t>
  </si>
  <si>
    <t>D.2.2</t>
  </si>
  <si>
    <t>D.2.3</t>
  </si>
  <si>
    <t>D.2.4</t>
  </si>
  <si>
    <t>D.2.5</t>
  </si>
  <si>
    <t>D.2.6</t>
  </si>
  <si>
    <t>D.2.7</t>
  </si>
  <si>
    <t>D.3</t>
  </si>
  <si>
    <t>D.3.1</t>
  </si>
  <si>
    <t>D.3.2</t>
  </si>
  <si>
    <t>D.3.3</t>
  </si>
  <si>
    <t>D.3.4</t>
  </si>
  <si>
    <t>D.3.5</t>
  </si>
  <si>
    <t>D.3.6</t>
  </si>
  <si>
    <t>E.</t>
  </si>
  <si>
    <t>Sinalização Horizontal, Vertical e Elementos de Proteção e Segurança</t>
  </si>
  <si>
    <t>E.1</t>
  </si>
  <si>
    <t>Manutenção/recomposição de sinalização - pintura de faixa com tinta acrílica emulsionada em água - espessura de 0,3 / 0,5 mm</t>
  </si>
  <si>
    <t>OBSERVAÇÕES:</t>
  </si>
  <si>
    <t>VALOR DA MEDIÇÃO - CONTRATO INICIAL</t>
  </si>
  <si>
    <t>BDI (18,20%)</t>
  </si>
  <si>
    <t>DESCONTOS DO REIDI (SE APLICAVEL)</t>
  </si>
  <si>
    <t>OUTROS DESCONTOS</t>
  </si>
  <si>
    <t>OUTROS REEMBOLSOS</t>
  </si>
  <si>
    <t>VALOR LIQUIDO A PAGAR DESTA MEDIÇÃO</t>
  </si>
  <si>
    <t>RATEIO C.C</t>
  </si>
  <si>
    <t>C3660101</t>
  </si>
  <si>
    <t>ATIVIDADES PRELIMINARES E DE APOIO</t>
  </si>
  <si>
    <t>C3660150</t>
  </si>
  <si>
    <t>CANTEIRO E FAIXA DE DOMÍNIO</t>
  </si>
  <si>
    <t>C3660120</t>
  </si>
  <si>
    <t xml:space="preserve">OBRAS-DE-ARTE ESPECIAIS </t>
  </si>
  <si>
    <t>C3660110</t>
  </si>
  <si>
    <t xml:space="preserve">DISPOSITIVOS DE SEGURANÇA </t>
  </si>
  <si>
    <t xml:space="preserve">SINALIZAÇÃO HORIZONTAL/VERTICAL </t>
  </si>
  <si>
    <t>C3660130</t>
  </si>
  <si>
    <t xml:space="preserve">DRENAGEM E OBRAS DE ARTE CORRENTE </t>
  </si>
  <si>
    <t>MICROFRESAGEM</t>
  </si>
  <si>
    <t>FRESAGEM FUNCIONAL</t>
  </si>
  <si>
    <t>FRESAGEM ESTRUTURAL</t>
  </si>
  <si>
    <t>REPAROS PROFUNDOS</t>
  </si>
  <si>
    <t>MICRO REVESTIMENTO À FRIO</t>
  </si>
  <si>
    <t>PAVIMENTO RÍGIDO (*)</t>
  </si>
  <si>
    <t>MATERIAL BETUMINOSO E TRANSPORTES (*)</t>
  </si>
  <si>
    <t>C3660302</t>
  </si>
  <si>
    <t>DISPOSITIVOS DE SEGURANÇA</t>
  </si>
  <si>
    <t>C3660304</t>
  </si>
  <si>
    <t>COMPLEMENTO DO SISTEMA DE DRENAGEM</t>
  </si>
  <si>
    <t>RECOMPOSIÇÃO DE BOCAS DE BUEIROS</t>
  </si>
  <si>
    <t>RECONSTRUÇÃO DE CORPO DE BUEIRO</t>
  </si>
  <si>
    <t>RECONSTRUÇÃO DE CAIXA COLETORA DE TALVEGUE</t>
  </si>
  <si>
    <t>C3660306</t>
  </si>
  <si>
    <t>CANTEIRO CENTRAL E FAIXA DE DOMÍNIO</t>
  </si>
  <si>
    <t>VALOR VIGENTE CONTRATO</t>
  </si>
  <si>
    <t>MED. 01</t>
  </si>
  <si>
    <t>MED. 05</t>
  </si>
  <si>
    <t>MED. 09</t>
  </si>
  <si>
    <t>MED.13</t>
  </si>
  <si>
    <t>MED.17</t>
  </si>
  <si>
    <t>MED.21</t>
  </si>
  <si>
    <t xml:space="preserve">VALOR MEDIDO ACUMULADO </t>
  </si>
  <si>
    <t>MED. 02</t>
  </si>
  <si>
    <t>MED. 06</t>
  </si>
  <si>
    <t>MED. 10</t>
  </si>
  <si>
    <t>MED.14</t>
  </si>
  <si>
    <t>MED.18</t>
  </si>
  <si>
    <t>MED.22</t>
  </si>
  <si>
    <t>SALDO CONTRATUAL</t>
  </si>
  <si>
    <t>MED. 03</t>
  </si>
  <si>
    <t>MED. 07</t>
  </si>
  <si>
    <t>MED. 11</t>
  </si>
  <si>
    <t>MED.15</t>
  </si>
  <si>
    <t>MED.19</t>
  </si>
  <si>
    <t>MED.23</t>
  </si>
  <si>
    <t>VALOR A P0</t>
  </si>
  <si>
    <t>MED. 04</t>
  </si>
  <si>
    <t>MED. 08</t>
  </si>
  <si>
    <t>MED. 12</t>
  </si>
  <si>
    <t>MED.16</t>
  </si>
  <si>
    <t>MED.20</t>
  </si>
  <si>
    <t>MED.24</t>
  </si>
  <si>
    <t>-</t>
  </si>
  <si>
    <t>B.1.6</t>
  </si>
  <si>
    <t>B.1.7</t>
  </si>
  <si>
    <t>Escavação, carga e transporte de material de 1ª categoria - DMT de 1.400 a 1.600 m - caminho de serviço pavimentado - com escavadeira e caminhão basculante de 14 m³</t>
  </si>
  <si>
    <t>B.1.8</t>
  </si>
  <si>
    <t>Escavação e carga de material de 2ª categoria - DMT acima de 3.000 m</t>
  </si>
  <si>
    <t>B.2.6</t>
  </si>
  <si>
    <t>Descida d'água de cortes em degraus - DCD 100-50 - areia e brita comerciais</t>
  </si>
  <si>
    <t>B.2.7</t>
  </si>
  <si>
    <t>Valeta de proteção de cortes com revestimento de concreto - VPCC 120-30 - escavação mecânica - areia e brita comerciais</t>
  </si>
  <si>
    <t>B.2.8</t>
  </si>
  <si>
    <t>Caixa coletora de sarjeta - CCS 250-120 A - com grelha de concreto - areia e brita comerciais</t>
  </si>
  <si>
    <t>B.2.9</t>
  </si>
  <si>
    <t>Sarjeta triangular de concreto - STC 88-20 - escavação mecânica - areia e brita comerciais</t>
  </si>
  <si>
    <t>C.4.1</t>
  </si>
  <si>
    <t>C.4.2</t>
  </si>
  <si>
    <t>Dissipador de energia - DES 88-264 - areia, brita e pedra de mão comerciais</t>
  </si>
  <si>
    <t>C.4.3</t>
  </si>
  <si>
    <t>Dreno longitudinal profundo para corte em solo - DPS 01 - tubo PEAD e areia comercial</t>
  </si>
  <si>
    <t>C.4.4</t>
  </si>
  <si>
    <t>Concreto fck = 20 MPa - confecção em central dosadora de 30 m³/h - areia e brita comerciais</t>
  </si>
  <si>
    <t>C.4.5</t>
  </si>
  <si>
    <t>Tubo PEAD para drenagem - D = 800 mm - fornecimento e instalação</t>
  </si>
  <si>
    <t>D.4.1</t>
  </si>
  <si>
    <t>D.4.2</t>
  </si>
  <si>
    <t>STATUS</t>
  </si>
  <si>
    <t>R$ MEDIÇÃO ATUAL (PI)</t>
  </si>
  <si>
    <t>R$ REAJUSTE (BDI - 18,20%)</t>
  </si>
  <si>
    <t>R$ MEDIÇÃO (PI+BDI)</t>
  </si>
  <si>
    <t>QUANTIDADES</t>
  </si>
  <si>
    <t>FINANCEIRO</t>
  </si>
  <si>
    <t>AVANÇO %</t>
  </si>
  <si>
    <t>DESVIO</t>
  </si>
  <si>
    <t>PROJETO</t>
  </si>
  <si>
    <t>NÃO MEDIDO</t>
  </si>
  <si>
    <t>RECOMPOSIÇÃO DE TALUDES - SINISTRO 297+500 - OESTE - RATEIO ISS</t>
  </si>
  <si>
    <t>CÓDIGO</t>
  </si>
  <si>
    <t>GOVERNADOR VALADARES</t>
  </si>
  <si>
    <t>PERIQUITO</t>
  </si>
  <si>
    <t>NAQUE</t>
  </si>
  <si>
    <t>BELO HORIENTE</t>
  </si>
  <si>
    <t>SANTANA DO PARAÍSO</t>
  </si>
  <si>
    <t>IPATINGA</t>
  </si>
  <si>
    <t>CORONEL FABRICIANO</t>
  </si>
  <si>
    <t>TIMÓTEO</t>
  </si>
  <si>
    <t>JAGUARAÇU</t>
  </si>
  <si>
    <t>ANTÔNIO DIAS</t>
  </si>
  <si>
    <t>NOVA ERA</t>
  </si>
  <si>
    <t>BELA VISTA DE MINAS</t>
  </si>
  <si>
    <t>JOÃO MONLEVADE</t>
  </si>
  <si>
    <t>SÃO GONÇALO DO RIO ABAIXO</t>
  </si>
  <si>
    <t>BARÃO DE COCAIS</t>
  </si>
  <si>
    <t>BOM JESUS DO AMPARO</t>
  </si>
  <si>
    <t>NOVA UNIÃO</t>
  </si>
  <si>
    <t>CAETÉ</t>
  </si>
  <si>
    <t>R$</t>
  </si>
  <si>
    <t>FATURAMENTO TOTAL</t>
  </si>
  <si>
    <t>BDI - 18,20%</t>
  </si>
  <si>
    <t>QUADRO RESUMO</t>
  </si>
  <si>
    <t>CONTRATO</t>
  </si>
  <si>
    <t>HISTÓRICO DE MEDIÇÃO:</t>
  </si>
  <si>
    <t>NAVEGAÇÃO</t>
  </si>
  <si>
    <t>R$ FINANCEIRO</t>
  </si>
  <si>
    <t>QUANTIDADE DE PROJETO:</t>
  </si>
  <si>
    <t>QUANTIDADE ACUMULADA:</t>
  </si>
  <si>
    <t>QUANTIDADE ACUM. ANTERIOR:</t>
  </si>
  <si>
    <t>SALDO CONTRATUAL:</t>
  </si>
  <si>
    <t>NÃO MEDIDO:</t>
  </si>
  <si>
    <t>MEDIÇÃO ATUAL:</t>
  </si>
  <si>
    <t>GRUPO</t>
  </si>
  <si>
    <t>UNIDADE</t>
  </si>
  <si>
    <t>R$ UNIT.</t>
  </si>
  <si>
    <t>LOCAL</t>
  </si>
  <si>
    <t>EIXO</t>
  </si>
  <si>
    <t>ESTACA/KM INICIAL</t>
  </si>
  <si>
    <t>ESTACA/KM FINAL</t>
  </si>
  <si>
    <t>LADO</t>
  </si>
  <si>
    <t>QUANTIDADE</t>
  </si>
  <si>
    <t>QUANTIDADE ACUMULADA</t>
  </si>
  <si>
    <t>OBSERVAÇÃO</t>
  </si>
  <si>
    <t>ITEM REFERÊNCIA</t>
  </si>
  <si>
    <t>INTEIRA</t>
  </si>
  <si>
    <t>FRAÇÃO</t>
  </si>
  <si>
    <t>BR381</t>
  </si>
  <si>
    <t>DIVERSOS</t>
  </si>
  <si>
    <t>EXECUÇÃO DE DESVIOS E TALUDES</t>
  </si>
  <si>
    <t>SENTIDO</t>
  </si>
  <si>
    <t>COMP.</t>
  </si>
  <si>
    <t>LARGURA</t>
  </si>
  <si>
    <t>(m)</t>
  </si>
  <si>
    <t>ALTURA</t>
  </si>
  <si>
    <t>ESQUERDO</t>
  </si>
  <si>
    <t>CRESCENTE</t>
  </si>
  <si>
    <t>CONFORME PLANTA (AUTOCAD)</t>
  </si>
  <si>
    <t>ORIGEM</t>
  </si>
  <si>
    <t>ESTACA/KM</t>
  </si>
  <si>
    <t>ÁREA</t>
  </si>
  <si>
    <t>VOLUME</t>
  </si>
  <si>
    <t>DMT</t>
  </si>
  <si>
    <t>DENSIDADE</t>
  </si>
  <si>
    <t>(m2)</t>
  </si>
  <si>
    <t>(m3)</t>
  </si>
  <si>
    <t>(km)</t>
  </si>
  <si>
    <t>CORTE</t>
  </si>
  <si>
    <t>(und)</t>
  </si>
  <si>
    <t>DIR/ESQ</t>
  </si>
  <si>
    <t>ESQ</t>
  </si>
  <si>
    <t>DIREITO</t>
  </si>
  <si>
    <t>DECRESCENTE</t>
  </si>
  <si>
    <t>SEM SALDO PARA MEDIÇÃO</t>
  </si>
  <si>
    <t>LIMPEZA</t>
  </si>
  <si>
    <t>TERRAPLENAGEM SEÇÕES (AUTOCAD)</t>
  </si>
  <si>
    <t>TERRAPLENAGEM SEÇÕES (AUTOCAD) N/ MEDIDO SEM SALDO</t>
  </si>
  <si>
    <t>PATOLOGIA SEÇÕES (AUTOCAD) N/ MEDIDO SEM SALDO</t>
  </si>
  <si>
    <t>PAVIMENTAÇÃO SEÇÕES (AUTOCAD) N/ MEDIDO SEM SALDO</t>
  </si>
  <si>
    <t>PAVIMENTAÇÃO (AUTOCAD)</t>
  </si>
  <si>
    <t>PAVIMENTAÇÃO (AUTOCAD) N/ MEDIDO SEM SALDO</t>
  </si>
  <si>
    <t xml:space="preserve">ÁREA </t>
  </si>
  <si>
    <t>REFERÊNCIA</t>
  </si>
  <si>
    <t>TAXA</t>
  </si>
  <si>
    <t>CONSUMO</t>
  </si>
  <si>
    <t>IMPRIMAÇÃO</t>
  </si>
  <si>
    <t>(l/m2)</t>
  </si>
  <si>
    <t>(l/1000)</t>
  </si>
  <si>
    <t>LIGAÇÃO</t>
  </si>
  <si>
    <t>CARTA TRAÇO</t>
  </si>
  <si>
    <t>USINA</t>
  </si>
  <si>
    <t>DATA</t>
  </si>
  <si>
    <t>TEOR</t>
  </si>
  <si>
    <t>MADALENA</t>
  </si>
  <si>
    <t>PEDREIRA UM</t>
  </si>
  <si>
    <t>CONTEPA</t>
  </si>
  <si>
    <t>VIACAP</t>
  </si>
  <si>
    <t>LUXOR</t>
  </si>
  <si>
    <t>CBUQ</t>
  </si>
  <si>
    <t>(t)</t>
  </si>
  <si>
    <t>(%/t)</t>
  </si>
  <si>
    <t>DIFERENÇA TAXA DE CAP</t>
  </si>
  <si>
    <t>PESO</t>
  </si>
  <si>
    <t>BELMONT</t>
  </si>
  <si>
    <t>RACHÃO OU PEDRA DE MÃO PARA PAVIMENTAÇÃO</t>
  </si>
  <si>
    <t>BGS PARA PAVIMENTAÇÃO</t>
  </si>
  <si>
    <t>BGS PARA PAVIMENTAÇÃO N/ MEDIDO SEM SALDO</t>
  </si>
  <si>
    <t>CBUQ PARA PAVIMENTAÇÃO N/ MEDIDO SEM SALDO</t>
  </si>
  <si>
    <t>CBUQ PARA PAVIMENTAÇÃO</t>
  </si>
  <si>
    <t>PINTURA</t>
  </si>
  <si>
    <t>CAP</t>
  </si>
  <si>
    <t>DESTINO</t>
  </si>
  <si>
    <t>REFINARIA</t>
  </si>
  <si>
    <t>TRANSPORTE DE MATERIAIS BETUMINOSOS</t>
  </si>
  <si>
    <t>PAVIMENTAÇÃO N/ MEDIDO SEM SALDO</t>
  </si>
  <si>
    <t>PAVIMENTAÇÃO SEÇÕES (AUTOCAD)</t>
  </si>
  <si>
    <t>(m2</t>
  </si>
  <si>
    <t>LBO</t>
  </si>
  <si>
    <t>LFO-3</t>
  </si>
  <si>
    <t>LFO-1</t>
  </si>
  <si>
    <t>24/09/2025 A 23/10/2025</t>
  </si>
  <si>
    <t>CONFORME PLANTA (AUTOCAD) BOTA FORA 1</t>
  </si>
  <si>
    <t>24/09/2025 a 23/10/2025</t>
  </si>
  <si>
    <t>Nº MEDIÇÃO 03</t>
  </si>
  <si>
    <t>BASES CONTRATUAIS - rev01</t>
  </si>
  <si>
    <t>B.1.9</t>
  </si>
  <si>
    <t>Regularização de bota-fora</t>
  </si>
  <si>
    <t>B.3.2</t>
  </si>
  <si>
    <t>Mão de Obra</t>
  </si>
  <si>
    <t>C.1.5</t>
  </si>
  <si>
    <t>Escavadeira Hidráulica sobre Esteiras</t>
  </si>
  <si>
    <t>h</t>
  </si>
  <si>
    <t>Caminhão Basculante com Capacidade de 16 M³ - 188 Kw</t>
  </si>
  <si>
    <t>Fornecimento de emulsão asfáltica tipo RR-1C</t>
  </si>
  <si>
    <t>Fornecimento de emulsão asfáltica Imprimer</t>
  </si>
  <si>
    <t>Transporte com caminhão basculante de 14 m³ - rodovia pavimentada  - Agregados</t>
  </si>
  <si>
    <t>Transporte com caminhão basculante de 14 m³ - rodovia pavimentada  - Massa Asfaltica</t>
  </si>
  <si>
    <t>Mão de Obra e Equipamentos</t>
  </si>
  <si>
    <t>Servente</t>
  </si>
  <si>
    <t>Equipamentos</t>
  </si>
  <si>
    <t>Trator sobre Esteiras com Lâmina - 127 Kw</t>
  </si>
  <si>
    <t>Motoniveladora - 93 Kw</t>
  </si>
  <si>
    <t>C.4</t>
  </si>
  <si>
    <t>ITEM ADITIVADO PARA O ITEM B.1.9</t>
  </si>
  <si>
    <t>BF - 1</t>
  </si>
  <si>
    <t>CONFORME PLANTA (AUTOCAD) (PREENCHIMENTO BSTC)</t>
  </si>
  <si>
    <t>LINK</t>
  </si>
  <si>
    <t>Cerca com 4 fios de arame farpado e mourão de concreto de seção quadrada de 11 cm a cada 2,5 m e esticador de 15 cm a cada 50 m - areia e brita comerciais</t>
  </si>
  <si>
    <t>Escavação, carga e transporte de material de 1ª categoria - DMT de 1.000 a 1.200 m -  com escavadeira e caminhão basculante de 14 m³</t>
  </si>
  <si>
    <t>D.4</t>
  </si>
  <si>
    <t>D.1.5</t>
  </si>
  <si>
    <t>F.</t>
  </si>
  <si>
    <t>F.1</t>
  </si>
  <si>
    <t>F.2</t>
  </si>
  <si>
    <t>Encarregado</t>
  </si>
  <si>
    <t>Oficial</t>
  </si>
  <si>
    <t>Rolo Compactador Pé de Carneiro Vibratório Autopropelido por Pneus de 11,6 T - 82 Kw</t>
  </si>
  <si>
    <t>Ajuste de quantitativo devido adivito rev01</t>
  </si>
  <si>
    <t>Aditivado para o iten D.1.5</t>
  </si>
  <si>
    <t>F.1.1</t>
  </si>
  <si>
    <t>F.1.2</t>
  </si>
  <si>
    <t>F.1.3</t>
  </si>
  <si>
    <t>F.2.1</t>
  </si>
  <si>
    <t>F.2.2</t>
  </si>
  <si>
    <t>F.2.3</t>
  </si>
  <si>
    <t>F.2.4</t>
  </si>
  <si>
    <t>F.2.5</t>
  </si>
  <si>
    <t>HORAS</t>
  </si>
  <si>
    <t>(h)</t>
  </si>
  <si>
    <t>MULTIPLICADOR</t>
  </si>
  <si>
    <t>(x)</t>
  </si>
  <si>
    <t>DIA 19 DIURNO (SONDAGEM)</t>
  </si>
  <si>
    <t>DIA 19 NOTURNO (SONDAGEM)</t>
  </si>
  <si>
    <t>DIA 20 DIURNO (SONDAGEM)</t>
  </si>
  <si>
    <t>DIA 20 NOURNO (SONDAGEM)</t>
  </si>
  <si>
    <t>DIA 21 DIURNO (SONDAGEM)</t>
  </si>
  <si>
    <t>DIA 21 NOURNO (SONDAGEM)</t>
  </si>
  <si>
    <t>DIR</t>
  </si>
  <si>
    <t>CONFORME PLANTA ÁREA 6 (AUTOCAD)</t>
  </si>
  <si>
    <t>CONFORME PLANTA ÁREA 7 (AUTOCAD)</t>
  </si>
  <si>
    <t>CONFORME PLANTA ÁREA 8 (AUTOCAD)</t>
  </si>
  <si>
    <t>CONFORME PLANTA ÁREA 9 (AUTOCAD)</t>
  </si>
  <si>
    <t>CONFORME PLANTA ÁREA 10 (AUTOCAD)</t>
  </si>
  <si>
    <t>CONFORME PLANTA ÁREA 11 (AUTOCAD)</t>
  </si>
  <si>
    <t>CONFORME PLANTA ÁREA 12 (AUTOCAD)</t>
  </si>
  <si>
    <t>Trator sobre Esteiras com Lâmina - 127 Kw - CHI - R$93,83</t>
  </si>
  <si>
    <t>Escavadeira Hidráulica sobre Esteiras - CHI - R$135,32</t>
  </si>
  <si>
    <t>Caminhão Basculante com Capacidade de 16 M³ - 188 Kw - CHI - R$165,08</t>
  </si>
  <si>
    <t>Rolo Compactador Pé de Carneiro Vibratório Autopropelido por Pneus de 11,6 T - 82 Kw - CHI - R$81,23</t>
  </si>
  <si>
    <t>Motoniveladora - 93 Kw - CHI - R$117,50</t>
  </si>
  <si>
    <t>R$ CHI</t>
  </si>
  <si>
    <t>MED. 03 - rev03</t>
  </si>
  <si>
    <t>CONFORME PLANTA ÁREA 1 (AUTOCAD)</t>
  </si>
  <si>
    <t>CONFORME PLANTA ÁREA 2 (AUTOCAD)</t>
  </si>
  <si>
    <t>CONFORME PLANTA ÁREA 3 (AUTOCAD)</t>
  </si>
  <si>
    <t>CONFORME PLANTA ÁREA 4 (AUTOCAD)</t>
  </si>
  <si>
    <t>CONFORME PLANTA ÁREA 5 (AUTOCAD)</t>
  </si>
  <si>
    <t>Medir remanejamento no contrato inicial L=324,6m</t>
  </si>
  <si>
    <t>CONFORME PLANTA ÁREA 1 (AUTOCAD) - CT INICIAL</t>
  </si>
  <si>
    <t>CONFORME PLANTA ÁREA 2 (AUTOCAD) - CT INICIAL</t>
  </si>
  <si>
    <t>CONFORME PLANTA ÁREA 3 (AUTOCAD) - CT INICIAL</t>
  </si>
  <si>
    <t>Linha 38, 39 e 40 considerar apenas hidrossemeadura, medição no contrato incial (6.777,941 m2)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</si>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</sst>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+&quot;0.000"/>
    <numFmt numFmtId="165" formatCode="#,##0.000"/>
    <numFmt numFmtId="166" formatCode="00"/>
    <numFmt numFmtId="167" formatCode="0.000%"/>
    <numFmt numFmtId="168" formatCode="0.000&quot; l/m2&quot;"/>
    <numFmt numFmtId="169" formatCode="0.00000&quot; l/m2&quot;"/>
    <numFmt numFmtId="170" formatCode="0.000"/>
    <numFmt numFmtId="171" formatCode="&quot;MED.&quot;0#"/>
    <numFmt numFmtId="172" formatCode="dd/mm/yy;@"/>
    <numFmt numFmtId="173" formatCode="_(* #,##0.00_);_(* \(#,##0.00\);_(* &quot;-&quot;?????_);_(@_)"/>
    <numFmt numFmtId="174" formatCode="_(* #,##0.00_);_(* \(#,##0.00\);_(* &quot;-&quot;??_);_(@_)"/>
    <numFmt numFmtId="175" formatCode="_-* #,##0.000_-;\-* #,##0.000_-;_-* &quot;-&quot;??_-;_-@_-"/>
    <numFmt numFmtId="176" formatCode="_-* #,##0.000_-;\-* #,##0.000_-;_-* &quot;-&quot;???_-;_-@_-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sz val="9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i/>
      <sz val="11"/>
      <color theme="1"/>
      <name val="Calibri"/>
      <family val="2"/>
    </font>
    <font>
      <b/>
      <sz val="9"/>
      <color rgb="FFC00000"/>
      <name val="Calibri"/>
      <family val="2"/>
    </font>
    <font>
      <sz val="8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name val="MS Sans Serif"/>
      <family val="2"/>
    </font>
    <font>
      <b/>
      <sz val="11"/>
      <color theme="4"/>
      <name val="Calibri"/>
      <family val="2"/>
    </font>
    <font>
      <sz val="11"/>
      <color theme="4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9"/>
      <color rgb="FFFF0000"/>
      <name val="Calibri"/>
      <family val="2"/>
    </font>
    <font>
      <sz val="8"/>
      <color rgb="FF000000"/>
      <name val="Tahoma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5" tint="0.79998168889431442"/>
        <bgColor indexed="64"/>
      </patternFill>
    </fill>
  </fills>
  <borders count="1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/>
      <diagonal/>
    </border>
    <border>
      <left style="double">
        <color indexed="64"/>
      </left>
      <right/>
      <top style="double">
        <color rgb="FF000000"/>
      </top>
      <bottom style="dashed">
        <color indexed="64"/>
      </bottom>
      <diagonal/>
    </border>
    <border>
      <left/>
      <right/>
      <top style="double">
        <color rgb="FF000000"/>
      </top>
      <bottom style="dashed">
        <color auto="1"/>
      </bottom>
      <diagonal/>
    </border>
    <border>
      <left/>
      <right style="double">
        <color rgb="FF000000"/>
      </right>
      <top style="double">
        <color rgb="FF000000"/>
      </top>
      <bottom style="dashed">
        <color auto="1"/>
      </bottom>
      <diagonal/>
    </border>
    <border>
      <left style="double">
        <color rgb="FF000000"/>
      </left>
      <right/>
      <top style="double">
        <color rgb="FF000000"/>
      </top>
      <bottom style="dashed">
        <color auto="1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ashed">
        <color auto="1"/>
      </bottom>
      <diagonal/>
    </border>
    <border>
      <left/>
      <right style="double">
        <color indexed="64"/>
      </right>
      <top/>
      <bottom style="dashed">
        <color auto="1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auto="1"/>
      </bottom>
      <diagonal/>
    </border>
    <border>
      <left/>
      <right style="double">
        <color rgb="FF000000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ashed">
        <color rgb="FF000000"/>
      </right>
      <top style="double">
        <color rgb="FF000000"/>
      </top>
      <bottom style="dashed">
        <color rgb="FF000000"/>
      </bottom>
      <diagonal/>
    </border>
    <border>
      <left style="dashed">
        <color rgb="FF000000"/>
      </left>
      <right/>
      <top style="double">
        <color indexed="64"/>
      </top>
      <bottom style="dashed">
        <color rgb="FF000000"/>
      </bottom>
      <diagonal/>
    </border>
    <border>
      <left/>
      <right/>
      <top style="double">
        <color indexed="64"/>
      </top>
      <bottom style="dashed">
        <color rgb="FF000000"/>
      </bottom>
      <diagonal/>
    </border>
    <border>
      <left/>
      <right style="double">
        <color indexed="64"/>
      </right>
      <top style="double">
        <color indexed="64"/>
      </top>
      <bottom style="dashed">
        <color rgb="FF000000"/>
      </bottom>
      <diagonal/>
    </border>
    <border>
      <left style="double">
        <color indexed="64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/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 style="double">
        <color indexed="64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ashed">
        <color rgb="FF000000"/>
      </right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double">
        <color indexed="64"/>
      </right>
      <top style="dashed">
        <color rgb="FF000000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1" fillId="0" borderId="0"/>
    <xf numFmtId="0" fontId="1" fillId="0" borderId="0"/>
    <xf numFmtId="44" fontId="1" fillId="0" borderId="0" applyFont="0" applyFill="0" applyBorder="0" applyAlignment="0" applyProtection="0"/>
  </cellStyleXfs>
  <cellXfs count="68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43" fontId="3" fillId="0" borderId="36" xfId="1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3" fontId="3" fillId="0" borderId="4" xfId="1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3" fillId="0" borderId="7" xfId="1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3" fontId="3" fillId="0" borderId="10" xfId="1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3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" borderId="42" xfId="0" applyFont="1" applyFill="1" applyBorder="1" applyAlignment="1">
      <alignment horizontal="left" vertical="center" wrapText="1"/>
    </xf>
    <xf numFmtId="0" fontId="5" fillId="4" borderId="42" xfId="0" applyFont="1" applyFill="1" applyBorder="1" applyAlignment="1">
      <alignment vertical="center" wrapText="1"/>
    </xf>
    <xf numFmtId="43" fontId="5" fillId="4" borderId="42" xfId="1" applyFont="1" applyFill="1" applyBorder="1" applyAlignment="1">
      <alignment vertical="center" wrapText="1"/>
    </xf>
    <xf numFmtId="8" fontId="5" fillId="4" borderId="42" xfId="1" applyNumberFormat="1" applyFont="1" applyFill="1" applyBorder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43" fontId="2" fillId="0" borderId="17" xfId="1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43" fontId="2" fillId="0" borderId="8" xfId="1" applyFont="1" applyBorder="1" applyAlignment="1">
      <alignment vertical="center" wrapText="1"/>
    </xf>
    <xf numFmtId="43" fontId="2" fillId="0" borderId="7" xfId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43" fontId="2" fillId="0" borderId="14" xfId="1" applyFont="1" applyBorder="1" applyAlignment="1">
      <alignment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43" fontId="5" fillId="4" borderId="2" xfId="1" applyFont="1" applyFill="1" applyBorder="1" applyAlignment="1">
      <alignment horizontal="center" vertical="center" wrapText="1"/>
    </xf>
    <xf numFmtId="43" fontId="5" fillId="4" borderId="2" xfId="1" applyFont="1" applyFill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vertical="center" wrapText="1"/>
    </xf>
    <xf numFmtId="43" fontId="2" fillId="0" borderId="7" xfId="1" applyFont="1" applyBorder="1" applyAlignment="1">
      <alignment horizontal="center" vertical="center" wrapText="1"/>
    </xf>
    <xf numFmtId="43" fontId="2" fillId="0" borderId="10" xfId="1" applyFont="1" applyBorder="1" applyAlignment="1">
      <alignment horizontal="center" vertical="center" wrapText="1"/>
    </xf>
    <xf numFmtId="43" fontId="2" fillId="0" borderId="11" xfId="1" applyFont="1" applyBorder="1" applyAlignment="1">
      <alignment vertical="center" wrapText="1"/>
    </xf>
    <xf numFmtId="43" fontId="2" fillId="0" borderId="0" xfId="1" applyFont="1" applyAlignment="1">
      <alignment vertical="center" wrapText="1"/>
    </xf>
    <xf numFmtId="8" fontId="2" fillId="0" borderId="7" xfId="1" applyNumberFormat="1" applyFont="1" applyBorder="1" applyAlignment="1">
      <alignment vertical="center" wrapText="1"/>
    </xf>
    <xf numFmtId="166" fontId="2" fillId="0" borderId="0" xfId="0" applyNumberFormat="1" applyFont="1" applyAlignment="1">
      <alignment horizontal="center" vertical="center"/>
    </xf>
    <xf numFmtId="8" fontId="2" fillId="2" borderId="2" xfId="1" applyNumberFormat="1" applyFont="1" applyFill="1" applyBorder="1" applyAlignment="1">
      <alignment vertical="center" wrapText="1"/>
    </xf>
    <xf numFmtId="8" fontId="5" fillId="4" borderId="2" xfId="1" applyNumberFormat="1" applyFont="1" applyFill="1" applyBorder="1" applyAlignment="1">
      <alignment vertical="center" wrapText="1"/>
    </xf>
    <xf numFmtId="8" fontId="5" fillId="4" borderId="21" xfId="1" applyNumberFormat="1" applyFont="1" applyFill="1" applyBorder="1" applyAlignment="1">
      <alignment vertical="center" wrapText="1"/>
    </xf>
    <xf numFmtId="8" fontId="5" fillId="2" borderId="21" xfId="1" applyNumberFormat="1" applyFont="1" applyFill="1" applyBorder="1" applyAlignment="1">
      <alignment vertical="center" wrapText="1"/>
    </xf>
    <xf numFmtId="0" fontId="5" fillId="0" borderId="25" xfId="0" applyFont="1" applyBorder="1" applyAlignment="1">
      <alignment horizontal="right" vertical="center" indent="1"/>
    </xf>
    <xf numFmtId="0" fontId="5" fillId="0" borderId="26" xfId="0" applyFont="1" applyBorder="1" applyAlignment="1">
      <alignment horizontal="right" vertical="center" indent="1"/>
    </xf>
    <xf numFmtId="0" fontId="5" fillId="0" borderId="28" xfId="0" applyFont="1" applyBorder="1" applyAlignment="1">
      <alignment horizontal="right" vertical="center" indent="1"/>
    </xf>
    <xf numFmtId="0" fontId="5" fillId="0" borderId="0" xfId="0" applyFont="1" applyAlignment="1">
      <alignment horizontal="right" vertical="center" indent="1"/>
    </xf>
    <xf numFmtId="0" fontId="5" fillId="0" borderId="40" xfId="0" applyFont="1" applyBorder="1" applyAlignment="1">
      <alignment horizontal="right" vertical="center" indent="1"/>
    </xf>
    <xf numFmtId="0" fontId="5" fillId="0" borderId="30" xfId="0" applyFont="1" applyBorder="1" applyAlignment="1">
      <alignment horizontal="right" vertical="center" indent="1"/>
    </xf>
    <xf numFmtId="166" fontId="3" fillId="0" borderId="5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3" applyFont="1" applyFill="1" applyAlignment="1">
      <alignment horizontal="center" vertical="center"/>
    </xf>
    <xf numFmtId="0" fontId="15" fillId="0" borderId="0" xfId="3" applyFont="1" applyFill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6" fillId="0" borderId="25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168" fontId="3" fillId="0" borderId="47" xfId="0" applyNumberFormat="1" applyFont="1" applyBorder="1" applyAlignment="1">
      <alignment horizontal="center" vertical="center"/>
    </xf>
    <xf numFmtId="169" fontId="3" fillId="0" borderId="48" xfId="0" applyNumberFormat="1" applyFont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0" fontId="3" fillId="0" borderId="8" xfId="2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10" fontId="3" fillId="0" borderId="11" xfId="2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49" fontId="3" fillId="0" borderId="4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10" fontId="3" fillId="0" borderId="0" xfId="2" applyNumberFormat="1" applyFont="1" applyBorder="1" applyAlignment="1">
      <alignment horizontal="center" vertical="center"/>
    </xf>
    <xf numFmtId="0" fontId="17" fillId="4" borderId="43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170" fontId="3" fillId="0" borderId="4" xfId="0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3" fillId="0" borderId="10" xfId="1" applyNumberFormat="1" applyFont="1" applyBorder="1" applyAlignment="1">
      <alignment horizontal="center" vertical="center"/>
    </xf>
    <xf numFmtId="43" fontId="2" fillId="0" borderId="35" xfId="1" applyFont="1" applyBorder="1" applyAlignment="1">
      <alignment vertical="center" wrapText="1"/>
    </xf>
    <xf numFmtId="8" fontId="2" fillId="0" borderId="50" xfId="1" applyNumberFormat="1" applyFont="1" applyBorder="1" applyAlignment="1">
      <alignment vertical="center" wrapText="1"/>
    </xf>
    <xf numFmtId="8" fontId="2" fillId="0" borderId="31" xfId="1" applyNumberFormat="1" applyFont="1" applyBorder="1" applyAlignment="1">
      <alignment vertical="center" wrapText="1"/>
    </xf>
    <xf numFmtId="9" fontId="5" fillId="4" borderId="56" xfId="1" applyNumberFormat="1" applyFont="1" applyFill="1" applyBorder="1" applyAlignment="1">
      <alignment horizontal="center" vertical="center" wrapText="1"/>
    </xf>
    <xf numFmtId="9" fontId="5" fillId="4" borderId="57" xfId="1" applyNumberFormat="1" applyFont="1" applyFill="1" applyBorder="1" applyAlignment="1">
      <alignment horizontal="center" vertical="center" wrapText="1"/>
    </xf>
    <xf numFmtId="8" fontId="5" fillId="2" borderId="2" xfId="1" applyNumberFormat="1" applyFont="1" applyFill="1" applyBorder="1" applyAlignment="1">
      <alignment vertical="center" wrapText="1"/>
    </xf>
    <xf numFmtId="167" fontId="2" fillId="0" borderId="8" xfId="1" applyNumberFormat="1" applyFont="1" applyBorder="1" applyAlignment="1">
      <alignment horizontal="center" vertical="center" wrapText="1"/>
    </xf>
    <xf numFmtId="9" fontId="3" fillId="0" borderId="0" xfId="2" applyFont="1" applyAlignment="1">
      <alignment horizontal="center" vertical="center"/>
    </xf>
    <xf numFmtId="43" fontId="2" fillId="0" borderId="10" xfId="1" applyFont="1" applyBorder="1" applyAlignment="1">
      <alignment vertical="center" wrapText="1"/>
    </xf>
    <xf numFmtId="0" fontId="18" fillId="4" borderId="3" xfId="0" applyFont="1" applyFill="1" applyBorder="1" applyAlignment="1">
      <alignment horizontal="center" vertical="center"/>
    </xf>
    <xf numFmtId="10" fontId="18" fillId="4" borderId="3" xfId="2" applyNumberFormat="1" applyFont="1" applyFill="1" applyBorder="1" applyAlignment="1">
      <alignment horizontal="center" vertical="center"/>
    </xf>
    <xf numFmtId="10" fontId="18" fillId="4" borderId="5" xfId="2" applyNumberFormat="1" applyFont="1" applyFill="1" applyBorder="1" applyAlignment="1">
      <alignment horizontal="center" vertical="center"/>
    </xf>
    <xf numFmtId="0" fontId="19" fillId="0" borderId="0" xfId="0" applyFont="1"/>
    <xf numFmtId="0" fontId="18" fillId="4" borderId="6" xfId="0" applyFont="1" applyFill="1" applyBorder="1" applyAlignment="1">
      <alignment horizontal="center" vertical="center"/>
    </xf>
    <xf numFmtId="10" fontId="18" fillId="4" borderId="6" xfId="2" applyNumberFormat="1" applyFont="1" applyFill="1" applyBorder="1" applyAlignment="1">
      <alignment horizontal="center" vertical="center"/>
    </xf>
    <xf numFmtId="10" fontId="18" fillId="4" borderId="8" xfId="2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9" borderId="80" xfId="6" applyFont="1" applyFill="1" applyBorder="1" applyAlignment="1">
      <alignment vertical="center"/>
    </xf>
    <xf numFmtId="0" fontId="20" fillId="9" borderId="81" xfId="6" applyFont="1" applyFill="1" applyBorder="1" applyAlignment="1">
      <alignment vertical="center"/>
    </xf>
    <xf numFmtId="49" fontId="5" fillId="10" borderId="76" xfId="5" applyNumberFormat="1" applyFont="1" applyFill="1" applyBorder="1" applyAlignment="1">
      <alignment horizontal="right" vertical="center"/>
    </xf>
    <xf numFmtId="172" fontId="22" fillId="8" borderId="77" xfId="5" applyNumberFormat="1" applyFont="1" applyFill="1" applyBorder="1" applyAlignment="1">
      <alignment horizontal="center" vertical="center"/>
    </xf>
    <xf numFmtId="0" fontId="20" fillId="9" borderId="28" xfId="6" applyFont="1" applyFill="1" applyBorder="1" applyAlignment="1">
      <alignment horizontal="left" vertical="center"/>
    </xf>
    <xf numFmtId="0" fontId="20" fillId="9" borderId="0" xfId="6" applyFont="1" applyFill="1" applyAlignment="1">
      <alignment horizontal="left" vertical="center"/>
    </xf>
    <xf numFmtId="0" fontId="20" fillId="9" borderId="85" xfId="6" applyFont="1" applyFill="1" applyBorder="1" applyAlignment="1">
      <alignment horizontal="left" vertical="center"/>
    </xf>
    <xf numFmtId="0" fontId="20" fillId="9" borderId="86" xfId="6" applyFont="1" applyFill="1" applyBorder="1" applyAlignment="1">
      <alignment horizontal="left" vertical="center"/>
    </xf>
    <xf numFmtId="0" fontId="17" fillId="2" borderId="88" xfId="5" applyFont="1" applyFill="1" applyBorder="1" applyAlignment="1">
      <alignment vertical="center"/>
    </xf>
    <xf numFmtId="0" fontId="17" fillId="2" borderId="96" xfId="5" applyFont="1" applyFill="1" applyBorder="1" applyAlignment="1">
      <alignment horizontal="left" vertical="center"/>
    </xf>
    <xf numFmtId="0" fontId="5" fillId="2" borderId="96" xfId="5" applyFont="1" applyFill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5" fillId="2" borderId="100" xfId="5" applyFont="1" applyFill="1" applyBorder="1" applyAlignment="1">
      <alignment horizontal="left" vertical="center"/>
    </xf>
    <xf numFmtId="0" fontId="20" fillId="8" borderId="101" xfId="6" quotePrefix="1" applyFont="1" applyFill="1" applyBorder="1" applyAlignment="1" applyProtection="1">
      <alignment vertical="center"/>
      <protection locked="0"/>
    </xf>
    <xf numFmtId="0" fontId="17" fillId="0" borderId="101" xfId="6" applyFont="1" applyBorder="1" applyAlignment="1" applyProtection="1">
      <alignment vertical="center"/>
      <protection locked="0"/>
    </xf>
    <xf numFmtId="0" fontId="5" fillId="3" borderId="11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center" vertical="center" wrapText="1"/>
    </xf>
    <xf numFmtId="43" fontId="25" fillId="0" borderId="7" xfId="1" applyFont="1" applyBorder="1" applyAlignment="1">
      <alignment vertical="center" wrapText="1"/>
    </xf>
    <xf numFmtId="43" fontId="25" fillId="0" borderId="7" xfId="1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center" vertical="center" wrapText="1"/>
    </xf>
    <xf numFmtId="43" fontId="25" fillId="0" borderId="16" xfId="1" applyFont="1" applyBorder="1" applyAlignment="1">
      <alignment vertical="center" wrapText="1"/>
    </xf>
    <xf numFmtId="43" fontId="25" fillId="0" borderId="16" xfId="0" applyNumberFormat="1" applyFont="1" applyBorder="1" applyAlignment="1">
      <alignment vertical="center" wrapText="1"/>
    </xf>
    <xf numFmtId="8" fontId="25" fillId="0" borderId="16" xfId="2" applyNumberFormat="1" applyFont="1" applyFill="1" applyBorder="1" applyAlignment="1">
      <alignment vertical="center" wrapText="1"/>
    </xf>
    <xf numFmtId="4" fontId="25" fillId="0" borderId="16" xfId="0" applyNumberFormat="1" applyFont="1" applyBorder="1" applyAlignment="1">
      <alignment vertical="center" wrapText="1"/>
    </xf>
    <xf numFmtId="43" fontId="25" fillId="0" borderId="16" xfId="0" applyNumberFormat="1" applyFont="1" applyBorder="1" applyAlignment="1">
      <alignment horizontal="center" vertical="center"/>
    </xf>
    <xf numFmtId="8" fontId="25" fillId="0" borderId="16" xfId="0" applyNumberFormat="1" applyFont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center" vertical="center" wrapText="1"/>
    </xf>
    <xf numFmtId="43" fontId="25" fillId="0" borderId="13" xfId="1" applyFont="1" applyBorder="1" applyAlignment="1">
      <alignment vertical="center" wrapText="1"/>
    </xf>
    <xf numFmtId="43" fontId="25" fillId="0" borderId="16" xfId="1" applyFont="1" applyBorder="1" applyAlignment="1">
      <alignment horizontal="center" vertical="center" wrapText="1"/>
    </xf>
    <xf numFmtId="43" fontId="5" fillId="2" borderId="2" xfId="1" applyFont="1" applyFill="1" applyBorder="1" applyAlignment="1">
      <alignment vertical="center" wrapText="1"/>
    </xf>
    <xf numFmtId="43" fontId="25" fillId="0" borderId="13" xfId="1" applyFont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0" fontId="25" fillId="0" borderId="65" xfId="0" applyFont="1" applyBorder="1" applyAlignment="1">
      <alignment horizontal="left" vertical="center" wrapText="1"/>
    </xf>
    <xf numFmtId="43" fontId="25" fillId="0" borderId="65" xfId="1" applyFont="1" applyBorder="1" applyAlignment="1">
      <alignment horizontal="center" vertical="center" wrapText="1"/>
    </xf>
    <xf numFmtId="43" fontId="25" fillId="0" borderId="65" xfId="1" applyFont="1" applyBorder="1" applyAlignment="1">
      <alignment vertical="center" wrapText="1"/>
    </xf>
    <xf numFmtId="43" fontId="25" fillId="0" borderId="37" xfId="1" applyFont="1" applyBorder="1" applyAlignment="1">
      <alignment horizontal="center" vertical="center" wrapText="1"/>
    </xf>
    <xf numFmtId="43" fontId="25" fillId="0" borderId="37" xfId="1" applyFont="1" applyBorder="1" applyAlignment="1">
      <alignment vertical="center" wrapText="1"/>
    </xf>
    <xf numFmtId="167" fontId="5" fillId="4" borderId="42" xfId="2" applyNumberFormat="1" applyFont="1" applyFill="1" applyBorder="1" applyAlignment="1">
      <alignment horizontal="center" vertical="center" wrapText="1"/>
    </xf>
    <xf numFmtId="167" fontId="25" fillId="0" borderId="16" xfId="2" applyNumberFormat="1" applyFont="1" applyFill="1" applyBorder="1" applyAlignment="1">
      <alignment horizontal="center" vertical="center" wrapText="1"/>
    </xf>
    <xf numFmtId="167" fontId="5" fillId="4" borderId="2" xfId="2" applyNumberFormat="1" applyFont="1" applyFill="1" applyBorder="1" applyAlignment="1">
      <alignment horizontal="center" vertical="center" wrapText="1"/>
    </xf>
    <xf numFmtId="167" fontId="5" fillId="2" borderId="2" xfId="2" applyNumberFormat="1" applyFont="1" applyFill="1" applyBorder="1" applyAlignment="1">
      <alignment horizontal="center" vertical="center" wrapText="1"/>
    </xf>
    <xf numFmtId="167" fontId="5" fillId="4" borderId="103" xfId="1" applyNumberFormat="1" applyFont="1" applyFill="1" applyBorder="1" applyAlignment="1">
      <alignment vertical="center" wrapText="1"/>
    </xf>
    <xf numFmtId="167" fontId="25" fillId="0" borderId="17" xfId="0" applyNumberFormat="1" applyFont="1" applyBorder="1" applyAlignment="1">
      <alignment horizontal="center" vertical="center"/>
    </xf>
    <xf numFmtId="167" fontId="5" fillId="4" borderId="21" xfId="1" applyNumberFormat="1" applyFont="1" applyFill="1" applyBorder="1" applyAlignment="1">
      <alignment vertical="center" wrapText="1"/>
    </xf>
    <xf numFmtId="167" fontId="2" fillId="2" borderId="21" xfId="1" applyNumberFormat="1" applyFont="1" applyFill="1" applyBorder="1" applyAlignment="1">
      <alignment vertical="center" wrapText="1"/>
    </xf>
    <xf numFmtId="43" fontId="2" fillId="0" borderId="4" xfId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4" borderId="42" xfId="0" applyFont="1" applyFill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left" vertical="center"/>
    </xf>
    <xf numFmtId="43" fontId="14" fillId="0" borderId="0" xfId="1" applyFont="1" applyAlignment="1">
      <alignment horizontal="left" vertical="center"/>
    </xf>
    <xf numFmtId="43" fontId="14" fillId="0" borderId="0" xfId="1" applyFont="1" applyAlignment="1">
      <alignment horizontal="left" vertical="center" wrapText="1"/>
    </xf>
    <xf numFmtId="0" fontId="25" fillId="0" borderId="4" xfId="0" applyFont="1" applyBorder="1" applyAlignment="1">
      <alignment horizontal="center" vertical="center" wrapText="1"/>
    </xf>
    <xf numFmtId="49" fontId="26" fillId="0" borderId="28" xfId="7" applyNumberFormat="1" applyFont="1" applyBorder="1" applyAlignment="1" applyProtection="1">
      <alignment horizontal="center" vertical="center" wrapText="1"/>
      <protection hidden="1"/>
    </xf>
    <xf numFmtId="49" fontId="26" fillId="0" borderId="0" xfId="7" applyNumberFormat="1" applyFont="1" applyAlignment="1" applyProtection="1">
      <alignment horizontal="left" vertical="center" wrapText="1"/>
      <protection hidden="1"/>
    </xf>
    <xf numFmtId="49" fontId="26" fillId="0" borderId="0" xfId="7" applyNumberFormat="1" applyFont="1" applyAlignment="1" applyProtection="1">
      <alignment vertical="center" wrapText="1"/>
      <protection hidden="1"/>
    </xf>
    <xf numFmtId="49" fontId="26" fillId="0" borderId="0" xfId="7" applyNumberFormat="1" applyFont="1" applyAlignment="1" applyProtection="1">
      <alignment vertical="center"/>
      <protection hidden="1"/>
    </xf>
    <xf numFmtId="173" fontId="26" fillId="0" borderId="0" xfId="7" applyNumberFormat="1" applyFont="1" applyAlignment="1" applyProtection="1">
      <alignment vertical="center" wrapText="1"/>
      <protection hidden="1"/>
    </xf>
    <xf numFmtId="173" fontId="26" fillId="0" borderId="29" xfId="7" applyNumberFormat="1" applyFont="1" applyBorder="1" applyAlignment="1" applyProtection="1">
      <alignment vertical="center" wrapText="1"/>
      <protection hidden="1"/>
    </xf>
    <xf numFmtId="173" fontId="26" fillId="0" borderId="0" xfId="7" applyNumberFormat="1" applyFont="1" applyAlignment="1" applyProtection="1">
      <alignment horizontal="left" vertical="center" wrapText="1"/>
      <protection hidden="1"/>
    </xf>
    <xf numFmtId="173" fontId="26" fillId="0" borderId="29" xfId="7" applyNumberFormat="1" applyFont="1" applyBorder="1" applyAlignment="1" applyProtection="1">
      <alignment horizontal="left" vertical="center" wrapText="1"/>
      <protection hidden="1"/>
    </xf>
    <xf numFmtId="0" fontId="26" fillId="0" borderId="28" xfId="7" applyFont="1" applyBorder="1" applyAlignment="1" applyProtection="1">
      <alignment horizontal="center" vertical="center" wrapText="1"/>
      <protection hidden="1"/>
    </xf>
    <xf numFmtId="0" fontId="26" fillId="0" borderId="0" xfId="7" applyFont="1" applyAlignment="1" applyProtection="1">
      <alignment horizontal="left" vertical="center" wrapText="1"/>
      <protection hidden="1"/>
    </xf>
    <xf numFmtId="0" fontId="26" fillId="0" borderId="0" xfId="7" applyFont="1" applyAlignment="1" applyProtection="1">
      <alignment vertical="center" wrapText="1"/>
      <protection hidden="1"/>
    </xf>
    <xf numFmtId="0" fontId="26" fillId="0" borderId="0" xfId="7" applyFont="1" applyAlignment="1" applyProtection="1">
      <alignment vertical="center"/>
      <protection hidden="1"/>
    </xf>
    <xf numFmtId="0" fontId="26" fillId="0" borderId="0" xfId="7" applyFont="1" applyAlignment="1" applyProtection="1">
      <alignment horizontal="center" vertical="center" wrapText="1"/>
      <protection hidden="1"/>
    </xf>
    <xf numFmtId="0" fontId="26" fillId="0" borderId="0" xfId="7" applyFont="1" applyAlignment="1" applyProtection="1">
      <alignment horizontal="right" vertical="center" wrapText="1"/>
      <protection hidden="1"/>
    </xf>
    <xf numFmtId="173" fontId="20" fillId="0" borderId="1" xfId="7" applyNumberFormat="1" applyFont="1" applyBorder="1" applyAlignment="1" applyProtection="1">
      <alignment horizontal="center" vertical="center" wrapText="1"/>
      <protection hidden="1"/>
    </xf>
    <xf numFmtId="44" fontId="20" fillId="0" borderId="110" xfId="8" applyFont="1" applyBorder="1" applyAlignment="1" applyProtection="1">
      <alignment vertical="center" wrapText="1"/>
      <protection hidden="1"/>
    </xf>
    <xf numFmtId="8" fontId="20" fillId="0" borderId="1" xfId="8" applyNumberFormat="1" applyFont="1" applyBorder="1" applyAlignment="1" applyProtection="1">
      <alignment vertical="center" wrapText="1"/>
      <protection hidden="1"/>
    </xf>
    <xf numFmtId="174" fontId="20" fillId="0" borderId="1" xfId="7" applyNumberFormat="1" applyFont="1" applyBorder="1" applyAlignment="1" applyProtection="1">
      <alignment horizontal="center" vertical="center" wrapText="1"/>
      <protection hidden="1"/>
    </xf>
    <xf numFmtId="44" fontId="20" fillId="0" borderId="1" xfId="8" applyFont="1" applyBorder="1" applyAlignment="1" applyProtection="1">
      <alignment vertical="center" wrapText="1"/>
      <protection hidden="1"/>
    </xf>
    <xf numFmtId="44" fontId="20" fillId="0" borderId="1" xfId="7" applyNumberFormat="1" applyFont="1" applyBorder="1" applyAlignment="1" applyProtection="1">
      <alignment horizontal="center" vertical="center" wrapText="1"/>
      <protection hidden="1"/>
    </xf>
    <xf numFmtId="44" fontId="20" fillId="0" borderId="19" xfId="7" applyNumberFormat="1" applyFont="1" applyBorder="1" applyAlignment="1" applyProtection="1">
      <alignment horizontal="center" vertical="center" wrapText="1"/>
      <protection hidden="1"/>
    </xf>
    <xf numFmtId="173" fontId="20" fillId="0" borderId="111" xfId="7" applyNumberFormat="1" applyFont="1" applyBorder="1" applyAlignment="1" applyProtection="1">
      <alignment horizontal="center" vertical="center" wrapText="1"/>
      <protection hidden="1"/>
    </xf>
    <xf numFmtId="44" fontId="20" fillId="0" borderId="111" xfId="4" applyFont="1" applyBorder="1" applyAlignment="1" applyProtection="1">
      <alignment vertical="center" wrapText="1"/>
      <protection hidden="1"/>
    </xf>
    <xf numFmtId="44" fontId="20" fillId="0" borderId="111" xfId="8" applyFont="1" applyBorder="1" applyAlignment="1" applyProtection="1">
      <alignment vertical="center" wrapText="1"/>
      <protection hidden="1"/>
    </xf>
    <xf numFmtId="174" fontId="20" fillId="0" borderId="111" xfId="7" applyNumberFormat="1" applyFont="1" applyBorder="1" applyAlignment="1" applyProtection="1">
      <alignment horizontal="center" vertical="center" wrapText="1"/>
      <protection hidden="1"/>
    </xf>
    <xf numFmtId="44" fontId="20" fillId="0" borderId="111" xfId="7" applyNumberFormat="1" applyFont="1" applyBorder="1" applyAlignment="1" applyProtection="1">
      <alignment horizontal="center" vertical="center" wrapText="1"/>
      <protection hidden="1"/>
    </xf>
    <xf numFmtId="44" fontId="20" fillId="0" borderId="112" xfId="7" applyNumberFormat="1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>
      <alignment vertical="center" wrapText="1"/>
    </xf>
    <xf numFmtId="0" fontId="5" fillId="11" borderId="117" xfId="0" applyFont="1" applyFill="1" applyBorder="1" applyAlignment="1">
      <alignment horizontal="center" vertical="center" wrapText="1"/>
    </xf>
    <xf numFmtId="0" fontId="2" fillId="11" borderId="117" xfId="0" applyFont="1" applyFill="1" applyBorder="1" applyAlignment="1">
      <alignment horizontal="center" vertical="center"/>
    </xf>
    <xf numFmtId="0" fontId="2" fillId="11" borderId="118" xfId="0" applyFont="1" applyFill="1" applyBorder="1" applyAlignment="1">
      <alignment horizontal="center" vertical="center"/>
    </xf>
    <xf numFmtId="8" fontId="5" fillId="11" borderId="117" xfId="0" applyNumberFormat="1" applyFont="1" applyFill="1" applyBorder="1" applyAlignment="1">
      <alignment horizontal="center" vertical="center"/>
    </xf>
    <xf numFmtId="0" fontId="5" fillId="2" borderId="116" xfId="0" applyFont="1" applyFill="1" applyBorder="1" applyAlignment="1">
      <alignment horizontal="center" vertical="center" wrapText="1"/>
    </xf>
    <xf numFmtId="0" fontId="5" fillId="2" borderId="68" xfId="0" applyFont="1" applyFill="1" applyBorder="1" applyAlignment="1">
      <alignment horizontal="left" vertical="center"/>
    </xf>
    <xf numFmtId="0" fontId="5" fillId="2" borderId="68" xfId="0" applyFont="1" applyFill="1" applyBorder="1" applyAlignment="1">
      <alignment horizontal="left" vertical="center" wrapText="1"/>
    </xf>
    <xf numFmtId="0" fontId="2" fillId="2" borderId="68" xfId="0" applyFont="1" applyFill="1" applyBorder="1" applyAlignment="1">
      <alignment horizontal="center" vertical="center" wrapText="1"/>
    </xf>
    <xf numFmtId="43" fontId="2" fillId="2" borderId="68" xfId="1" applyFont="1" applyFill="1" applyBorder="1" applyAlignment="1">
      <alignment vertical="center" wrapText="1"/>
    </xf>
    <xf numFmtId="166" fontId="6" fillId="5" borderId="133" xfId="4" applyNumberFormat="1" applyFont="1" applyFill="1" applyBorder="1" applyAlignment="1">
      <alignment horizontal="center" vertical="center"/>
    </xf>
    <xf numFmtId="0" fontId="6" fillId="5" borderId="133" xfId="0" applyFont="1" applyFill="1" applyBorder="1" applyAlignment="1">
      <alignment horizontal="center" vertical="center"/>
    </xf>
    <xf numFmtId="44" fontId="6" fillId="5" borderId="133" xfId="4" applyFont="1" applyFill="1" applyBorder="1" applyAlignment="1">
      <alignment horizontal="center" vertical="center"/>
    </xf>
    <xf numFmtId="10" fontId="6" fillId="5" borderId="133" xfId="2" applyNumberFormat="1" applyFont="1" applyFill="1" applyBorder="1" applyAlignment="1">
      <alignment horizontal="center" vertical="center"/>
    </xf>
    <xf numFmtId="44" fontId="6" fillId="5" borderId="134" xfId="4" applyFont="1" applyFill="1" applyBorder="1" applyAlignment="1">
      <alignment horizontal="center" vertical="center"/>
    </xf>
    <xf numFmtId="44" fontId="3" fillId="0" borderId="0" xfId="4" applyFont="1" applyAlignment="1">
      <alignment vertical="center"/>
    </xf>
    <xf numFmtId="10" fontId="3" fillId="0" borderId="0" xfId="2" applyNumberFormat="1" applyFont="1" applyAlignment="1">
      <alignment vertical="center"/>
    </xf>
    <xf numFmtId="167" fontId="3" fillId="0" borderId="0" xfId="4" applyNumberFormat="1" applyFont="1" applyAlignment="1">
      <alignment vertical="center"/>
    </xf>
    <xf numFmtId="44" fontId="6" fillId="4" borderId="8" xfId="4" applyFont="1" applyFill="1" applyBorder="1" applyAlignment="1">
      <alignment vertical="center"/>
    </xf>
    <xf numFmtId="10" fontId="3" fillId="4" borderId="10" xfId="2" applyNumberFormat="1" applyFont="1" applyFill="1" applyBorder="1" applyAlignment="1">
      <alignment vertical="center"/>
    </xf>
    <xf numFmtId="44" fontId="6" fillId="4" borderId="11" xfId="4" applyFont="1" applyFill="1" applyBorder="1" applyAlignment="1">
      <alignment vertical="center"/>
    </xf>
    <xf numFmtId="10" fontId="3" fillId="4" borderId="6" xfId="2" applyNumberFormat="1" applyFont="1" applyFill="1" applyBorder="1" applyAlignment="1">
      <alignment vertical="center"/>
    </xf>
    <xf numFmtId="10" fontId="3" fillId="4" borderId="9" xfId="2" applyNumberFormat="1" applyFont="1" applyFill="1" applyBorder="1" applyAlignment="1">
      <alignment vertical="center"/>
    </xf>
    <xf numFmtId="10" fontId="3" fillId="4" borderId="129" xfId="2" applyNumberFormat="1" applyFont="1" applyFill="1" applyBorder="1" applyAlignment="1">
      <alignment vertical="center"/>
    </xf>
    <xf numFmtId="10" fontId="3" fillId="4" borderId="16" xfId="2" applyNumberFormat="1" applyFont="1" applyFill="1" applyBorder="1" applyAlignment="1">
      <alignment vertical="center"/>
    </xf>
    <xf numFmtId="165" fontId="3" fillId="0" borderId="16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3" fontId="3" fillId="0" borderId="16" xfId="1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0" fontId="5" fillId="4" borderId="68" xfId="0" applyFont="1" applyFill="1" applyBorder="1" applyAlignment="1">
      <alignment horizontal="left" vertical="center" wrapText="1"/>
    </xf>
    <xf numFmtId="43" fontId="5" fillId="4" borderId="68" xfId="1" applyFont="1" applyFill="1" applyBorder="1" applyAlignment="1">
      <alignment horizontal="center" vertical="center" wrapText="1"/>
    </xf>
    <xf numFmtId="43" fontId="5" fillId="4" borderId="68" xfId="1" applyFont="1" applyFill="1" applyBorder="1" applyAlignment="1">
      <alignment vertical="center" wrapText="1"/>
    </xf>
    <xf numFmtId="43" fontId="2" fillId="0" borderId="31" xfId="1" applyFont="1" applyBorder="1" applyAlignment="1">
      <alignment horizontal="center" vertical="center" wrapText="1"/>
    </xf>
    <xf numFmtId="43" fontId="25" fillId="0" borderId="0" xfId="1" applyFont="1" applyBorder="1" applyAlignment="1">
      <alignment horizontal="center" vertical="center" wrapText="1"/>
    </xf>
    <xf numFmtId="43" fontId="25" fillId="0" borderId="0" xfId="1" applyFont="1" applyBorder="1" applyAlignment="1">
      <alignment vertical="center" wrapText="1"/>
    </xf>
    <xf numFmtId="0" fontId="31" fillId="0" borderId="0" xfId="0" applyFont="1" applyAlignment="1">
      <alignment horizontal="center" vertical="center"/>
    </xf>
    <xf numFmtId="0" fontId="31" fillId="0" borderId="12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 wrapText="1"/>
    </xf>
    <xf numFmtId="43" fontId="31" fillId="0" borderId="13" xfId="1" applyFont="1" applyBorder="1" applyAlignment="1">
      <alignment horizontal="center" vertical="center" wrapText="1"/>
    </xf>
    <xf numFmtId="43" fontId="31" fillId="0" borderId="13" xfId="1" applyFont="1" applyBorder="1" applyAlignment="1">
      <alignment vertical="center" wrapText="1"/>
    </xf>
    <xf numFmtId="43" fontId="5" fillId="4" borderId="139" xfId="1" applyFont="1" applyFill="1" applyBorder="1" applyAlignment="1">
      <alignment vertical="center" wrapText="1"/>
    </xf>
    <xf numFmtId="43" fontId="25" fillId="0" borderId="10" xfId="1" applyFont="1" applyBorder="1" applyAlignment="1">
      <alignment vertical="center" wrapText="1"/>
    </xf>
    <xf numFmtId="0" fontId="17" fillId="4" borderId="4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left" vertical="center" wrapText="1"/>
    </xf>
    <xf numFmtId="0" fontId="5" fillId="11" borderId="25" xfId="0" applyFont="1" applyFill="1" applyBorder="1" applyAlignment="1">
      <alignment horizontal="center" vertical="center" wrapText="1"/>
    </xf>
    <xf numFmtId="0" fontId="5" fillId="11" borderId="26" xfId="0" applyFont="1" applyFill="1" applyBorder="1" applyAlignment="1">
      <alignment horizontal="center" vertical="center" wrapText="1"/>
    </xf>
    <xf numFmtId="0" fontId="28" fillId="0" borderId="49" xfId="3" applyFont="1" applyFill="1" applyBorder="1" applyAlignment="1">
      <alignment horizontal="center" vertical="center"/>
    </xf>
    <xf numFmtId="0" fontId="28" fillId="0" borderId="6" xfId="3" applyFont="1" applyFill="1" applyBorder="1" applyAlignment="1">
      <alignment horizontal="center" vertical="center"/>
    </xf>
    <xf numFmtId="0" fontId="28" fillId="0" borderId="34" xfId="3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141" xfId="0" applyFont="1" applyBorder="1" applyAlignment="1">
      <alignment horizontal="left" vertical="center" wrapText="1"/>
    </xf>
    <xf numFmtId="43" fontId="2" fillId="0" borderId="141" xfId="1" applyFont="1" applyBorder="1" applyAlignment="1">
      <alignment horizontal="center" vertical="center" wrapText="1"/>
    </xf>
    <xf numFmtId="43" fontId="2" fillId="0" borderId="142" xfId="1" applyFont="1" applyBorder="1" applyAlignment="1">
      <alignment vertical="center" wrapText="1"/>
    </xf>
    <xf numFmtId="175" fontId="2" fillId="0" borderId="6" xfId="1" applyNumberFormat="1" applyFont="1" applyBorder="1" applyAlignment="1">
      <alignment vertical="center" wrapText="1"/>
    </xf>
    <xf numFmtId="175" fontId="5" fillId="4" borderId="2" xfId="1" applyNumberFormat="1" applyFont="1" applyFill="1" applyBorder="1" applyAlignment="1">
      <alignment vertical="center" wrapText="1"/>
    </xf>
    <xf numFmtId="175" fontId="2" fillId="2" borderId="2" xfId="1" applyNumberFormat="1" applyFont="1" applyFill="1" applyBorder="1" applyAlignment="1">
      <alignment vertical="center" wrapText="1"/>
    </xf>
    <xf numFmtId="175" fontId="2" fillId="0" borderId="50" xfId="1" applyNumberFormat="1" applyFont="1" applyBorder="1" applyAlignment="1">
      <alignment vertical="center" wrapText="1"/>
    </xf>
    <xf numFmtId="175" fontId="2" fillId="0" borderId="7" xfId="1" applyNumberFormat="1" applyFont="1" applyBorder="1" applyAlignment="1">
      <alignment vertical="center" wrapText="1"/>
    </xf>
    <xf numFmtId="175" fontId="2" fillId="0" borderId="31" xfId="1" applyNumberFormat="1" applyFont="1" applyBorder="1" applyAlignment="1">
      <alignment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left" vertical="center"/>
    </xf>
    <xf numFmtId="0" fontId="25" fillId="0" borderId="50" xfId="0" applyFont="1" applyBorder="1" applyAlignment="1">
      <alignment horizontal="left" vertical="center" wrapText="1"/>
    </xf>
    <xf numFmtId="43" fontId="25" fillId="0" borderId="50" xfId="1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/>
    </xf>
    <xf numFmtId="0" fontId="25" fillId="0" borderId="31" xfId="0" applyFont="1" applyBorder="1" applyAlignment="1">
      <alignment horizontal="left" vertical="center" wrapText="1"/>
    </xf>
    <xf numFmtId="43" fontId="25" fillId="0" borderId="31" xfId="1" applyFont="1" applyBorder="1" applyAlignment="1">
      <alignment horizontal="center" vertical="center" wrapText="1"/>
    </xf>
    <xf numFmtId="175" fontId="25" fillId="0" borderId="16" xfId="1" applyNumberFormat="1" applyFont="1" applyBorder="1" applyAlignment="1">
      <alignment vertical="center" wrapText="1"/>
    </xf>
    <xf numFmtId="175" fontId="5" fillId="4" borderId="139" xfId="1" applyNumberFormat="1" applyFont="1" applyFill="1" applyBorder="1" applyAlignment="1">
      <alignment vertical="center" wrapText="1"/>
    </xf>
    <xf numFmtId="175" fontId="25" fillId="0" borderId="143" xfId="1" applyNumberFormat="1" applyFont="1" applyBorder="1" applyAlignment="1">
      <alignment vertical="center" wrapText="1"/>
    </xf>
    <xf numFmtId="175" fontId="2" fillId="2" borderId="68" xfId="1" applyNumberFormat="1" applyFont="1" applyFill="1" applyBorder="1" applyAlignment="1">
      <alignment vertical="center" wrapText="1"/>
    </xf>
    <xf numFmtId="167" fontId="5" fillId="2" borderId="68" xfId="2" applyNumberFormat="1" applyFont="1" applyFill="1" applyBorder="1" applyAlignment="1">
      <alignment horizontal="center" vertical="center" wrapText="1"/>
    </xf>
    <xf numFmtId="167" fontId="2" fillId="2" borderId="138" xfId="1" applyNumberFormat="1" applyFont="1" applyFill="1" applyBorder="1" applyAlignment="1">
      <alignment vertical="center" wrapText="1"/>
    </xf>
    <xf numFmtId="175" fontId="25" fillId="0" borderId="50" xfId="1" applyNumberFormat="1" applyFont="1" applyBorder="1" applyAlignment="1">
      <alignment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 wrapText="1"/>
    </xf>
    <xf numFmtId="43" fontId="25" fillId="0" borderId="10" xfId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left" vertical="center" wrapText="1"/>
    </xf>
    <xf numFmtId="167" fontId="2" fillId="0" borderId="35" xfId="1" applyNumberFormat="1" applyFont="1" applyBorder="1" applyAlignment="1">
      <alignment horizontal="center" vertical="center" wrapText="1"/>
    </xf>
    <xf numFmtId="0" fontId="17" fillId="4" borderId="116" xfId="0" applyFont="1" applyFill="1" applyBorder="1" applyAlignment="1">
      <alignment horizontal="center" vertical="center" wrapText="1"/>
    </xf>
    <xf numFmtId="0" fontId="17" fillId="4" borderId="68" xfId="0" applyFont="1" applyFill="1" applyBorder="1" applyAlignment="1">
      <alignment horizontal="center" vertical="center" wrapText="1"/>
    </xf>
    <xf numFmtId="175" fontId="5" fillId="4" borderId="68" xfId="1" applyNumberFormat="1" applyFont="1" applyFill="1" applyBorder="1" applyAlignment="1">
      <alignment vertical="center" wrapText="1"/>
    </xf>
    <xf numFmtId="8" fontId="5" fillId="4" borderId="68" xfId="1" applyNumberFormat="1" applyFont="1" applyFill="1" applyBorder="1" applyAlignment="1">
      <alignment vertical="center" wrapText="1"/>
    </xf>
    <xf numFmtId="8" fontId="5" fillId="4" borderId="138" xfId="1" applyNumberFormat="1" applyFont="1" applyFill="1" applyBorder="1" applyAlignment="1">
      <alignment vertical="center" wrapText="1"/>
    </xf>
    <xf numFmtId="0" fontId="28" fillId="0" borderId="140" xfId="3" applyFont="1" applyFill="1" applyBorder="1" applyAlignment="1">
      <alignment horizontal="center" vertical="center"/>
    </xf>
    <xf numFmtId="0" fontId="0" fillId="0" borderId="141" xfId="0" applyBorder="1" applyAlignment="1">
      <alignment horizontal="center" vertical="center"/>
    </xf>
    <xf numFmtId="175" fontId="2" fillId="0" borderId="141" xfId="1" applyNumberFormat="1" applyFont="1" applyBorder="1" applyAlignment="1">
      <alignment vertical="center" wrapText="1"/>
    </xf>
    <xf numFmtId="8" fontId="2" fillId="0" borderId="141" xfId="1" applyNumberFormat="1" applyFont="1" applyBorder="1" applyAlignment="1">
      <alignment vertical="center" wrapText="1"/>
    </xf>
    <xf numFmtId="0" fontId="28" fillId="0" borderId="9" xfId="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5" fontId="2" fillId="0" borderId="10" xfId="1" applyNumberFormat="1" applyFont="1" applyBorder="1" applyAlignment="1">
      <alignment vertical="center" wrapText="1"/>
    </xf>
    <xf numFmtId="8" fontId="2" fillId="0" borderId="10" xfId="1" applyNumberFormat="1" applyFont="1" applyBorder="1" applyAlignment="1">
      <alignment vertical="center" wrapText="1"/>
    </xf>
    <xf numFmtId="167" fontId="2" fillId="0" borderId="11" xfId="1" applyNumberFormat="1" applyFont="1" applyBorder="1" applyAlignment="1">
      <alignment horizontal="center" vertical="center" wrapText="1"/>
    </xf>
    <xf numFmtId="175" fontId="25" fillId="0" borderId="10" xfId="1" applyNumberFormat="1" applyFont="1" applyBorder="1" applyAlignment="1">
      <alignment vertical="center" wrapText="1"/>
    </xf>
    <xf numFmtId="8" fontId="5" fillId="4" borderId="42" xfId="0" applyNumberFormat="1" applyFont="1" applyFill="1" applyBorder="1" applyAlignment="1">
      <alignment horizontal="right" vertical="center"/>
    </xf>
    <xf numFmtId="8" fontId="25" fillId="0" borderId="16" xfId="0" applyNumberFormat="1" applyFont="1" applyBorder="1" applyAlignment="1">
      <alignment horizontal="right" vertical="center"/>
    </xf>
    <xf numFmtId="8" fontId="25" fillId="0" borderId="7" xfId="0" applyNumberFormat="1" applyFont="1" applyBorder="1" applyAlignment="1">
      <alignment horizontal="right" vertical="center"/>
    </xf>
    <xf numFmtId="8" fontId="25" fillId="0" borderId="13" xfId="0" applyNumberFormat="1" applyFont="1" applyBorder="1" applyAlignment="1">
      <alignment horizontal="right" vertical="center"/>
    </xf>
    <xf numFmtId="8" fontId="5" fillId="4" borderId="2" xfId="0" applyNumberFormat="1" applyFont="1" applyFill="1" applyBorder="1" applyAlignment="1">
      <alignment horizontal="right" vertical="center"/>
    </xf>
    <xf numFmtId="8" fontId="5" fillId="2" borderId="2" xfId="0" applyNumberFormat="1" applyFont="1" applyFill="1" applyBorder="1" applyAlignment="1">
      <alignment horizontal="right" vertical="center"/>
    </xf>
    <xf numFmtId="8" fontId="31" fillId="0" borderId="13" xfId="0" applyNumberFormat="1" applyFont="1" applyBorder="1" applyAlignment="1">
      <alignment horizontal="right" vertical="center"/>
    </xf>
    <xf numFmtId="8" fontId="25" fillId="0" borderId="50" xfId="0" applyNumberFormat="1" applyFont="1" applyBorder="1" applyAlignment="1">
      <alignment horizontal="right" vertical="center"/>
    </xf>
    <xf numFmtId="8" fontId="25" fillId="0" borderId="31" xfId="0" applyNumberFormat="1" applyFont="1" applyBorder="1" applyAlignment="1">
      <alignment horizontal="right" vertical="center"/>
    </xf>
    <xf numFmtId="8" fontId="25" fillId="0" borderId="65" xfId="0" applyNumberFormat="1" applyFont="1" applyBorder="1" applyAlignment="1">
      <alignment horizontal="right" vertical="center"/>
    </xf>
    <xf numFmtId="8" fontId="5" fillId="2" borderId="68" xfId="0" applyNumberFormat="1" applyFont="1" applyFill="1" applyBorder="1" applyAlignment="1">
      <alignment horizontal="right" vertical="center"/>
    </xf>
    <xf numFmtId="8" fontId="25" fillId="0" borderId="10" xfId="0" applyNumberFormat="1" applyFont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8" fontId="6" fillId="4" borderId="11" xfId="4" applyNumberFormat="1" applyFont="1" applyFill="1" applyBorder="1" applyAlignment="1">
      <alignment horizontal="center" vertical="center"/>
    </xf>
    <xf numFmtId="10" fontId="5" fillId="4" borderId="42" xfId="0" applyNumberFormat="1" applyFont="1" applyFill="1" applyBorder="1" applyAlignment="1">
      <alignment horizontal="right" vertical="center"/>
    </xf>
    <xf numFmtId="10" fontId="25" fillId="0" borderId="16" xfId="0" applyNumberFormat="1" applyFont="1" applyBorder="1" applyAlignment="1">
      <alignment horizontal="right" vertical="center"/>
    </xf>
    <xf numFmtId="10" fontId="25" fillId="0" borderId="7" xfId="0" applyNumberFormat="1" applyFont="1" applyBorder="1" applyAlignment="1">
      <alignment horizontal="right" vertical="center"/>
    </xf>
    <xf numFmtId="10" fontId="25" fillId="0" borderId="13" xfId="0" applyNumberFormat="1" applyFont="1" applyBorder="1" applyAlignment="1">
      <alignment horizontal="right" vertical="center"/>
    </xf>
    <xf numFmtId="10" fontId="5" fillId="4" borderId="2" xfId="0" applyNumberFormat="1" applyFont="1" applyFill="1" applyBorder="1" applyAlignment="1">
      <alignment horizontal="right" vertical="center"/>
    </xf>
    <xf numFmtId="10" fontId="5" fillId="2" borderId="2" xfId="0" applyNumberFormat="1" applyFont="1" applyFill="1" applyBorder="1" applyAlignment="1">
      <alignment horizontal="right" vertical="center"/>
    </xf>
    <xf numFmtId="10" fontId="31" fillId="0" borderId="13" xfId="0" applyNumberFormat="1" applyFont="1" applyBorder="1" applyAlignment="1">
      <alignment horizontal="right" vertical="center"/>
    </xf>
    <xf numFmtId="10" fontId="25" fillId="0" borderId="50" xfId="0" applyNumberFormat="1" applyFont="1" applyBorder="1" applyAlignment="1">
      <alignment horizontal="right" vertical="center"/>
    </xf>
    <xf numFmtId="10" fontId="25" fillId="0" borderId="31" xfId="0" applyNumberFormat="1" applyFont="1" applyBorder="1" applyAlignment="1">
      <alignment horizontal="right" vertical="center"/>
    </xf>
    <xf numFmtId="10" fontId="25" fillId="0" borderId="65" xfId="0" applyNumberFormat="1" applyFont="1" applyBorder="1" applyAlignment="1">
      <alignment horizontal="right" vertical="center"/>
    </xf>
    <xf numFmtId="10" fontId="5" fillId="2" borderId="68" xfId="0" applyNumberFormat="1" applyFont="1" applyFill="1" applyBorder="1" applyAlignment="1">
      <alignment horizontal="right" vertical="center"/>
    </xf>
    <xf numFmtId="10" fontId="25" fillId="0" borderId="10" xfId="0" applyNumberFormat="1" applyFont="1" applyBorder="1" applyAlignment="1">
      <alignment horizontal="right" vertical="center"/>
    </xf>
    <xf numFmtId="8" fontId="6" fillId="4" borderId="10" xfId="4" applyNumberFormat="1" applyFont="1" applyFill="1" applyBorder="1" applyAlignment="1">
      <alignment horizontal="center" vertical="center"/>
    </xf>
    <xf numFmtId="8" fontId="6" fillId="4" borderId="16" xfId="4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8" fontId="2" fillId="0" borderId="0" xfId="1" applyNumberFormat="1" applyFont="1" applyAlignment="1">
      <alignment vertical="center" wrapText="1"/>
    </xf>
    <xf numFmtId="8" fontId="2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175" fontId="2" fillId="0" borderId="49" xfId="1" applyNumberFormat="1" applyFont="1" applyBorder="1" applyAlignment="1">
      <alignment vertical="center" wrapText="1"/>
    </xf>
    <xf numFmtId="167" fontId="2" fillId="0" borderId="50" xfId="1" applyNumberFormat="1" applyFont="1" applyBorder="1" applyAlignment="1">
      <alignment horizontal="center" vertical="center" wrapText="1"/>
    </xf>
    <xf numFmtId="167" fontId="2" fillId="0" borderId="51" xfId="1" applyNumberFormat="1" applyFont="1" applyBorder="1" applyAlignment="1">
      <alignment horizontal="center" vertical="center" wrapText="1"/>
    </xf>
    <xf numFmtId="167" fontId="2" fillId="0" borderId="7" xfId="1" applyNumberFormat="1" applyFont="1" applyBorder="1" applyAlignment="1">
      <alignment horizontal="center" vertical="center" wrapText="1"/>
    </xf>
    <xf numFmtId="175" fontId="2" fillId="0" borderId="34" xfId="1" applyNumberFormat="1" applyFont="1" applyBorder="1" applyAlignment="1">
      <alignment vertical="center" wrapText="1"/>
    </xf>
    <xf numFmtId="167" fontId="2" fillId="0" borderId="31" xfId="1" applyNumberFormat="1" applyFont="1" applyBorder="1" applyAlignment="1">
      <alignment horizontal="center" vertical="center" wrapText="1"/>
    </xf>
    <xf numFmtId="175" fontId="2" fillId="0" borderId="140" xfId="1" applyNumberFormat="1" applyFont="1" applyBorder="1" applyAlignment="1">
      <alignment vertical="center" wrapText="1"/>
    </xf>
    <xf numFmtId="167" fontId="2" fillId="0" borderId="141" xfId="1" applyNumberFormat="1" applyFont="1" applyBorder="1" applyAlignment="1">
      <alignment horizontal="center" vertical="center" wrapText="1"/>
    </xf>
    <xf numFmtId="167" fontId="2" fillId="0" borderId="142" xfId="1" applyNumberFormat="1" applyFont="1" applyBorder="1" applyAlignment="1">
      <alignment horizontal="center" vertical="center" wrapText="1"/>
    </xf>
    <xf numFmtId="175" fontId="2" fillId="0" borderId="9" xfId="1" applyNumberFormat="1" applyFont="1" applyBorder="1" applyAlignment="1">
      <alignment vertical="center" wrapText="1"/>
    </xf>
    <xf numFmtId="167" fontId="2" fillId="0" borderId="10" xfId="1" applyNumberFormat="1" applyFont="1" applyBorder="1" applyAlignment="1">
      <alignment horizontal="center" vertical="center" wrapText="1"/>
    </xf>
    <xf numFmtId="43" fontId="25" fillId="0" borderId="10" xfId="0" applyNumberFormat="1" applyFont="1" applyBorder="1" applyAlignment="1">
      <alignment vertical="center" wrapText="1"/>
    </xf>
    <xf numFmtId="8" fontId="25" fillId="0" borderId="10" xfId="2" applyNumberFormat="1" applyFont="1" applyFill="1" applyBorder="1" applyAlignment="1">
      <alignment vertical="center" wrapText="1"/>
    </xf>
    <xf numFmtId="4" fontId="25" fillId="0" borderId="10" xfId="0" applyNumberFormat="1" applyFont="1" applyBorder="1" applyAlignment="1">
      <alignment vertical="center" wrapText="1"/>
    </xf>
    <xf numFmtId="43" fontId="25" fillId="0" borderId="10" xfId="0" applyNumberFormat="1" applyFont="1" applyBorder="1" applyAlignment="1">
      <alignment horizontal="center" vertical="center"/>
    </xf>
    <xf numFmtId="8" fontId="25" fillId="0" borderId="10" xfId="0" applyNumberFormat="1" applyFont="1" applyBorder="1" applyAlignment="1">
      <alignment horizontal="center" vertical="center"/>
    </xf>
    <xf numFmtId="167" fontId="25" fillId="0" borderId="10" xfId="2" applyNumberFormat="1" applyFont="1" applyFill="1" applyBorder="1" applyAlignment="1">
      <alignment horizontal="center" vertical="center" wrapText="1"/>
    </xf>
    <xf numFmtId="167" fontId="25" fillId="0" borderId="11" xfId="0" applyNumberFormat="1" applyFont="1" applyBorder="1" applyAlignment="1">
      <alignment horizontal="center" vertical="center"/>
    </xf>
    <xf numFmtId="43" fontId="25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10" fontId="2" fillId="0" borderId="8" xfId="2" applyNumberFormat="1" applyFont="1" applyFill="1" applyBorder="1" applyAlignment="1">
      <alignment horizontal="center" vertical="center"/>
    </xf>
    <xf numFmtId="10" fontId="2" fillId="0" borderId="11" xfId="2" applyNumberFormat="1" applyFont="1" applyFill="1" applyBorder="1" applyAlignment="1">
      <alignment horizontal="center" vertical="center"/>
    </xf>
    <xf numFmtId="10" fontId="2" fillId="0" borderId="6" xfId="2" applyNumberFormat="1" applyFont="1" applyFill="1" applyBorder="1" applyAlignment="1">
      <alignment horizontal="center" vertical="center"/>
    </xf>
    <xf numFmtId="10" fontId="2" fillId="0" borderId="9" xfId="2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left" vertical="center" wrapText="1"/>
    </xf>
    <xf numFmtId="8" fontId="2" fillId="0" borderId="10" xfId="0" applyNumberFormat="1" applyFont="1" applyBorder="1" applyAlignment="1">
      <alignment horizontal="right" vertical="center"/>
    </xf>
    <xf numFmtId="8" fontId="2" fillId="0" borderId="60" xfId="0" applyNumberFormat="1" applyFont="1" applyBorder="1" applyAlignment="1">
      <alignment horizontal="right" vertical="center"/>
    </xf>
    <xf numFmtId="0" fontId="18" fillId="4" borderId="7" xfId="0" applyFont="1" applyFill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8" fontId="18" fillId="4" borderId="7" xfId="0" applyNumberFormat="1" applyFont="1" applyFill="1" applyBorder="1" applyAlignment="1">
      <alignment horizontal="right" vertical="center"/>
    </xf>
    <xf numFmtId="8" fontId="18" fillId="4" borderId="45" xfId="0" applyNumberFormat="1" applyFont="1" applyFill="1" applyBorder="1" applyAlignment="1">
      <alignment horizontal="right" vertical="center"/>
    </xf>
    <xf numFmtId="0" fontId="20" fillId="0" borderId="7" xfId="0" applyFont="1" applyBorder="1" applyAlignment="1">
      <alignment horizontal="left" vertical="center" wrapText="1"/>
    </xf>
    <xf numFmtId="8" fontId="2" fillId="0" borderId="7" xfId="0" applyNumberFormat="1" applyFont="1" applyBorder="1" applyAlignment="1">
      <alignment horizontal="right" vertical="center"/>
    </xf>
    <xf numFmtId="8" fontId="2" fillId="0" borderId="45" xfId="0" applyNumberFormat="1" applyFont="1" applyBorder="1" applyAlignment="1">
      <alignment horizontal="right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left" vertical="center"/>
    </xf>
    <xf numFmtId="8" fontId="18" fillId="4" borderId="4" xfId="0" applyNumberFormat="1" applyFont="1" applyFill="1" applyBorder="1" applyAlignment="1">
      <alignment horizontal="right" vertical="center"/>
    </xf>
    <xf numFmtId="8" fontId="18" fillId="4" borderId="58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58" xfId="0" applyFont="1" applyFill="1" applyBorder="1" applyAlignment="1">
      <alignment horizontal="center" vertical="center" wrapText="1"/>
    </xf>
    <xf numFmtId="0" fontId="5" fillId="5" borderId="5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11" fillId="0" borderId="32" xfId="0" applyFont="1" applyBorder="1" applyAlignment="1">
      <alignment horizontal="right" vertical="center" indent="1"/>
    </xf>
    <xf numFmtId="0" fontId="11" fillId="0" borderId="7" xfId="0" applyFont="1" applyBorder="1" applyAlignment="1">
      <alignment horizontal="right" vertical="center" indent="1"/>
    </xf>
    <xf numFmtId="8" fontId="11" fillId="0" borderId="7" xfId="0" applyNumberFormat="1" applyFont="1" applyBorder="1" applyAlignment="1">
      <alignment horizontal="center" vertical="center"/>
    </xf>
    <xf numFmtId="10" fontId="10" fillId="0" borderId="8" xfId="2" applyNumberFormat="1" applyFont="1" applyBorder="1" applyAlignment="1">
      <alignment horizontal="center" vertical="center"/>
    </xf>
    <xf numFmtId="10" fontId="10" fillId="0" borderId="11" xfId="2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1" fillId="0" borderId="44" xfId="0" applyFont="1" applyBorder="1" applyAlignment="1">
      <alignment horizontal="right" vertical="center" indent="1"/>
    </xf>
    <xf numFmtId="0" fontId="11" fillId="0" borderId="10" xfId="0" applyFont="1" applyBorder="1" applyAlignment="1">
      <alignment horizontal="right" vertical="center" indent="1"/>
    </xf>
    <xf numFmtId="8" fontId="11" fillId="0" borderId="10" xfId="0" applyNumberFormat="1" applyFont="1" applyBorder="1" applyAlignment="1">
      <alignment horizontal="center" vertical="center"/>
    </xf>
    <xf numFmtId="166" fontId="2" fillId="0" borderId="30" xfId="0" applyNumberFormat="1" applyFont="1" applyBorder="1" applyAlignment="1">
      <alignment horizontal="left"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13" fillId="6" borderId="39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7" fillId="2" borderId="113" xfId="7" applyFont="1" applyFill="1" applyBorder="1" applyAlignment="1" applyProtection="1">
      <alignment horizontal="center" vertical="center"/>
      <protection hidden="1"/>
    </xf>
    <xf numFmtId="0" fontId="27" fillId="2" borderId="114" xfId="7" applyFont="1" applyFill="1" applyBorder="1" applyAlignment="1" applyProtection="1">
      <alignment horizontal="center" vertical="center"/>
      <protection hidden="1"/>
    </xf>
    <xf numFmtId="0" fontId="27" fillId="2" borderId="115" xfId="7" applyFont="1" applyFill="1" applyBorder="1" applyAlignment="1" applyProtection="1">
      <alignment horizontal="center" vertical="center"/>
      <protection hidden="1"/>
    </xf>
    <xf numFmtId="0" fontId="4" fillId="0" borderId="10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105" xfId="0" applyFont="1" applyBorder="1" applyAlignment="1">
      <alignment horizontal="right" vertical="center" wrapText="1"/>
    </xf>
    <xf numFmtId="0" fontId="5" fillId="0" borderId="28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106" xfId="0" applyFont="1" applyBorder="1" applyAlignment="1">
      <alignment horizontal="right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26" fillId="0" borderId="18" xfId="7" applyFont="1" applyBorder="1" applyAlignment="1" applyProtection="1">
      <alignment horizontal="center" vertical="center"/>
      <protection hidden="1"/>
    </xf>
    <xf numFmtId="0" fontId="26" fillId="0" borderId="1" xfId="7" applyFont="1" applyBorder="1" applyAlignment="1" applyProtection="1">
      <alignment horizontal="center" vertical="center"/>
      <protection hidden="1"/>
    </xf>
    <xf numFmtId="44" fontId="26" fillId="0" borderId="1" xfId="4" applyFont="1" applyBorder="1" applyAlignment="1" applyProtection="1">
      <alignment horizontal="right" vertical="center"/>
      <protection hidden="1"/>
    </xf>
    <xf numFmtId="44" fontId="26" fillId="0" borderId="1" xfId="7" applyNumberFormat="1" applyFont="1" applyBorder="1" applyAlignment="1" applyProtection="1">
      <alignment horizontal="right" vertical="center"/>
      <protection hidden="1"/>
    </xf>
    <xf numFmtId="0" fontId="4" fillId="0" borderId="108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105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06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5" fillId="0" borderId="107" xfId="0" applyFont="1" applyBorder="1" applyAlignment="1">
      <alignment horizontal="left" vertical="top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0" borderId="10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38" fontId="18" fillId="0" borderId="69" xfId="5" applyNumberFormat="1" applyFont="1" applyBorder="1" applyAlignment="1">
      <alignment horizontal="center" vertical="center"/>
    </xf>
    <xf numFmtId="38" fontId="18" fillId="0" borderId="70" xfId="5" applyNumberFormat="1" applyFont="1" applyBorder="1" applyAlignment="1">
      <alignment horizontal="center" vertical="center"/>
    </xf>
    <xf numFmtId="38" fontId="18" fillId="0" borderId="71" xfId="5" applyNumberFormat="1" applyFont="1" applyBorder="1" applyAlignment="1">
      <alignment horizontal="center" vertical="center"/>
    </xf>
    <xf numFmtId="38" fontId="18" fillId="0" borderId="76" xfId="5" applyNumberFormat="1" applyFont="1" applyBorder="1" applyAlignment="1">
      <alignment horizontal="center" vertical="center"/>
    </xf>
    <xf numFmtId="38" fontId="18" fillId="0" borderId="0" xfId="5" applyNumberFormat="1" applyFont="1" applyAlignment="1">
      <alignment horizontal="center" vertical="center"/>
    </xf>
    <xf numFmtId="38" fontId="18" fillId="0" borderId="29" xfId="5" applyNumberFormat="1" applyFont="1" applyBorder="1" applyAlignment="1">
      <alignment horizontal="center" vertical="center"/>
    </xf>
    <xf numFmtId="0" fontId="17" fillId="2" borderId="72" xfId="6" applyFont="1" applyFill="1" applyBorder="1" applyAlignment="1">
      <alignment horizontal="center" vertical="center"/>
    </xf>
    <xf numFmtId="0" fontId="17" fillId="2" borderId="73" xfId="6" applyFont="1" applyFill="1" applyBorder="1" applyAlignment="1">
      <alignment horizontal="center" vertical="center"/>
    </xf>
    <xf numFmtId="0" fontId="17" fillId="2" borderId="74" xfId="6" applyFont="1" applyFill="1" applyBorder="1" applyAlignment="1">
      <alignment horizontal="center" vertical="center"/>
    </xf>
    <xf numFmtId="0" fontId="5" fillId="7" borderId="69" xfId="5" applyFont="1" applyFill="1" applyBorder="1" applyAlignment="1">
      <alignment horizontal="center" vertical="center"/>
    </xf>
    <xf numFmtId="0" fontId="5" fillId="7" borderId="71" xfId="5" applyFont="1" applyFill="1" applyBorder="1" applyAlignment="1">
      <alignment horizontal="center" vertical="center"/>
    </xf>
    <xf numFmtId="0" fontId="5" fillId="7" borderId="78" xfId="5" applyFont="1" applyFill="1" applyBorder="1" applyAlignment="1">
      <alignment horizontal="center" vertical="center"/>
    </xf>
    <xf numFmtId="0" fontId="5" fillId="7" borderId="79" xfId="5" applyFont="1" applyFill="1" applyBorder="1" applyAlignment="1">
      <alignment horizontal="center" vertical="center"/>
    </xf>
    <xf numFmtId="0" fontId="5" fillId="2" borderId="75" xfId="5" applyFont="1" applyFill="1" applyBorder="1" applyAlignment="1">
      <alignment horizontal="center" vertical="center"/>
    </xf>
    <xf numFmtId="0" fontId="20" fillId="2" borderId="73" xfId="5" applyFont="1" applyFill="1" applyBorder="1" applyAlignment="1">
      <alignment vertical="center"/>
    </xf>
    <xf numFmtId="0" fontId="20" fillId="2" borderId="74" xfId="5" applyFont="1" applyFill="1" applyBorder="1" applyAlignment="1">
      <alignment vertical="center"/>
    </xf>
    <xf numFmtId="0" fontId="22" fillId="8" borderId="28" xfId="5" applyFont="1" applyFill="1" applyBorder="1" applyAlignment="1">
      <alignment horizontal="center" vertical="center"/>
    </xf>
    <xf numFmtId="0" fontId="22" fillId="8" borderId="0" xfId="5" applyFont="1" applyFill="1" applyAlignment="1">
      <alignment horizontal="center" vertical="center"/>
    </xf>
    <xf numFmtId="0" fontId="22" fillId="8" borderId="77" xfId="5" applyFont="1" applyFill="1" applyBorder="1" applyAlignment="1">
      <alignment horizontal="center" vertical="center"/>
    </xf>
    <xf numFmtId="171" fontId="22" fillId="10" borderId="76" xfId="5" applyNumberFormat="1" applyFont="1" applyFill="1" applyBorder="1" applyAlignment="1">
      <alignment horizontal="center" vertical="center"/>
    </xf>
    <xf numFmtId="171" fontId="23" fillId="8" borderId="0" xfId="5" applyNumberFormat="1" applyFont="1" applyFill="1" applyAlignment="1">
      <alignment vertical="center"/>
    </xf>
    <xf numFmtId="171" fontId="23" fillId="8" borderId="77" xfId="5" applyNumberFormat="1" applyFont="1" applyFill="1" applyBorder="1" applyAlignment="1">
      <alignment vertical="center"/>
    </xf>
    <xf numFmtId="0" fontId="17" fillId="2" borderId="82" xfId="6" applyFont="1" applyFill="1" applyBorder="1" applyAlignment="1">
      <alignment horizontal="center" vertical="center"/>
    </xf>
    <xf numFmtId="0" fontId="17" fillId="2" borderId="83" xfId="6" applyFont="1" applyFill="1" applyBorder="1" applyAlignment="1">
      <alignment horizontal="center" vertical="center"/>
    </xf>
    <xf numFmtId="0" fontId="17" fillId="2" borderId="84" xfId="6" applyFont="1" applyFill="1" applyBorder="1" applyAlignment="1">
      <alignment horizontal="center" vertical="center"/>
    </xf>
    <xf numFmtId="49" fontId="5" fillId="2" borderId="82" xfId="5" applyNumberFormat="1" applyFont="1" applyFill="1" applyBorder="1" applyAlignment="1">
      <alignment horizontal="center" vertical="center"/>
    </xf>
    <xf numFmtId="0" fontId="24" fillId="2" borderId="83" xfId="5" applyFont="1" applyFill="1" applyBorder="1" applyAlignment="1">
      <alignment vertical="center"/>
    </xf>
    <xf numFmtId="0" fontId="20" fillId="2" borderId="84" xfId="5" applyFont="1" applyFill="1" applyBorder="1" applyAlignment="1">
      <alignment vertical="center"/>
    </xf>
    <xf numFmtId="0" fontId="22" fillId="8" borderId="85" xfId="5" applyFont="1" applyFill="1" applyBorder="1" applyAlignment="1">
      <alignment horizontal="center" vertical="center"/>
    </xf>
    <xf numFmtId="0" fontId="22" fillId="8" borderId="86" xfId="5" applyFont="1" applyFill="1" applyBorder="1" applyAlignment="1">
      <alignment horizontal="center" vertical="center"/>
    </xf>
    <xf numFmtId="0" fontId="22" fillId="8" borderId="87" xfId="5" applyFont="1" applyFill="1" applyBorder="1" applyAlignment="1">
      <alignment horizontal="center" vertical="center"/>
    </xf>
    <xf numFmtId="14" fontId="22" fillId="10" borderId="76" xfId="5" applyNumberFormat="1" applyFont="1" applyFill="1" applyBorder="1" applyAlignment="1">
      <alignment horizontal="center" vertical="center"/>
    </xf>
    <xf numFmtId="0" fontId="23" fillId="8" borderId="0" xfId="5" applyFont="1" applyFill="1" applyAlignment="1">
      <alignment vertical="center"/>
    </xf>
    <xf numFmtId="0" fontId="23" fillId="8" borderId="77" xfId="5" applyFont="1" applyFill="1" applyBorder="1" applyAlignment="1">
      <alignment vertical="center"/>
    </xf>
    <xf numFmtId="0" fontId="5" fillId="2" borderId="92" xfId="5" applyFont="1" applyFill="1" applyBorder="1" applyAlignment="1">
      <alignment horizontal="center" vertical="center"/>
    </xf>
    <xf numFmtId="0" fontId="5" fillId="2" borderId="93" xfId="5" applyFont="1" applyFill="1" applyBorder="1" applyAlignment="1">
      <alignment horizontal="center" vertical="center"/>
    </xf>
    <xf numFmtId="0" fontId="5" fillId="2" borderId="94" xfId="5" applyFont="1" applyFill="1" applyBorder="1" applyAlignment="1">
      <alignment horizontal="center" vertical="center"/>
    </xf>
    <xf numFmtId="0" fontId="5" fillId="2" borderId="95" xfId="5" applyFont="1" applyFill="1" applyBorder="1" applyAlignment="1">
      <alignment horizontal="center" vertical="center"/>
    </xf>
    <xf numFmtId="0" fontId="20" fillId="0" borderId="97" xfId="6" applyFont="1" applyBorder="1" applyAlignment="1" applyProtection="1">
      <alignment horizontal="left" vertical="center"/>
      <protection locked="0"/>
    </xf>
    <xf numFmtId="0" fontId="20" fillId="0" borderId="98" xfId="6" applyFont="1" applyBorder="1" applyAlignment="1" applyProtection="1">
      <alignment horizontal="left" vertical="center"/>
      <protection locked="0"/>
    </xf>
    <xf numFmtId="0" fontId="20" fillId="0" borderId="99" xfId="6" applyFont="1" applyBorder="1" applyAlignment="1" applyProtection="1">
      <alignment horizontal="left" vertical="center"/>
      <protection locked="0"/>
    </xf>
    <xf numFmtId="0" fontId="22" fillId="0" borderId="28" xfId="5" applyFont="1" applyBorder="1" applyAlignment="1" applyProtection="1">
      <alignment horizontal="left" vertical="center" wrapText="1"/>
      <protection locked="0"/>
    </xf>
    <xf numFmtId="0" fontId="22" fillId="0" borderId="0" xfId="5" applyFont="1" applyAlignment="1" applyProtection="1">
      <alignment horizontal="left" vertical="center" wrapText="1"/>
      <protection locked="0"/>
    </xf>
    <xf numFmtId="0" fontId="22" fillId="0" borderId="77" xfId="5" applyFont="1" applyBorder="1" applyAlignment="1" applyProtection="1">
      <alignment horizontal="left" vertical="center" wrapText="1"/>
      <protection locked="0"/>
    </xf>
    <xf numFmtId="0" fontId="22" fillId="8" borderId="76" xfId="5" applyFont="1" applyFill="1" applyBorder="1" applyAlignment="1">
      <alignment horizontal="center" vertical="center"/>
    </xf>
    <xf numFmtId="0" fontId="8" fillId="8" borderId="101" xfId="3" applyFill="1" applyBorder="1" applyAlignment="1" applyProtection="1">
      <alignment horizontal="left" vertical="center"/>
      <protection locked="0"/>
    </xf>
    <xf numFmtId="0" fontId="20" fillId="8" borderId="101" xfId="6" applyFont="1" applyFill="1" applyBorder="1" applyAlignment="1" applyProtection="1">
      <alignment horizontal="left" vertical="center"/>
      <protection locked="0"/>
    </xf>
    <xf numFmtId="0" fontId="20" fillId="8" borderId="102" xfId="6" applyFont="1" applyFill="1" applyBorder="1" applyAlignment="1" applyProtection="1">
      <alignment horizontal="left" vertical="center"/>
      <protection locked="0"/>
    </xf>
    <xf numFmtId="0" fontId="20" fillId="0" borderId="89" xfId="6" applyFont="1" applyBorder="1" applyAlignment="1" applyProtection="1">
      <alignment horizontal="left" vertical="center"/>
      <protection locked="0"/>
    </xf>
    <xf numFmtId="0" fontId="20" fillId="0" borderId="90" xfId="6" applyFont="1" applyBorder="1" applyAlignment="1" applyProtection="1">
      <alignment horizontal="left" vertical="center"/>
      <protection locked="0"/>
    </xf>
    <xf numFmtId="0" fontId="20" fillId="0" borderId="91" xfId="6" applyFont="1" applyBorder="1" applyAlignment="1" applyProtection="1">
      <alignment horizontal="left" vertical="center"/>
      <protection locked="0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 wrapText="1"/>
    </xf>
    <xf numFmtId="0" fontId="5" fillId="3" borderId="52" xfId="0" applyFont="1" applyFill="1" applyBorder="1" applyAlignment="1">
      <alignment horizontal="center" vertical="center" wrapText="1"/>
    </xf>
    <xf numFmtId="0" fontId="5" fillId="3" borderId="55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  <xf numFmtId="0" fontId="5" fillId="3" borderId="48" xfId="0" applyFont="1" applyFill="1" applyBorder="1" applyAlignment="1">
      <alignment horizontal="center" vertical="center" wrapText="1"/>
    </xf>
    <xf numFmtId="0" fontId="5" fillId="3" borderId="61" xfId="0" applyFont="1" applyFill="1" applyBorder="1" applyAlignment="1">
      <alignment horizontal="center" vertical="center" wrapText="1"/>
    </xf>
    <xf numFmtId="0" fontId="5" fillId="3" borderId="66" xfId="0" applyFont="1" applyFill="1" applyBorder="1" applyAlignment="1">
      <alignment horizontal="center" vertical="center" wrapText="1"/>
    </xf>
    <xf numFmtId="0" fontId="5" fillId="3" borderId="53" xfId="0" applyFont="1" applyFill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 wrapText="1"/>
    </xf>
    <xf numFmtId="0" fontId="5" fillId="3" borderId="62" xfId="0" applyFont="1" applyFill="1" applyBorder="1" applyAlignment="1">
      <alignment horizontal="center" vertical="center" wrapText="1"/>
    </xf>
    <xf numFmtId="0" fontId="5" fillId="3" borderId="63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8" fontId="11" fillId="0" borderId="1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8" fontId="2" fillId="0" borderId="10" xfId="0" applyNumberFormat="1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6" fillId="5" borderId="124" xfId="0" applyFont="1" applyFill="1" applyBorder="1" applyAlignment="1">
      <alignment horizontal="center" vertical="center" wrapText="1"/>
    </xf>
    <xf numFmtId="0" fontId="6" fillId="5" borderId="125" xfId="0" applyFont="1" applyFill="1" applyBorder="1" applyAlignment="1">
      <alignment horizontal="center" vertical="center" wrapText="1"/>
    </xf>
    <xf numFmtId="0" fontId="6" fillId="5" borderId="128" xfId="0" applyFont="1" applyFill="1" applyBorder="1" applyAlignment="1">
      <alignment horizontal="center" vertical="center" wrapText="1"/>
    </xf>
    <xf numFmtId="0" fontId="6" fillId="5" borderId="129" xfId="0" applyFont="1" applyFill="1" applyBorder="1" applyAlignment="1">
      <alignment horizontal="center" vertical="center" wrapText="1"/>
    </xf>
    <xf numFmtId="0" fontId="11" fillId="2" borderId="119" xfId="0" applyFont="1" applyFill="1" applyBorder="1" applyAlignment="1">
      <alignment horizontal="center" vertical="center"/>
    </xf>
    <xf numFmtId="0" fontId="11" fillId="2" borderId="120" xfId="0" applyFont="1" applyFill="1" applyBorder="1" applyAlignment="1">
      <alignment horizontal="center" vertical="center"/>
    </xf>
    <xf numFmtId="0" fontId="11" fillId="2" borderId="121" xfId="0" applyFont="1" applyFill="1" applyBorder="1" applyAlignment="1">
      <alignment horizontal="center" vertical="center"/>
    </xf>
    <xf numFmtId="0" fontId="6" fillId="5" borderId="122" xfId="0" applyFont="1" applyFill="1" applyBorder="1" applyAlignment="1">
      <alignment horizontal="center" vertical="center"/>
    </xf>
    <xf numFmtId="0" fontId="6" fillId="5" borderId="127" xfId="0" applyFont="1" applyFill="1" applyBorder="1" applyAlignment="1">
      <alignment horizontal="center" vertical="center"/>
    </xf>
    <xf numFmtId="0" fontId="6" fillId="5" borderId="131" xfId="0" applyFont="1" applyFill="1" applyBorder="1" applyAlignment="1">
      <alignment horizontal="center" vertical="center"/>
    </xf>
    <xf numFmtId="0" fontId="6" fillId="5" borderId="123" xfId="0" applyFont="1" applyFill="1" applyBorder="1" applyAlignment="1">
      <alignment horizontal="center" vertical="center"/>
    </xf>
    <xf numFmtId="0" fontId="6" fillId="5" borderId="65" xfId="0" applyFont="1" applyFill="1" applyBorder="1" applyAlignment="1">
      <alignment horizontal="center" vertical="center"/>
    </xf>
    <xf numFmtId="0" fontId="6" fillId="5" borderId="132" xfId="0" applyFont="1" applyFill="1" applyBorder="1" applyAlignment="1">
      <alignment horizontal="center" vertical="center"/>
    </xf>
    <xf numFmtId="44" fontId="6" fillId="5" borderId="123" xfId="4" applyFont="1" applyFill="1" applyBorder="1" applyAlignment="1">
      <alignment horizontal="center" vertical="center" wrapText="1"/>
    </xf>
    <xf numFmtId="44" fontId="6" fillId="5" borderId="16" xfId="4" applyFont="1" applyFill="1" applyBorder="1" applyAlignment="1">
      <alignment horizontal="center" vertical="center" wrapText="1"/>
    </xf>
    <xf numFmtId="10" fontId="6" fillId="5" borderId="124" xfId="2" applyNumberFormat="1" applyFont="1" applyFill="1" applyBorder="1" applyAlignment="1">
      <alignment horizontal="center" vertical="center" wrapText="1"/>
    </xf>
    <xf numFmtId="10" fontId="6" fillId="5" borderId="126" xfId="2" applyNumberFormat="1" applyFont="1" applyFill="1" applyBorder="1" applyAlignment="1">
      <alignment horizontal="center" vertical="center" wrapText="1"/>
    </xf>
    <xf numFmtId="10" fontId="6" fillId="5" borderId="128" xfId="2" applyNumberFormat="1" applyFont="1" applyFill="1" applyBorder="1" applyAlignment="1">
      <alignment horizontal="center" vertical="center" wrapText="1"/>
    </xf>
    <xf numFmtId="10" fontId="6" fillId="5" borderId="130" xfId="2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7" xfId="0" applyFont="1" applyFill="1" applyBorder="1" applyAlignment="1">
      <alignment horizontal="right" vertical="center"/>
    </xf>
    <xf numFmtId="8" fontId="6" fillId="4" borderId="5" xfId="4" applyNumberFormat="1" applyFont="1" applyFill="1" applyBorder="1" applyAlignment="1">
      <alignment horizontal="center" vertical="center"/>
    </xf>
    <xf numFmtId="8" fontId="6" fillId="4" borderId="8" xfId="4" applyNumberFormat="1" applyFont="1" applyFill="1" applyBorder="1" applyAlignment="1">
      <alignment horizontal="center" vertical="center"/>
    </xf>
    <xf numFmtId="0" fontId="6" fillId="4" borderId="135" xfId="0" applyFont="1" applyFill="1" applyBorder="1" applyAlignment="1">
      <alignment horizontal="center" vertical="center" wrapText="1"/>
    </xf>
    <xf numFmtId="0" fontId="6" fillId="4" borderId="136" xfId="0" applyFont="1" applyFill="1" applyBorder="1" applyAlignment="1">
      <alignment horizontal="center" vertical="center" wrapText="1"/>
    </xf>
    <xf numFmtId="0" fontId="6" fillId="4" borderId="137" xfId="0" applyFont="1" applyFill="1" applyBorder="1" applyAlignment="1">
      <alignment horizontal="center" vertical="center" wrapText="1"/>
    </xf>
    <xf numFmtId="10" fontId="6" fillId="4" borderId="3" xfId="2" applyNumberFormat="1" applyFont="1" applyFill="1" applyBorder="1" applyAlignment="1">
      <alignment horizontal="center" vertical="center"/>
    </xf>
    <xf numFmtId="10" fontId="6" fillId="4" borderId="5" xfId="2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right" vertical="center"/>
    </xf>
    <xf numFmtId="0" fontId="6" fillId="4" borderId="10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8" fontId="3" fillId="0" borderId="37" xfId="0" applyNumberFormat="1" applyFont="1" applyBorder="1" applyAlignment="1">
      <alignment horizontal="center" vertical="center" wrapText="1"/>
    </xf>
    <xf numFmtId="8" fontId="3" fillId="0" borderId="38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 wrapText="1"/>
    </xf>
    <xf numFmtId="0" fontId="4" fillId="2" borderId="3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43" fontId="4" fillId="2" borderId="31" xfId="1" applyFont="1" applyFill="1" applyBorder="1" applyAlignment="1">
      <alignment horizontal="center" vertical="center"/>
    </xf>
    <xf numFmtId="43" fontId="4" fillId="2" borderId="35" xfId="1" applyFont="1" applyFill="1" applyBorder="1" applyAlignment="1">
      <alignment horizontal="center" vertical="center"/>
    </xf>
    <xf numFmtId="8" fontId="3" fillId="0" borderId="16" xfId="1" applyNumberFormat="1" applyFont="1" applyBorder="1" applyAlignment="1">
      <alignment horizontal="center" vertical="center"/>
    </xf>
    <xf numFmtId="8" fontId="3" fillId="0" borderId="17" xfId="1" applyNumberFormat="1" applyFont="1" applyBorder="1" applyAlignment="1">
      <alignment horizontal="center" vertical="center"/>
    </xf>
    <xf numFmtId="8" fontId="3" fillId="0" borderId="7" xfId="1" applyNumberFormat="1" applyFont="1" applyBorder="1" applyAlignment="1">
      <alignment horizontal="center" vertical="center"/>
    </xf>
    <xf numFmtId="8" fontId="3" fillId="0" borderId="8" xfId="1" applyNumberFormat="1" applyFont="1" applyBorder="1" applyAlignment="1">
      <alignment horizontal="center" vertical="center"/>
    </xf>
    <xf numFmtId="165" fontId="3" fillId="0" borderId="45" xfId="0" applyNumberFormat="1" applyFont="1" applyBorder="1" applyAlignment="1">
      <alignment horizontal="center" vertical="center"/>
    </xf>
    <xf numFmtId="165" fontId="3" fillId="0" borderId="32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 indent="1"/>
    </xf>
    <xf numFmtId="0" fontId="3" fillId="0" borderId="16" xfId="0" applyFont="1" applyBorder="1" applyAlignment="1">
      <alignment horizontal="right" vertical="center" indent="1"/>
    </xf>
    <xf numFmtId="0" fontId="3" fillId="0" borderId="6" xfId="0" applyFont="1" applyBorder="1" applyAlignment="1">
      <alignment horizontal="right" vertical="center" indent="1"/>
    </xf>
    <xf numFmtId="0" fontId="3" fillId="0" borderId="7" xfId="0" applyFont="1" applyBorder="1" applyAlignment="1">
      <alignment horizontal="right" vertical="center" indent="1"/>
    </xf>
    <xf numFmtId="0" fontId="6" fillId="0" borderId="9" xfId="0" applyFont="1" applyBorder="1" applyAlignment="1">
      <alignment horizontal="right" vertical="center" indent="1"/>
    </xf>
    <xf numFmtId="0" fontId="6" fillId="0" borderId="10" xfId="0" applyFont="1" applyBorder="1" applyAlignment="1">
      <alignment horizontal="right" vertical="center" indent="1"/>
    </xf>
    <xf numFmtId="165" fontId="3" fillId="0" borderId="1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 indent="1"/>
    </xf>
    <xf numFmtId="0" fontId="7" fillId="0" borderId="7" xfId="0" applyFont="1" applyBorder="1" applyAlignment="1">
      <alignment horizontal="right" vertical="center" indent="1"/>
    </xf>
    <xf numFmtId="165" fontId="7" fillId="0" borderId="7" xfId="0" applyNumberFormat="1" applyFont="1" applyBorder="1" applyAlignment="1">
      <alignment horizontal="center" vertical="center"/>
    </xf>
    <xf numFmtId="8" fontId="7" fillId="0" borderId="7" xfId="1" applyNumberFormat="1" applyFont="1" applyBorder="1" applyAlignment="1">
      <alignment horizontal="center" vertical="center"/>
    </xf>
    <xf numFmtId="8" fontId="7" fillId="0" borderId="8" xfId="1" applyNumberFormat="1" applyFont="1" applyBorder="1" applyAlignment="1">
      <alignment horizontal="center" vertical="center"/>
    </xf>
    <xf numFmtId="8" fontId="3" fillId="0" borderId="10" xfId="1" applyNumberFormat="1" applyFont="1" applyBorder="1" applyAlignment="1">
      <alignment horizontal="center" vertical="center"/>
    </xf>
    <xf numFmtId="8" fontId="3" fillId="0" borderId="11" xfId="1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165" fontId="29" fillId="0" borderId="45" xfId="0" applyNumberFormat="1" applyFont="1" applyBorder="1" applyAlignment="1">
      <alignment horizontal="center" vertical="center"/>
    </xf>
    <xf numFmtId="165" fontId="29" fillId="0" borderId="32" xfId="0" applyNumberFormat="1" applyFont="1" applyBorder="1" applyAlignment="1">
      <alignment horizontal="center" vertical="center"/>
    </xf>
    <xf numFmtId="8" fontId="29" fillId="0" borderId="7" xfId="1" applyNumberFormat="1" applyFont="1" applyBorder="1" applyAlignment="1">
      <alignment horizontal="center" vertical="center"/>
    </xf>
    <xf numFmtId="8" fontId="29" fillId="0" borderId="8" xfId="1" applyNumberFormat="1" applyFont="1" applyBorder="1" applyAlignment="1">
      <alignment horizontal="center" vertical="center"/>
    </xf>
    <xf numFmtId="0" fontId="3" fillId="0" borderId="45" xfId="0" applyFont="1" applyBorder="1" applyAlignment="1">
      <alignment horizontal="left" vertical="center"/>
    </xf>
    <xf numFmtId="0" fontId="3" fillId="0" borderId="53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center" vertical="center" wrapText="1"/>
    </xf>
    <xf numFmtId="0" fontId="4" fillId="5" borderId="37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" fontId="6" fillId="0" borderId="28" xfId="0" applyNumberFormat="1" applyFont="1" applyBorder="1" applyAlignment="1">
      <alignment horizontal="left" vertical="center"/>
    </xf>
  </cellXfs>
  <cellStyles count="9">
    <cellStyle name="Hiperlink" xfId="3" builtinId="8"/>
    <cellStyle name="Moeda" xfId="4" builtinId="4"/>
    <cellStyle name="Moeda 3 3" xfId="8" xr:uid="{5027E78A-3950-4510-9352-FA609C82B07F}"/>
    <cellStyle name="Normal" xfId="0" builtinId="0"/>
    <cellStyle name="Normal 2" xfId="5" xr:uid="{2486C258-7C86-4EA5-8AB2-6D67831F66DC}"/>
    <cellStyle name="Normal 5 4" xfId="7" xr:uid="{5F37F8CE-CDE9-45E3-8803-2001BB102EAD}"/>
    <cellStyle name="Normal_Medições" xfId="6" xr:uid="{4C581E43-6FEC-42D4-A44E-15E5D22C692E}"/>
    <cellStyle name="Porcentagem" xfId="2" builtinId="5"/>
    <cellStyle name="Vírgula" xfId="1" builtinId="3"/>
  </cellStyles>
  <dxfs count="123"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ont>
        <b val="0"/>
        <i val="0"/>
        <strike val="0"/>
        <color rgb="FFC00000"/>
      </font>
    </dxf>
    <dxf>
      <font>
        <b/>
        <i val="0"/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microsoft.com/office/2017/06/relationships/rdRichValue" Target="richData/rdrichvalue.xml"/><Relationship Id="rId89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3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85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microsoft.com/office/2022/10/relationships/richValueRel" Target="richData/richValueRel.xml"/><Relationship Id="rId88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86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sheetMetadata" Target="metadata.xml"/><Relationship Id="rId19" Type="http://schemas.openxmlformats.org/officeDocument/2006/relationships/worksheet" Target="worksheets/sheet19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RESUMO!A1"/><Relationship Id="rId2" Type="http://schemas.openxmlformats.org/officeDocument/2006/relationships/hyperlink" Target="#PQ!A1"/><Relationship Id="rId1" Type="http://schemas.openxmlformats.org/officeDocument/2006/relationships/hyperlink" Target="#CAPA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2</xdr:row>
          <xdr:rowOff>142875</xdr:rowOff>
        </xdr:from>
        <xdr:to>
          <xdr:col>14</xdr:col>
          <xdr:colOff>590550</xdr:colOff>
          <xdr:row>4</xdr:row>
          <xdr:rowOff>38100</xdr:rowOff>
        </xdr:to>
        <xdr:sp macro="" textlink="">
          <xdr:nvSpPr>
            <xdr:cNvPr id="1028" name="Caixa de seleção 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INTERMEDIÁRIA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3</xdr:row>
          <xdr:rowOff>133350</xdr:rowOff>
        </xdr:from>
        <xdr:to>
          <xdr:col>14</xdr:col>
          <xdr:colOff>581025</xdr:colOff>
          <xdr:row>5</xdr:row>
          <xdr:rowOff>28575</xdr:rowOff>
        </xdr:to>
        <xdr:sp macro="" textlink="">
          <xdr:nvSpPr>
            <xdr:cNvPr id="1029" name="Caixa de seleção 3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FINAL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1</xdr:row>
          <xdr:rowOff>133350</xdr:rowOff>
        </xdr:from>
        <xdr:to>
          <xdr:col>14</xdr:col>
          <xdr:colOff>609600</xdr:colOff>
          <xdr:row>3</xdr:row>
          <xdr:rowOff>66675</xdr:rowOff>
        </xdr:to>
        <xdr:sp macro="" textlink="">
          <xdr:nvSpPr>
            <xdr:cNvPr id="1030" name="Caixa de seleção 1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INICIAL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226218</xdr:colOff>
      <xdr:row>132</xdr:row>
      <xdr:rowOff>105046</xdr:rowOff>
    </xdr:from>
    <xdr:to>
      <xdr:col>8</xdr:col>
      <xdr:colOff>736283</xdr:colOff>
      <xdr:row>138</xdr:row>
      <xdr:rowOff>109769</xdr:rowOff>
    </xdr:to>
    <xdr:grpSp>
      <xdr:nvGrpSpPr>
        <xdr:cNvPr id="2" name="Grupo 59">
          <a:extLst>
            <a:ext uri="{FF2B5EF4-FFF2-40B4-BE49-F238E27FC236}">
              <a16:creationId xmlns:a16="http://schemas.microsoft.com/office/drawing/2014/main" id="{DEA4CCCC-09F0-4755-9BE5-BF255353BA15}"/>
            </a:ext>
          </a:extLst>
        </xdr:cNvPr>
        <xdr:cNvGrpSpPr/>
      </xdr:nvGrpSpPr>
      <xdr:grpSpPr>
        <a:xfrm>
          <a:off x="940593" y="25251046"/>
          <a:ext cx="10111265" cy="1490623"/>
          <a:chOff x="738188" y="16406812"/>
          <a:chExt cx="4191000" cy="1119187"/>
        </a:xfrm>
      </xdr:grpSpPr>
      <xdr:sp macro="" textlink="">
        <xdr:nvSpPr>
          <xdr:cNvPr id="3" name="Text Box 81">
            <a:extLst>
              <a:ext uri="{FF2B5EF4-FFF2-40B4-BE49-F238E27FC236}">
                <a16:creationId xmlns:a16="http://schemas.microsoft.com/office/drawing/2014/main" id="{7543CF5C-7DC3-3537-3395-1CD1B688BB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47890" y="17199768"/>
            <a:ext cx="2445544" cy="20955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r" rtl="0">
              <a:defRPr sz="1000"/>
            </a:pPr>
            <a:r>
              <a:rPr lang="pt-BR" sz="1100" b="0" i="0" u="none" strike="noStrike" baseline="0">
                <a:solidFill>
                  <a:srgbClr val="000000"/>
                </a:solidFill>
                <a:latin typeface="Calibri"/>
              </a:rPr>
              <a:t>____ / ____ / ____</a:t>
            </a:r>
          </a:p>
        </xdr:txBody>
      </xdr:sp>
      <xdr:sp macro="" textlink="">
        <xdr:nvSpPr>
          <xdr:cNvPr id="4" name="Text Box 82">
            <a:extLst>
              <a:ext uri="{FF2B5EF4-FFF2-40B4-BE49-F238E27FC236}">
                <a16:creationId xmlns:a16="http://schemas.microsoft.com/office/drawing/2014/main" id="{3633CBC4-B24E-E167-D63E-332EA7E4C87C}"/>
              </a:ext>
            </a:extLst>
          </xdr:cNvPr>
          <xdr:cNvSpPr txBox="1">
            <a:spLocks noChangeArrowheads="1"/>
          </xdr:cNvSpPr>
        </xdr:nvSpPr>
        <xdr:spPr bwMode="auto">
          <a:xfrm>
            <a:off x="788194" y="16492538"/>
            <a:ext cx="786697" cy="18582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0">
              <a:defRPr sz="1000"/>
            </a:pPr>
            <a:r>
              <a:rPr lang="pt-BR" sz="1100" b="0" i="0" u="none" strike="noStrike" baseline="0">
                <a:solidFill>
                  <a:srgbClr val="000000"/>
                </a:solidFill>
                <a:latin typeface="Calibri"/>
              </a:rPr>
              <a:t>GESTOR DA CONTRATADA</a:t>
            </a:r>
          </a:p>
        </xdr:txBody>
      </xdr:sp>
      <xdr:cxnSp macro="">
        <xdr:nvCxnSpPr>
          <xdr:cNvPr id="5" name="Conector reto 26">
            <a:extLst>
              <a:ext uri="{FF2B5EF4-FFF2-40B4-BE49-F238E27FC236}">
                <a16:creationId xmlns:a16="http://schemas.microsoft.com/office/drawing/2014/main" id="{C4A9BD74-6BC4-B438-3595-6DFFBFA9F4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85953" y="16966425"/>
            <a:ext cx="2857500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FB4484BA-F13A-054E-0148-AD3D9949E0B2}"/>
              </a:ext>
            </a:extLst>
          </xdr:cNvPr>
          <xdr:cNvSpPr/>
        </xdr:nvSpPr>
        <xdr:spPr>
          <a:xfrm>
            <a:off x="738188" y="16406812"/>
            <a:ext cx="4191000" cy="1119187"/>
          </a:xfrm>
          <a:prstGeom prst="rect">
            <a:avLst/>
          </a:prstGeom>
          <a:noFill/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9</xdr:col>
      <xdr:colOff>83343</xdr:colOff>
      <xdr:row>132</xdr:row>
      <xdr:rowOff>93138</xdr:rowOff>
    </xdr:from>
    <xdr:to>
      <xdr:col>18</xdr:col>
      <xdr:colOff>952</xdr:colOff>
      <xdr:row>138</xdr:row>
      <xdr:rowOff>103576</xdr:rowOff>
    </xdr:to>
    <xdr:grpSp>
      <xdr:nvGrpSpPr>
        <xdr:cNvPr id="8" name="Grupo 75">
          <a:extLst>
            <a:ext uri="{FF2B5EF4-FFF2-40B4-BE49-F238E27FC236}">
              <a16:creationId xmlns:a16="http://schemas.microsoft.com/office/drawing/2014/main" id="{1ECC1442-00A9-4E33-AC55-A7B6D5E4959C}"/>
            </a:ext>
          </a:extLst>
        </xdr:cNvPr>
        <xdr:cNvGrpSpPr/>
      </xdr:nvGrpSpPr>
      <xdr:grpSpPr>
        <a:xfrm>
          <a:off x="11446668" y="25239138"/>
          <a:ext cx="9347359" cy="1496338"/>
          <a:chOff x="738188" y="16406812"/>
          <a:chExt cx="4191000" cy="1119187"/>
        </a:xfrm>
      </xdr:grpSpPr>
      <xdr:sp macro="" textlink="">
        <xdr:nvSpPr>
          <xdr:cNvPr id="10" name="Text Box 81">
            <a:extLst>
              <a:ext uri="{FF2B5EF4-FFF2-40B4-BE49-F238E27FC236}">
                <a16:creationId xmlns:a16="http://schemas.microsoft.com/office/drawing/2014/main" id="{31F5647C-626B-7A6F-A1C8-D808B391AD5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47890" y="17199769"/>
            <a:ext cx="2445544" cy="20955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r" rtl="0">
              <a:defRPr sz="1000"/>
            </a:pPr>
            <a:r>
              <a:rPr lang="pt-BR" sz="1100" b="0" i="0" u="none" strike="noStrike" baseline="0">
                <a:solidFill>
                  <a:srgbClr val="000000"/>
                </a:solidFill>
                <a:latin typeface="Calibri"/>
              </a:rPr>
              <a:t>____ / ____ / ____</a:t>
            </a:r>
          </a:p>
        </xdr:txBody>
      </xdr:sp>
      <xdr:sp macro="" textlink="">
        <xdr:nvSpPr>
          <xdr:cNvPr id="11" name="Text Box 82">
            <a:extLst>
              <a:ext uri="{FF2B5EF4-FFF2-40B4-BE49-F238E27FC236}">
                <a16:creationId xmlns:a16="http://schemas.microsoft.com/office/drawing/2014/main" id="{42D27815-02A8-EB4C-FA67-CBDB2835AF75}"/>
              </a:ext>
            </a:extLst>
          </xdr:cNvPr>
          <xdr:cNvSpPr txBox="1">
            <a:spLocks noChangeArrowheads="1"/>
          </xdr:cNvSpPr>
        </xdr:nvSpPr>
        <xdr:spPr bwMode="auto">
          <a:xfrm>
            <a:off x="788194" y="16492538"/>
            <a:ext cx="804171" cy="18582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0">
              <a:defRPr sz="1000"/>
            </a:pPr>
            <a:r>
              <a:rPr lang="pt-BR" sz="1100" b="0" i="0" u="none" strike="noStrike" baseline="0">
                <a:solidFill>
                  <a:srgbClr val="000000"/>
                </a:solidFill>
                <a:latin typeface="Calibri"/>
              </a:rPr>
              <a:t>GESTOR DA CONTRATANTE</a:t>
            </a:r>
          </a:p>
        </xdr:txBody>
      </xdr:sp>
      <xdr:cxnSp macro="">
        <xdr:nvCxnSpPr>
          <xdr:cNvPr id="12" name="Conector reto 26">
            <a:extLst>
              <a:ext uri="{FF2B5EF4-FFF2-40B4-BE49-F238E27FC236}">
                <a16:creationId xmlns:a16="http://schemas.microsoft.com/office/drawing/2014/main" id="{EE7A3B07-D1AD-E120-0CBF-C60FEF8852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785953" y="16966425"/>
            <a:ext cx="2857500" cy="0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AF04E448-EAB6-3BA3-E10B-826191DDE0AE}"/>
              </a:ext>
            </a:extLst>
          </xdr:cNvPr>
          <xdr:cNvSpPr/>
        </xdr:nvSpPr>
        <xdr:spPr>
          <a:xfrm>
            <a:off x="738188" y="16406812"/>
            <a:ext cx="4191000" cy="1119187"/>
          </a:xfrm>
          <a:prstGeom prst="rect">
            <a:avLst/>
          </a:prstGeom>
          <a:noFill/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329005</xdr:colOff>
      <xdr:row>2</xdr:row>
      <xdr:rowOff>53788</xdr:rowOff>
    </xdr:from>
    <xdr:to>
      <xdr:col>16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A5557F-1F89-7D01-E25A-8BDEFB11BE77}"/>
            </a:ext>
          </a:extLst>
        </xdr:cNvPr>
        <xdr:cNvSpPr/>
      </xdr:nvSpPr>
      <xdr:spPr>
        <a:xfrm>
          <a:off x="123762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15</xdr:col>
      <xdr:colOff>332521</xdr:colOff>
      <xdr:row>3</xdr:row>
      <xdr:rowOff>137024</xdr:rowOff>
    </xdr:from>
    <xdr:to>
      <xdr:col>16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4B382D-6210-44DB-B149-49DC47E496B3}"/>
            </a:ext>
          </a:extLst>
        </xdr:cNvPr>
        <xdr:cNvSpPr/>
      </xdr:nvSpPr>
      <xdr:spPr>
        <a:xfrm>
          <a:off x="12377983" y="775932"/>
          <a:ext cx="873023" cy="22928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15</xdr:col>
      <xdr:colOff>338378</xdr:colOff>
      <xdr:row>5</xdr:row>
      <xdr:rowOff>19798</xdr:rowOff>
    </xdr:from>
    <xdr:to>
      <xdr:col>16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4AE33D-29ED-4B07-B7AA-2CDE68D6088E}"/>
            </a:ext>
          </a:extLst>
        </xdr:cNvPr>
        <xdr:cNvSpPr/>
      </xdr:nvSpPr>
      <xdr:spPr>
        <a:xfrm>
          <a:off x="12383840" y="1045567"/>
          <a:ext cx="873023" cy="22928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329005</xdr:colOff>
      <xdr:row>2</xdr:row>
      <xdr:rowOff>53788</xdr:rowOff>
    </xdr:from>
    <xdr:to>
      <xdr:col>16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404AE7-9333-44DC-ABD4-76CE40E720B2}"/>
            </a:ext>
          </a:extLst>
        </xdr:cNvPr>
        <xdr:cNvSpPr/>
      </xdr:nvSpPr>
      <xdr:spPr>
        <a:xfrm>
          <a:off x="123762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15</xdr:col>
      <xdr:colOff>332521</xdr:colOff>
      <xdr:row>3</xdr:row>
      <xdr:rowOff>137024</xdr:rowOff>
    </xdr:from>
    <xdr:to>
      <xdr:col>16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CEA442-BCAB-4813-8A00-069AFE428701}"/>
            </a:ext>
          </a:extLst>
        </xdr:cNvPr>
        <xdr:cNvSpPr/>
      </xdr:nvSpPr>
      <xdr:spPr>
        <a:xfrm>
          <a:off x="123797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15</xdr:col>
      <xdr:colOff>338378</xdr:colOff>
      <xdr:row>5</xdr:row>
      <xdr:rowOff>19798</xdr:rowOff>
    </xdr:from>
    <xdr:to>
      <xdr:col>16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54BEFE-E1E1-4957-9236-BA25908A54FA}"/>
            </a:ext>
          </a:extLst>
        </xdr:cNvPr>
        <xdr:cNvSpPr/>
      </xdr:nvSpPr>
      <xdr:spPr>
        <a:xfrm>
          <a:off x="123855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329005</xdr:colOff>
      <xdr:row>2</xdr:row>
      <xdr:rowOff>53788</xdr:rowOff>
    </xdr:from>
    <xdr:to>
      <xdr:col>16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92285B-349F-4F62-B07F-B6FDC33F8E65}"/>
            </a:ext>
          </a:extLst>
        </xdr:cNvPr>
        <xdr:cNvSpPr/>
      </xdr:nvSpPr>
      <xdr:spPr>
        <a:xfrm>
          <a:off x="123762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15</xdr:col>
      <xdr:colOff>332521</xdr:colOff>
      <xdr:row>3</xdr:row>
      <xdr:rowOff>137024</xdr:rowOff>
    </xdr:from>
    <xdr:to>
      <xdr:col>16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8A2A0C-E82E-4D63-A559-6BDB57B799E0}"/>
            </a:ext>
          </a:extLst>
        </xdr:cNvPr>
        <xdr:cNvSpPr/>
      </xdr:nvSpPr>
      <xdr:spPr>
        <a:xfrm>
          <a:off x="123797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15</xdr:col>
      <xdr:colOff>338378</xdr:colOff>
      <xdr:row>5</xdr:row>
      <xdr:rowOff>19798</xdr:rowOff>
    </xdr:from>
    <xdr:to>
      <xdr:col>16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44518A-852A-425E-BD4A-F1B19A507371}"/>
            </a:ext>
          </a:extLst>
        </xdr:cNvPr>
        <xdr:cNvSpPr/>
      </xdr:nvSpPr>
      <xdr:spPr>
        <a:xfrm>
          <a:off x="123855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C4F3FF-6B53-46F0-8555-76B62C8F121C}"/>
            </a:ext>
          </a:extLst>
        </xdr:cNvPr>
        <xdr:cNvSpPr/>
      </xdr:nvSpPr>
      <xdr:spPr>
        <a:xfrm>
          <a:off x="123762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59B594-F030-4B19-8488-C12ABE1DCC36}"/>
            </a:ext>
          </a:extLst>
        </xdr:cNvPr>
        <xdr:cNvSpPr/>
      </xdr:nvSpPr>
      <xdr:spPr>
        <a:xfrm>
          <a:off x="123797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37CDE4-47EA-4154-A110-87FAAC49E5C5}"/>
            </a:ext>
          </a:extLst>
        </xdr:cNvPr>
        <xdr:cNvSpPr/>
      </xdr:nvSpPr>
      <xdr:spPr>
        <a:xfrm>
          <a:off x="123855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ABAE06-9946-4564-BE11-F20E3E698640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222ACC-1E09-4C6D-ACD5-AEACC38A5D16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F85359-86A4-4332-B641-6055F2A7F0AC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329005</xdr:colOff>
      <xdr:row>2</xdr:row>
      <xdr:rowOff>53788</xdr:rowOff>
    </xdr:from>
    <xdr:to>
      <xdr:col>25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C75197-98F7-4118-9528-F68D16A4B756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24</xdr:col>
      <xdr:colOff>332521</xdr:colOff>
      <xdr:row>3</xdr:row>
      <xdr:rowOff>137024</xdr:rowOff>
    </xdr:from>
    <xdr:to>
      <xdr:col>25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44B95B-8E2F-40C8-A129-A96B64983506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24</xdr:col>
      <xdr:colOff>338378</xdr:colOff>
      <xdr:row>5</xdr:row>
      <xdr:rowOff>19798</xdr:rowOff>
    </xdr:from>
    <xdr:to>
      <xdr:col>25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6FAA87-FEA6-47FC-8035-65FB20CB9C81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07E914-0853-4615-8F5E-927D177FEFA7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A7AC00-53E1-4CCF-AA6E-8CEF5A01FB12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24F01D-FBE0-46A9-AD12-3784361EB3B4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712606-FE60-4F96-ADB9-648383FC850C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C9B1BA-FC42-4679-85D0-F1AFA215B47B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8C61DAF-3E4F-4575-8533-FF64299C0F01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BAC6E-485C-489F-BE57-A39DE7E269BD}"/>
            </a:ext>
          </a:extLst>
        </xdr:cNvPr>
        <xdr:cNvSpPr/>
      </xdr:nvSpPr>
      <xdr:spPr>
        <a:xfrm>
          <a:off x="1536898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181DAA-18BD-4FD6-A16B-629E6C200290}"/>
            </a:ext>
          </a:extLst>
        </xdr:cNvPr>
        <xdr:cNvSpPr/>
      </xdr:nvSpPr>
      <xdr:spPr>
        <a:xfrm>
          <a:off x="1537249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098A04-8A07-4350-A463-D8D290097943}"/>
            </a:ext>
          </a:extLst>
        </xdr:cNvPr>
        <xdr:cNvSpPr/>
      </xdr:nvSpPr>
      <xdr:spPr>
        <a:xfrm>
          <a:off x="1537835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BF7195-CD6D-40A3-B21E-EB44FB69EF92}"/>
            </a:ext>
          </a:extLst>
        </xdr:cNvPr>
        <xdr:cNvSpPr/>
      </xdr:nvSpPr>
      <xdr:spPr>
        <a:xfrm>
          <a:off x="1536898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3B888F-6128-4DB2-9B76-7D222DD9F606}"/>
            </a:ext>
          </a:extLst>
        </xdr:cNvPr>
        <xdr:cNvSpPr/>
      </xdr:nvSpPr>
      <xdr:spPr>
        <a:xfrm>
          <a:off x="1537249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D4995C-C823-45E5-A104-849D08D642DF}"/>
            </a:ext>
          </a:extLst>
        </xdr:cNvPr>
        <xdr:cNvSpPr/>
      </xdr:nvSpPr>
      <xdr:spPr>
        <a:xfrm>
          <a:off x="1537835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CBC7EB-6546-40C8-8264-8E46C09412B9}"/>
            </a:ext>
          </a:extLst>
        </xdr:cNvPr>
        <xdr:cNvSpPr/>
      </xdr:nvSpPr>
      <xdr:spPr>
        <a:xfrm>
          <a:off x="1536898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891AE1-9331-4684-961E-7D519EAD6318}"/>
            </a:ext>
          </a:extLst>
        </xdr:cNvPr>
        <xdr:cNvSpPr/>
      </xdr:nvSpPr>
      <xdr:spPr>
        <a:xfrm>
          <a:off x="1537249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30F0DE-2BFB-4B3C-85C4-34FE6F03480A}"/>
            </a:ext>
          </a:extLst>
        </xdr:cNvPr>
        <xdr:cNvSpPr/>
      </xdr:nvSpPr>
      <xdr:spPr>
        <a:xfrm>
          <a:off x="1537835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6A4F8D-5D0C-40BD-ADFC-0E84C88671F9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87EC90-CDCD-4320-950B-C0AB27E0174E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E475A7-BDF0-4F90-9E7E-E43D435D3A3F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763F1C-856C-4E11-A183-2C4DFC8EF154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F36C8F-CBAA-4F0B-9797-F91CA8954551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E4A329-F916-4F2E-ADA9-D5EC2EB4FA41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876231-B0FE-4798-BC60-8AE78CFBA42C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FA28DF-68C3-4DFF-A1F8-B5F23FE80F2B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6BBC22-90A3-41A0-9477-627322F1A001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D0DB79-E38E-4F10-8AD3-A34E74403FDA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AE1437-C5D6-415C-9B16-8A52A8D3335E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D6260FB-9F5D-45B2-940B-0BD534E5963C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CE4B2D-F95A-4125-B191-7CAA1167B002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74A556-20CC-43C0-91FF-BBAB564B0B98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DC681F-110A-496F-8B62-365514591B8F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7F38A6-44A7-4A59-86BD-926E5A09B543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6EAA4B-5B36-41B6-9B2D-D3AAB73D57E2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AD79D0-B8FB-46A7-B3DB-D52B1432426C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329005</xdr:colOff>
      <xdr:row>2</xdr:row>
      <xdr:rowOff>53788</xdr:rowOff>
    </xdr:from>
    <xdr:to>
      <xdr:col>18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C8288C-3259-4476-B34D-2D8708DE4CA7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17</xdr:col>
      <xdr:colOff>332521</xdr:colOff>
      <xdr:row>3</xdr:row>
      <xdr:rowOff>137024</xdr:rowOff>
    </xdr:from>
    <xdr:to>
      <xdr:col>18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A347D8-66F7-4C4E-9226-BB2BB76A08B2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17</xdr:col>
      <xdr:colOff>338378</xdr:colOff>
      <xdr:row>5</xdr:row>
      <xdr:rowOff>19798</xdr:rowOff>
    </xdr:from>
    <xdr:to>
      <xdr:col>18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E69BE8-CFF0-46E1-A9FA-0BF72E92B83D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329005</xdr:colOff>
      <xdr:row>2</xdr:row>
      <xdr:rowOff>53788</xdr:rowOff>
    </xdr:from>
    <xdr:to>
      <xdr:col>18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BAAC80-90A8-410A-92F7-B8EB9A50E9DC}"/>
            </a:ext>
          </a:extLst>
        </xdr:cNvPr>
        <xdr:cNvSpPr/>
      </xdr:nvSpPr>
      <xdr:spPr>
        <a:xfrm>
          <a:off x="1367353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17</xdr:col>
      <xdr:colOff>332521</xdr:colOff>
      <xdr:row>3</xdr:row>
      <xdr:rowOff>137024</xdr:rowOff>
    </xdr:from>
    <xdr:to>
      <xdr:col>18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0BC4CE-AFD1-4102-AE75-150C0D35224C}"/>
            </a:ext>
          </a:extLst>
        </xdr:cNvPr>
        <xdr:cNvSpPr/>
      </xdr:nvSpPr>
      <xdr:spPr>
        <a:xfrm>
          <a:off x="1367704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17</xdr:col>
      <xdr:colOff>338378</xdr:colOff>
      <xdr:row>5</xdr:row>
      <xdr:rowOff>19798</xdr:rowOff>
    </xdr:from>
    <xdr:to>
      <xdr:col>18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6FC5CB-E19C-4228-AFFA-0046B1C34F8B}"/>
            </a:ext>
          </a:extLst>
        </xdr:cNvPr>
        <xdr:cNvSpPr/>
      </xdr:nvSpPr>
      <xdr:spPr>
        <a:xfrm>
          <a:off x="1368290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329005</xdr:colOff>
      <xdr:row>2</xdr:row>
      <xdr:rowOff>53788</xdr:rowOff>
    </xdr:from>
    <xdr:to>
      <xdr:col>17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E82EA9-5917-403C-AD56-F3A9DC2CEF91}"/>
            </a:ext>
          </a:extLst>
        </xdr:cNvPr>
        <xdr:cNvSpPr/>
      </xdr:nvSpPr>
      <xdr:spPr>
        <a:xfrm>
          <a:off x="1367353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16</xdr:col>
      <xdr:colOff>332521</xdr:colOff>
      <xdr:row>3</xdr:row>
      <xdr:rowOff>137024</xdr:rowOff>
    </xdr:from>
    <xdr:to>
      <xdr:col>17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E452C3-8791-4240-A646-BF3FA472D327}"/>
            </a:ext>
          </a:extLst>
        </xdr:cNvPr>
        <xdr:cNvSpPr/>
      </xdr:nvSpPr>
      <xdr:spPr>
        <a:xfrm>
          <a:off x="1367704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16</xdr:col>
      <xdr:colOff>338378</xdr:colOff>
      <xdr:row>5</xdr:row>
      <xdr:rowOff>19798</xdr:rowOff>
    </xdr:from>
    <xdr:to>
      <xdr:col>17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A0E94-E6E2-4F88-B2BA-5FE153906E3A}"/>
            </a:ext>
          </a:extLst>
        </xdr:cNvPr>
        <xdr:cNvSpPr/>
      </xdr:nvSpPr>
      <xdr:spPr>
        <a:xfrm>
          <a:off x="1368290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329005</xdr:colOff>
      <xdr:row>2</xdr:row>
      <xdr:rowOff>53788</xdr:rowOff>
    </xdr:from>
    <xdr:to>
      <xdr:col>18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3A090A-2FB1-45BA-A93B-1D3B878EBD8A}"/>
            </a:ext>
          </a:extLst>
        </xdr:cNvPr>
        <xdr:cNvSpPr/>
      </xdr:nvSpPr>
      <xdr:spPr>
        <a:xfrm>
          <a:off x="1367353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17</xdr:col>
      <xdr:colOff>332521</xdr:colOff>
      <xdr:row>3</xdr:row>
      <xdr:rowOff>137024</xdr:rowOff>
    </xdr:from>
    <xdr:to>
      <xdr:col>18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CF30D2-5E0E-4691-AC7B-2AD8DCA0CC03}"/>
            </a:ext>
          </a:extLst>
        </xdr:cNvPr>
        <xdr:cNvSpPr/>
      </xdr:nvSpPr>
      <xdr:spPr>
        <a:xfrm>
          <a:off x="1367704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17</xdr:col>
      <xdr:colOff>338378</xdr:colOff>
      <xdr:row>5</xdr:row>
      <xdr:rowOff>19798</xdr:rowOff>
    </xdr:from>
    <xdr:to>
      <xdr:col>18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2BA578-BE19-4167-82D3-A932EFD252C8}"/>
            </a:ext>
          </a:extLst>
        </xdr:cNvPr>
        <xdr:cNvSpPr/>
      </xdr:nvSpPr>
      <xdr:spPr>
        <a:xfrm>
          <a:off x="1368290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070EA5-0C23-407A-B535-818945802E3F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5F829B-5A02-42CB-89A7-92C6F67CE218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2C6CF14-A4B2-42F9-9458-021F5713D830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329005</xdr:colOff>
      <xdr:row>2</xdr:row>
      <xdr:rowOff>53788</xdr:rowOff>
    </xdr:from>
    <xdr:to>
      <xdr:col>18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4551A6-D0D7-443B-AB88-63FC48721913}"/>
            </a:ext>
          </a:extLst>
        </xdr:cNvPr>
        <xdr:cNvSpPr/>
      </xdr:nvSpPr>
      <xdr:spPr>
        <a:xfrm>
          <a:off x="1367353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17</xdr:col>
      <xdr:colOff>332521</xdr:colOff>
      <xdr:row>3</xdr:row>
      <xdr:rowOff>137024</xdr:rowOff>
    </xdr:from>
    <xdr:to>
      <xdr:col>18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8FDF05-C8C4-4C3E-A982-9FA34BC6BA32}"/>
            </a:ext>
          </a:extLst>
        </xdr:cNvPr>
        <xdr:cNvSpPr/>
      </xdr:nvSpPr>
      <xdr:spPr>
        <a:xfrm>
          <a:off x="1367704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17</xdr:col>
      <xdr:colOff>338378</xdr:colOff>
      <xdr:row>5</xdr:row>
      <xdr:rowOff>19798</xdr:rowOff>
    </xdr:from>
    <xdr:to>
      <xdr:col>18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A9D4A0-144E-467C-A072-4A920252B37A}"/>
            </a:ext>
          </a:extLst>
        </xdr:cNvPr>
        <xdr:cNvSpPr/>
      </xdr:nvSpPr>
      <xdr:spPr>
        <a:xfrm>
          <a:off x="1368290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9686EC-3448-4BAF-9587-EEA324070C5D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16D674-2BFC-40E7-81B3-D26AD7EB15D5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0D2535-1AB9-4913-9A5B-90DFE60A6ABB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329005</xdr:colOff>
      <xdr:row>2</xdr:row>
      <xdr:rowOff>53788</xdr:rowOff>
    </xdr:from>
    <xdr:to>
      <xdr:col>25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A85C00-2227-4B32-B50A-514A95026C83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24</xdr:col>
      <xdr:colOff>332521</xdr:colOff>
      <xdr:row>3</xdr:row>
      <xdr:rowOff>137024</xdr:rowOff>
    </xdr:from>
    <xdr:to>
      <xdr:col>25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D8B43E-4F0E-46A6-B7C1-6729B9BE02D8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24</xdr:col>
      <xdr:colOff>338378</xdr:colOff>
      <xdr:row>5</xdr:row>
      <xdr:rowOff>19798</xdr:rowOff>
    </xdr:from>
    <xdr:to>
      <xdr:col>25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22E042-7623-4D40-8BF3-5FF5FA4B6A27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891481-71E2-4D76-A71C-2C58B689A2B0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5A494E-4101-412D-AAD5-9F9A109FFA05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66C655-2B1A-4860-9BDF-CB035E1D35A6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F06D82-5596-4A33-872E-A4B9555498EB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F63175-5A17-42A3-9703-143F04E31044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4460FE-053C-4288-B031-E6CEF2F56EE0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9DE4A2-F0BA-4A05-AAE3-30F32E01FAEC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1CF775-2017-4210-B1E7-B57489490F51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564295-BA58-4667-842E-AB6E52E7FD46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EDC4A8-2E13-4D0B-96AA-F8D6F0E5A47A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7E1B20-9D22-47BE-A0CB-5EFB4409085C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1F1818-75BE-4806-AAE6-0FA8F7AC14F4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329005</xdr:colOff>
      <xdr:row>2</xdr:row>
      <xdr:rowOff>53788</xdr:rowOff>
    </xdr:from>
    <xdr:to>
      <xdr:col>21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8235D1-CE3D-4841-865B-5E15A27C1CA2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20</xdr:col>
      <xdr:colOff>332521</xdr:colOff>
      <xdr:row>3</xdr:row>
      <xdr:rowOff>137024</xdr:rowOff>
    </xdr:from>
    <xdr:to>
      <xdr:col>21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0990B3-BFC6-4582-9EB0-4D092CBDC7C1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20</xdr:col>
      <xdr:colOff>338378</xdr:colOff>
      <xdr:row>5</xdr:row>
      <xdr:rowOff>19798</xdr:rowOff>
    </xdr:from>
    <xdr:to>
      <xdr:col>21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24F9624-017C-4CF6-9020-EBAE26C3B0D9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329005</xdr:colOff>
      <xdr:row>2</xdr:row>
      <xdr:rowOff>53788</xdr:rowOff>
    </xdr:from>
    <xdr:to>
      <xdr:col>21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F37A0A-DF2F-4B61-981A-8D05573D6016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20</xdr:col>
      <xdr:colOff>332521</xdr:colOff>
      <xdr:row>3</xdr:row>
      <xdr:rowOff>137024</xdr:rowOff>
    </xdr:from>
    <xdr:to>
      <xdr:col>21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1ACD83-1AB6-4428-BCC3-776C4D8D94A5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20</xdr:col>
      <xdr:colOff>338378</xdr:colOff>
      <xdr:row>5</xdr:row>
      <xdr:rowOff>19798</xdr:rowOff>
    </xdr:from>
    <xdr:to>
      <xdr:col>21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98EF15-85A1-4AED-BD88-16135556363C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3708B6-C2C9-4DAA-9BAE-BCCF4B6DCBDD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CE67A3-5B21-4E97-BF51-0CE3DFCA4BB7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6A2F8-10A6-41BC-8DF3-88D35895C018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D6AB4-97F1-4A81-B5EE-96268F7AE69E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EA955D-AA16-4B9F-A6DB-32695064F948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E3905D-F3B7-4630-B137-32AE90842662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329005</xdr:colOff>
      <xdr:row>2</xdr:row>
      <xdr:rowOff>53788</xdr:rowOff>
    </xdr:from>
    <xdr:to>
      <xdr:col>22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CC88A2-19D8-4CDB-80BC-44B12D1CF440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21</xdr:col>
      <xdr:colOff>332521</xdr:colOff>
      <xdr:row>3</xdr:row>
      <xdr:rowOff>137024</xdr:rowOff>
    </xdr:from>
    <xdr:to>
      <xdr:col>22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FB32F0-777F-49EB-A60D-2638A1711BD6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21</xdr:col>
      <xdr:colOff>338378</xdr:colOff>
      <xdr:row>5</xdr:row>
      <xdr:rowOff>19798</xdr:rowOff>
    </xdr:from>
    <xdr:to>
      <xdr:col>22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E2DE42-8B4D-4099-B880-356135DB647D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29FF12-62AB-4A7F-BB8D-D922112C1E17}"/>
            </a:ext>
          </a:extLst>
        </xdr:cNvPr>
        <xdr:cNvSpPr/>
      </xdr:nvSpPr>
      <xdr:spPr>
        <a:xfrm>
          <a:off x="167577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9713D2-05AE-44D4-A313-B1F977B90FA2}"/>
            </a:ext>
          </a:extLst>
        </xdr:cNvPr>
        <xdr:cNvSpPr/>
      </xdr:nvSpPr>
      <xdr:spPr>
        <a:xfrm>
          <a:off x="167612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031CB5-7E7B-45DC-8E0D-69F4C8CCE67A}"/>
            </a:ext>
          </a:extLst>
        </xdr:cNvPr>
        <xdr:cNvSpPr/>
      </xdr:nvSpPr>
      <xdr:spPr>
        <a:xfrm>
          <a:off x="167670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1CEAFD-AD9B-41EA-A4A2-01893BAAAFCB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7A539F-E623-44E0-BEF6-5FF4E085AD79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809A0C-4171-4094-B3D0-8FF599F13238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9A22EC-159B-41E8-ADA2-2317154A4EB4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A7A34B-4909-4545-88F9-21EB305131D3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C8A71B-C5CA-4467-B09B-CC025B8C0BC3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329005</xdr:colOff>
      <xdr:row>2</xdr:row>
      <xdr:rowOff>53788</xdr:rowOff>
    </xdr:from>
    <xdr:to>
      <xdr:col>25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828BE3-28E9-46F6-8216-DA96C07ECD35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24</xdr:col>
      <xdr:colOff>332521</xdr:colOff>
      <xdr:row>3</xdr:row>
      <xdr:rowOff>137024</xdr:rowOff>
    </xdr:from>
    <xdr:to>
      <xdr:col>25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2EBEF8-6CEE-44E5-87F9-37029BD51749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24</xdr:col>
      <xdr:colOff>338378</xdr:colOff>
      <xdr:row>5</xdr:row>
      <xdr:rowOff>19798</xdr:rowOff>
    </xdr:from>
    <xdr:to>
      <xdr:col>25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D275EB-9CA8-4888-8737-C7866EDEC130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329005</xdr:colOff>
      <xdr:row>2</xdr:row>
      <xdr:rowOff>53788</xdr:rowOff>
    </xdr:from>
    <xdr:to>
      <xdr:col>23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6E6E51-00E5-41FB-A423-F1C295A48174}"/>
            </a:ext>
          </a:extLst>
        </xdr:cNvPr>
        <xdr:cNvSpPr/>
      </xdr:nvSpPr>
      <xdr:spPr>
        <a:xfrm>
          <a:off x="193866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22</xdr:col>
      <xdr:colOff>332521</xdr:colOff>
      <xdr:row>3</xdr:row>
      <xdr:rowOff>137024</xdr:rowOff>
    </xdr:from>
    <xdr:to>
      <xdr:col>23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8F2D57-C962-4C83-8308-F47EF5F49694}"/>
            </a:ext>
          </a:extLst>
        </xdr:cNvPr>
        <xdr:cNvSpPr/>
      </xdr:nvSpPr>
      <xdr:spPr>
        <a:xfrm>
          <a:off x="193901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22</xdr:col>
      <xdr:colOff>338378</xdr:colOff>
      <xdr:row>5</xdr:row>
      <xdr:rowOff>19798</xdr:rowOff>
    </xdr:from>
    <xdr:to>
      <xdr:col>23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93D627-52B3-4E1D-9635-4AFFFE490DF9}"/>
            </a:ext>
          </a:extLst>
        </xdr:cNvPr>
        <xdr:cNvSpPr/>
      </xdr:nvSpPr>
      <xdr:spPr>
        <a:xfrm>
          <a:off x="193959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329005</xdr:colOff>
      <xdr:row>2</xdr:row>
      <xdr:rowOff>53788</xdr:rowOff>
    </xdr:from>
    <xdr:to>
      <xdr:col>25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36BF4C-5C54-4C94-A437-E68616855901}"/>
            </a:ext>
          </a:extLst>
        </xdr:cNvPr>
        <xdr:cNvSpPr/>
      </xdr:nvSpPr>
      <xdr:spPr>
        <a:xfrm>
          <a:off x="185103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24</xdr:col>
      <xdr:colOff>332521</xdr:colOff>
      <xdr:row>3</xdr:row>
      <xdr:rowOff>137024</xdr:rowOff>
    </xdr:from>
    <xdr:to>
      <xdr:col>25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CFF050-C823-44CD-9D30-B95DADFB947A}"/>
            </a:ext>
          </a:extLst>
        </xdr:cNvPr>
        <xdr:cNvSpPr/>
      </xdr:nvSpPr>
      <xdr:spPr>
        <a:xfrm>
          <a:off x="185138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24</xdr:col>
      <xdr:colOff>338378</xdr:colOff>
      <xdr:row>5</xdr:row>
      <xdr:rowOff>19798</xdr:rowOff>
    </xdr:from>
    <xdr:to>
      <xdr:col>25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71210A-1F05-4978-A92D-3EC797AFC1A9}"/>
            </a:ext>
          </a:extLst>
        </xdr:cNvPr>
        <xdr:cNvSpPr/>
      </xdr:nvSpPr>
      <xdr:spPr>
        <a:xfrm>
          <a:off x="185196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329005</xdr:colOff>
      <xdr:row>2</xdr:row>
      <xdr:rowOff>53788</xdr:rowOff>
    </xdr:from>
    <xdr:to>
      <xdr:col>18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B42D22-9260-4B87-B22B-A596FCCCD570}"/>
            </a:ext>
          </a:extLst>
        </xdr:cNvPr>
        <xdr:cNvSpPr/>
      </xdr:nvSpPr>
      <xdr:spPr>
        <a:xfrm>
          <a:off x="1367353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17</xdr:col>
      <xdr:colOff>332521</xdr:colOff>
      <xdr:row>3</xdr:row>
      <xdr:rowOff>137024</xdr:rowOff>
    </xdr:from>
    <xdr:to>
      <xdr:col>18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77B05F-5259-408C-837E-C62B529AAF3C}"/>
            </a:ext>
          </a:extLst>
        </xdr:cNvPr>
        <xdr:cNvSpPr/>
      </xdr:nvSpPr>
      <xdr:spPr>
        <a:xfrm>
          <a:off x="1367704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17</xdr:col>
      <xdr:colOff>338378</xdr:colOff>
      <xdr:row>5</xdr:row>
      <xdr:rowOff>19798</xdr:rowOff>
    </xdr:from>
    <xdr:to>
      <xdr:col>18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0F61D0-8A7C-4970-9E36-762D3AAAF34B}"/>
            </a:ext>
          </a:extLst>
        </xdr:cNvPr>
        <xdr:cNvSpPr/>
      </xdr:nvSpPr>
      <xdr:spPr>
        <a:xfrm>
          <a:off x="1368290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329005</xdr:colOff>
      <xdr:row>2</xdr:row>
      <xdr:rowOff>53788</xdr:rowOff>
    </xdr:from>
    <xdr:to>
      <xdr:col>18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09838-0768-4030-83F3-F1AA982C7FB4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17</xdr:col>
      <xdr:colOff>332521</xdr:colOff>
      <xdr:row>3</xdr:row>
      <xdr:rowOff>137024</xdr:rowOff>
    </xdr:from>
    <xdr:to>
      <xdr:col>18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B80B9B-CA6F-4879-8C9F-03FFF5386C75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17</xdr:col>
      <xdr:colOff>338378</xdr:colOff>
      <xdr:row>5</xdr:row>
      <xdr:rowOff>19798</xdr:rowOff>
    </xdr:from>
    <xdr:to>
      <xdr:col>18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75C51A-A928-4B3E-A7F4-199AFC46DD2E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329005</xdr:colOff>
      <xdr:row>2</xdr:row>
      <xdr:rowOff>53788</xdr:rowOff>
    </xdr:from>
    <xdr:to>
      <xdr:col>18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4B4AAD-F3CD-46BF-A914-860D46D27361}"/>
            </a:ext>
          </a:extLst>
        </xdr:cNvPr>
        <xdr:cNvSpPr/>
      </xdr:nvSpPr>
      <xdr:spPr>
        <a:xfrm>
          <a:off x="1367353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17</xdr:col>
      <xdr:colOff>332521</xdr:colOff>
      <xdr:row>3</xdr:row>
      <xdr:rowOff>137024</xdr:rowOff>
    </xdr:from>
    <xdr:to>
      <xdr:col>18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6F7D59-7A9C-4C80-9895-D45225127D42}"/>
            </a:ext>
          </a:extLst>
        </xdr:cNvPr>
        <xdr:cNvSpPr/>
      </xdr:nvSpPr>
      <xdr:spPr>
        <a:xfrm>
          <a:off x="1367704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17</xdr:col>
      <xdr:colOff>338378</xdr:colOff>
      <xdr:row>5</xdr:row>
      <xdr:rowOff>19798</xdr:rowOff>
    </xdr:from>
    <xdr:to>
      <xdr:col>18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D5666C-1DA7-4228-A874-2C45830E3DA1}"/>
            </a:ext>
          </a:extLst>
        </xdr:cNvPr>
        <xdr:cNvSpPr/>
      </xdr:nvSpPr>
      <xdr:spPr>
        <a:xfrm>
          <a:off x="1368290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213624-9324-47EE-9B94-5D4599AC06F0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D8F1B9-C8F7-465E-8E06-0491010A1BCC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80AE93-3B12-4894-826A-E0A4807CE71F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329005</xdr:colOff>
      <xdr:row>2</xdr:row>
      <xdr:rowOff>53788</xdr:rowOff>
    </xdr:from>
    <xdr:to>
      <xdr:col>18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85F55C-8D4C-4C50-AA63-F90737871651}"/>
            </a:ext>
          </a:extLst>
        </xdr:cNvPr>
        <xdr:cNvSpPr/>
      </xdr:nvSpPr>
      <xdr:spPr>
        <a:xfrm>
          <a:off x="1367353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17</xdr:col>
      <xdr:colOff>332521</xdr:colOff>
      <xdr:row>3</xdr:row>
      <xdr:rowOff>137024</xdr:rowOff>
    </xdr:from>
    <xdr:to>
      <xdr:col>18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175463-0738-4BF2-AD2B-00E4756C483C}"/>
            </a:ext>
          </a:extLst>
        </xdr:cNvPr>
        <xdr:cNvSpPr/>
      </xdr:nvSpPr>
      <xdr:spPr>
        <a:xfrm>
          <a:off x="1367704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17</xdr:col>
      <xdr:colOff>338378</xdr:colOff>
      <xdr:row>5</xdr:row>
      <xdr:rowOff>19798</xdr:rowOff>
    </xdr:from>
    <xdr:to>
      <xdr:col>18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0940EE-2712-4F1C-9278-6D9B541DF8CD}"/>
            </a:ext>
          </a:extLst>
        </xdr:cNvPr>
        <xdr:cNvSpPr/>
      </xdr:nvSpPr>
      <xdr:spPr>
        <a:xfrm>
          <a:off x="1368290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FC7684-383F-490F-B9F0-DD4AB3B969C4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A6B680-E81E-4D7D-B81D-AE0889EED6A0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858FC6-2AF1-4DC5-9B45-6D91D17FC423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329005</xdr:colOff>
      <xdr:row>2</xdr:row>
      <xdr:rowOff>53788</xdr:rowOff>
    </xdr:from>
    <xdr:to>
      <xdr:col>25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2259C6-A1EC-458D-972B-C5042EC3B8FD}"/>
            </a:ext>
          </a:extLst>
        </xdr:cNvPr>
        <xdr:cNvSpPr/>
      </xdr:nvSpPr>
      <xdr:spPr>
        <a:xfrm>
          <a:off x="185103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24</xdr:col>
      <xdr:colOff>332521</xdr:colOff>
      <xdr:row>3</xdr:row>
      <xdr:rowOff>137024</xdr:rowOff>
    </xdr:from>
    <xdr:to>
      <xdr:col>25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1D999B-9600-4F3D-8B52-E155079DF7AE}"/>
            </a:ext>
          </a:extLst>
        </xdr:cNvPr>
        <xdr:cNvSpPr/>
      </xdr:nvSpPr>
      <xdr:spPr>
        <a:xfrm>
          <a:off x="185138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24</xdr:col>
      <xdr:colOff>338378</xdr:colOff>
      <xdr:row>5</xdr:row>
      <xdr:rowOff>19798</xdr:rowOff>
    </xdr:from>
    <xdr:to>
      <xdr:col>25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1437D4-A5FD-4EFB-9004-0E53C6E6074D}"/>
            </a:ext>
          </a:extLst>
        </xdr:cNvPr>
        <xdr:cNvSpPr/>
      </xdr:nvSpPr>
      <xdr:spPr>
        <a:xfrm>
          <a:off x="185196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89170E-F4DC-4F07-81CE-B6E5B7B28FB5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9E4A94-0DF5-489F-94B2-0BD2E7A35F15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46DFB8-354E-42A9-BDAB-A29297242BA3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9D637B-48FF-4142-8750-87EFB90FA2A0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F99919-9E17-4165-8457-74458B8197D1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458169-03E7-4A1F-B241-C8183394875A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C2602B-5093-49BF-8D9E-C985B14B908F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09AE95-6694-46DB-98FD-CD04ED80B00E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D14F7B-4873-4751-B6C2-9B6C91523D3A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329005</xdr:colOff>
      <xdr:row>2</xdr:row>
      <xdr:rowOff>53788</xdr:rowOff>
    </xdr:from>
    <xdr:to>
      <xdr:col>21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2F0D3E-4F05-4D14-AA90-99E303C51B70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20</xdr:col>
      <xdr:colOff>332521</xdr:colOff>
      <xdr:row>3</xdr:row>
      <xdr:rowOff>137024</xdr:rowOff>
    </xdr:from>
    <xdr:to>
      <xdr:col>21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D43B80-9996-4063-912A-A68A777DF52D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20</xdr:col>
      <xdr:colOff>338378</xdr:colOff>
      <xdr:row>5</xdr:row>
      <xdr:rowOff>19798</xdr:rowOff>
    </xdr:from>
    <xdr:to>
      <xdr:col>21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A8182F-48A5-4811-BB7F-6829486F0114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0B187B-F595-4983-87D0-64495C8F31EC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58CE54-DE85-4C8A-90E2-79672889C9EE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F576DD-7278-4D90-8E7C-79287100CB06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329005</xdr:colOff>
      <xdr:row>2</xdr:row>
      <xdr:rowOff>53788</xdr:rowOff>
    </xdr:from>
    <xdr:to>
      <xdr:col>21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D4554D-E685-4521-9DC0-BC5A25248E8C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20</xdr:col>
      <xdr:colOff>332521</xdr:colOff>
      <xdr:row>3</xdr:row>
      <xdr:rowOff>137024</xdr:rowOff>
    </xdr:from>
    <xdr:to>
      <xdr:col>21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60B5F9-5D63-4D88-97EE-B78BAA9173E5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20</xdr:col>
      <xdr:colOff>338378</xdr:colOff>
      <xdr:row>5</xdr:row>
      <xdr:rowOff>19798</xdr:rowOff>
    </xdr:from>
    <xdr:to>
      <xdr:col>21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1C8AA3-7F43-45ED-B025-6F08B8968248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329005</xdr:colOff>
      <xdr:row>2</xdr:row>
      <xdr:rowOff>53788</xdr:rowOff>
    </xdr:from>
    <xdr:to>
      <xdr:col>21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B21513-3477-4F3B-8D33-4FEEC3D8F0B8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20</xdr:col>
      <xdr:colOff>332521</xdr:colOff>
      <xdr:row>3</xdr:row>
      <xdr:rowOff>137024</xdr:rowOff>
    </xdr:from>
    <xdr:to>
      <xdr:col>21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1FD814-C862-4546-A096-346C4D34C73C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20</xdr:col>
      <xdr:colOff>338378</xdr:colOff>
      <xdr:row>5</xdr:row>
      <xdr:rowOff>19798</xdr:rowOff>
    </xdr:from>
    <xdr:to>
      <xdr:col>21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9FFC35-3652-4524-8F73-83E8287FAD44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5C1233-7CB4-4857-B213-86C15E3297F4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AD4B07-9EC2-4BE6-81DF-FB6E157C1298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B7902A-0A89-4D36-959E-2B3E9182744B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9DD61E-0760-498C-9D28-1075C2384972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DD8115-E4A5-47D9-8BA9-84F7C27A9DF8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6E269C-01A4-439C-900A-89694E06E1D0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329005</xdr:colOff>
      <xdr:row>2</xdr:row>
      <xdr:rowOff>53788</xdr:rowOff>
    </xdr:from>
    <xdr:to>
      <xdr:col>22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115398-4962-4B0D-9789-B412096C91D0}"/>
            </a:ext>
          </a:extLst>
        </xdr:cNvPr>
        <xdr:cNvSpPr/>
      </xdr:nvSpPr>
      <xdr:spPr>
        <a:xfrm>
          <a:off x="167577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21</xdr:col>
      <xdr:colOff>332521</xdr:colOff>
      <xdr:row>3</xdr:row>
      <xdr:rowOff>137024</xdr:rowOff>
    </xdr:from>
    <xdr:to>
      <xdr:col>22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C09218-A0D3-4E87-BA8E-D9DEC9777EAD}"/>
            </a:ext>
          </a:extLst>
        </xdr:cNvPr>
        <xdr:cNvSpPr/>
      </xdr:nvSpPr>
      <xdr:spPr>
        <a:xfrm>
          <a:off x="167612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21</xdr:col>
      <xdr:colOff>338378</xdr:colOff>
      <xdr:row>5</xdr:row>
      <xdr:rowOff>19798</xdr:rowOff>
    </xdr:from>
    <xdr:to>
      <xdr:col>22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86F59C-E481-465A-88FA-136EEF791C86}"/>
            </a:ext>
          </a:extLst>
        </xdr:cNvPr>
        <xdr:cNvSpPr/>
      </xdr:nvSpPr>
      <xdr:spPr>
        <a:xfrm>
          <a:off x="167670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42F27C-CA93-42F9-94FB-E35C2AB6D7D7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A49FCC-77E5-432F-85B7-8C016CEFAAC2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1C99EF-0D6C-43A8-A519-1E8CD7525AD0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263B60-59B0-448D-BBB4-748A443E9A66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CD525B-9C75-486B-9119-C30A457CB4C8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2EDDA8-BC37-4119-BA87-FC97B8D605B6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C7EC96-DCB1-4F6A-9515-CAF1E5DC23D1}"/>
            </a:ext>
          </a:extLst>
        </xdr:cNvPr>
        <xdr:cNvSpPr/>
      </xdr:nvSpPr>
      <xdr:spPr>
        <a:xfrm>
          <a:off x="158814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B7983C-685C-4881-B4BA-F292B4C1CFBD}"/>
            </a:ext>
          </a:extLst>
        </xdr:cNvPr>
        <xdr:cNvSpPr/>
      </xdr:nvSpPr>
      <xdr:spPr>
        <a:xfrm>
          <a:off x="158849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07F741-3ADA-4975-9652-E56D4D0EBE2C}"/>
            </a:ext>
          </a:extLst>
        </xdr:cNvPr>
        <xdr:cNvSpPr/>
      </xdr:nvSpPr>
      <xdr:spPr>
        <a:xfrm>
          <a:off x="158907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329005</xdr:colOff>
      <xdr:row>2</xdr:row>
      <xdr:rowOff>53788</xdr:rowOff>
    </xdr:from>
    <xdr:to>
      <xdr:col>25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8533F3-BB9E-4517-AD01-FCFCE7A79F73}"/>
            </a:ext>
          </a:extLst>
        </xdr:cNvPr>
        <xdr:cNvSpPr/>
      </xdr:nvSpPr>
      <xdr:spPr>
        <a:xfrm>
          <a:off x="193866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24</xdr:col>
      <xdr:colOff>332521</xdr:colOff>
      <xdr:row>3</xdr:row>
      <xdr:rowOff>137024</xdr:rowOff>
    </xdr:from>
    <xdr:to>
      <xdr:col>25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750BAF-6C96-4087-9855-387361F03AA6}"/>
            </a:ext>
          </a:extLst>
        </xdr:cNvPr>
        <xdr:cNvSpPr/>
      </xdr:nvSpPr>
      <xdr:spPr>
        <a:xfrm>
          <a:off x="193901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24</xdr:col>
      <xdr:colOff>338378</xdr:colOff>
      <xdr:row>5</xdr:row>
      <xdr:rowOff>19798</xdr:rowOff>
    </xdr:from>
    <xdr:to>
      <xdr:col>25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90C4DE-9140-41F3-A400-E606A49A6915}"/>
            </a:ext>
          </a:extLst>
        </xdr:cNvPr>
        <xdr:cNvSpPr/>
      </xdr:nvSpPr>
      <xdr:spPr>
        <a:xfrm>
          <a:off x="193959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329005</xdr:colOff>
      <xdr:row>2</xdr:row>
      <xdr:rowOff>53788</xdr:rowOff>
    </xdr:from>
    <xdr:to>
      <xdr:col>23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B9F47C-CDA1-45F9-924E-45B611ECA536}"/>
            </a:ext>
          </a:extLst>
        </xdr:cNvPr>
        <xdr:cNvSpPr/>
      </xdr:nvSpPr>
      <xdr:spPr>
        <a:xfrm>
          <a:off x="185103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22</xdr:col>
      <xdr:colOff>332521</xdr:colOff>
      <xdr:row>3</xdr:row>
      <xdr:rowOff>137024</xdr:rowOff>
    </xdr:from>
    <xdr:to>
      <xdr:col>23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881D26-6460-4D10-8C7E-F729FED824D9}"/>
            </a:ext>
          </a:extLst>
        </xdr:cNvPr>
        <xdr:cNvSpPr/>
      </xdr:nvSpPr>
      <xdr:spPr>
        <a:xfrm>
          <a:off x="185138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22</xdr:col>
      <xdr:colOff>338378</xdr:colOff>
      <xdr:row>5</xdr:row>
      <xdr:rowOff>19798</xdr:rowOff>
    </xdr:from>
    <xdr:to>
      <xdr:col>23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D8D350-C175-4C56-99F7-33E147661FD2}"/>
            </a:ext>
          </a:extLst>
        </xdr:cNvPr>
        <xdr:cNvSpPr/>
      </xdr:nvSpPr>
      <xdr:spPr>
        <a:xfrm>
          <a:off x="185196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329005</xdr:colOff>
      <xdr:row>2</xdr:row>
      <xdr:rowOff>53788</xdr:rowOff>
    </xdr:from>
    <xdr:to>
      <xdr:col>25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44048-56B5-42A2-92A0-0E8EF83F4284}"/>
            </a:ext>
          </a:extLst>
        </xdr:cNvPr>
        <xdr:cNvSpPr/>
      </xdr:nvSpPr>
      <xdr:spPr>
        <a:xfrm>
          <a:off x="202629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24</xdr:col>
      <xdr:colOff>332521</xdr:colOff>
      <xdr:row>3</xdr:row>
      <xdr:rowOff>137024</xdr:rowOff>
    </xdr:from>
    <xdr:to>
      <xdr:col>25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809FCD-92A3-4035-8F81-270724FFC1E3}"/>
            </a:ext>
          </a:extLst>
        </xdr:cNvPr>
        <xdr:cNvSpPr/>
      </xdr:nvSpPr>
      <xdr:spPr>
        <a:xfrm>
          <a:off x="202664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24</xdr:col>
      <xdr:colOff>338378</xdr:colOff>
      <xdr:row>5</xdr:row>
      <xdr:rowOff>19798</xdr:rowOff>
    </xdr:from>
    <xdr:to>
      <xdr:col>25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BE5737-0F91-48C5-B32D-AAC5F6F960A2}"/>
            </a:ext>
          </a:extLst>
        </xdr:cNvPr>
        <xdr:cNvSpPr/>
      </xdr:nvSpPr>
      <xdr:spPr>
        <a:xfrm>
          <a:off x="202722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329005</xdr:colOff>
      <xdr:row>2</xdr:row>
      <xdr:rowOff>53788</xdr:rowOff>
    </xdr:from>
    <xdr:to>
      <xdr:col>18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5B19C2-C3F9-4F25-BD32-E6B9E6621056}"/>
            </a:ext>
          </a:extLst>
        </xdr:cNvPr>
        <xdr:cNvSpPr/>
      </xdr:nvSpPr>
      <xdr:spPr>
        <a:xfrm>
          <a:off x="1367353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17</xdr:col>
      <xdr:colOff>332521</xdr:colOff>
      <xdr:row>3</xdr:row>
      <xdr:rowOff>137024</xdr:rowOff>
    </xdr:from>
    <xdr:to>
      <xdr:col>18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9599C3-449D-4F5F-8885-87495214728D}"/>
            </a:ext>
          </a:extLst>
        </xdr:cNvPr>
        <xdr:cNvSpPr/>
      </xdr:nvSpPr>
      <xdr:spPr>
        <a:xfrm>
          <a:off x="1367704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17</xdr:col>
      <xdr:colOff>338378</xdr:colOff>
      <xdr:row>5</xdr:row>
      <xdr:rowOff>19798</xdr:rowOff>
    </xdr:from>
    <xdr:to>
      <xdr:col>18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5EED3B-8306-4345-9B28-97116690CDBB}"/>
            </a:ext>
          </a:extLst>
        </xdr:cNvPr>
        <xdr:cNvSpPr/>
      </xdr:nvSpPr>
      <xdr:spPr>
        <a:xfrm>
          <a:off x="1368290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329005</xdr:colOff>
      <xdr:row>2</xdr:row>
      <xdr:rowOff>53788</xdr:rowOff>
    </xdr:from>
    <xdr:to>
      <xdr:col>18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787ECD-9900-4BF3-ABAC-F4C92728F6AC}"/>
            </a:ext>
          </a:extLst>
        </xdr:cNvPr>
        <xdr:cNvSpPr/>
      </xdr:nvSpPr>
      <xdr:spPr>
        <a:xfrm>
          <a:off x="1367353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17</xdr:col>
      <xdr:colOff>332521</xdr:colOff>
      <xdr:row>3</xdr:row>
      <xdr:rowOff>137024</xdr:rowOff>
    </xdr:from>
    <xdr:to>
      <xdr:col>18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965857-CA5B-4C5E-98FF-A10D564AA525}"/>
            </a:ext>
          </a:extLst>
        </xdr:cNvPr>
        <xdr:cNvSpPr/>
      </xdr:nvSpPr>
      <xdr:spPr>
        <a:xfrm>
          <a:off x="1367704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17</xdr:col>
      <xdr:colOff>338378</xdr:colOff>
      <xdr:row>5</xdr:row>
      <xdr:rowOff>19798</xdr:rowOff>
    </xdr:from>
    <xdr:to>
      <xdr:col>18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5AB39E-71C1-4598-9AB4-DF372BCD4A48}"/>
            </a:ext>
          </a:extLst>
        </xdr:cNvPr>
        <xdr:cNvSpPr/>
      </xdr:nvSpPr>
      <xdr:spPr>
        <a:xfrm>
          <a:off x="1368290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83394E-4BBB-41B1-85D2-9CFD592751B7}"/>
            </a:ext>
          </a:extLst>
        </xdr:cNvPr>
        <xdr:cNvSpPr/>
      </xdr:nvSpPr>
      <xdr:spPr>
        <a:xfrm>
          <a:off x="15005125" y="495748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87A228-A3AE-4047-89DE-7EC7F111D9AC}"/>
            </a:ext>
          </a:extLst>
        </xdr:cNvPr>
        <xdr:cNvSpPr/>
      </xdr:nvSpPr>
      <xdr:spPr>
        <a:xfrm>
          <a:off x="15008641" y="769484"/>
          <a:ext cx="873610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0BBEB0-FA00-493E-944E-1EF792E8B3C7}"/>
            </a:ext>
          </a:extLst>
        </xdr:cNvPr>
        <xdr:cNvSpPr/>
      </xdr:nvSpPr>
      <xdr:spPr>
        <a:xfrm>
          <a:off x="15014498" y="1033258"/>
          <a:ext cx="873610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28251D-7072-4702-B8ED-A7F84B7BE1D4}"/>
            </a:ext>
          </a:extLst>
        </xdr:cNvPr>
        <xdr:cNvSpPr/>
      </xdr:nvSpPr>
      <xdr:spPr>
        <a:xfrm>
          <a:off x="13673530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94AA90-0DF5-4372-A234-763FB396AA9D}"/>
            </a:ext>
          </a:extLst>
        </xdr:cNvPr>
        <xdr:cNvSpPr/>
      </xdr:nvSpPr>
      <xdr:spPr>
        <a:xfrm>
          <a:off x="13677046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20C0FA-F2ED-4BAB-BFF4-47356AAB22B4}"/>
            </a:ext>
          </a:extLst>
        </xdr:cNvPr>
        <xdr:cNvSpPr/>
      </xdr:nvSpPr>
      <xdr:spPr>
        <a:xfrm>
          <a:off x="13682903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36650D-0B15-429D-B6B5-0AC39BC97FBE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2D7214-5C0F-459C-AF4C-4F604745B94D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411C43-E75F-4375-BF14-75DB82B0C7DE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329005</xdr:colOff>
      <xdr:row>2</xdr:row>
      <xdr:rowOff>53788</xdr:rowOff>
    </xdr:from>
    <xdr:to>
      <xdr:col>19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93BA08-AAC0-4DAF-A300-7906D725E92F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18</xdr:col>
      <xdr:colOff>332521</xdr:colOff>
      <xdr:row>3</xdr:row>
      <xdr:rowOff>137024</xdr:rowOff>
    </xdr:from>
    <xdr:to>
      <xdr:col>19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274BDE-B1C0-4033-B984-000FB5B26827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18</xdr:col>
      <xdr:colOff>338378</xdr:colOff>
      <xdr:row>5</xdr:row>
      <xdr:rowOff>19798</xdr:rowOff>
    </xdr:from>
    <xdr:to>
      <xdr:col>19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2524EC-71EC-4B4E-91BE-AD98981E518A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B24A4F-F6D3-4AB4-8E1A-77B2B36099BD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214598-28A6-4EB9-B4DD-A2B461D90B1F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E8FE17-4109-42E9-9D77-3191103A3773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DDAE45-8AB0-4B07-B914-3B3C9823B65F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0020A9-EABB-4566-8B46-DE29F14F9C19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60A2A2D-2174-4625-ACB2-F6D12EC6A685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AA8DE4-96CF-4F8B-8429-EF5E88C71AC3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6D3910-6DDB-4AB5-92E4-6A919CE958F4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661EE9-CCF7-429D-9C22-D853B6CA08B1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586617-4EA9-4477-9A6F-0BDB6F0B65A1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0DE9E5-9023-4845-BA64-A16A86D52912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C07FF7-2796-40D9-B152-2CAF984B69E8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329005</xdr:colOff>
      <xdr:row>2</xdr:row>
      <xdr:rowOff>53788</xdr:rowOff>
    </xdr:from>
    <xdr:to>
      <xdr:col>20</xdr:col>
      <xdr:colOff>463475</xdr:colOff>
      <xdr:row>3</xdr:row>
      <xdr:rowOff>89647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ED9BCD-1CCD-4385-935C-7063F6860311}"/>
            </a:ext>
          </a:extLst>
        </xdr:cNvPr>
        <xdr:cNvSpPr/>
      </xdr:nvSpPr>
      <xdr:spPr>
        <a:xfrm>
          <a:off x="14521255" y="491938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CAPA</a:t>
          </a:r>
        </a:p>
      </xdr:txBody>
    </xdr:sp>
    <xdr:clientData/>
  </xdr:twoCellAnchor>
  <xdr:twoCellAnchor>
    <xdr:from>
      <xdr:col>19</xdr:col>
      <xdr:colOff>332521</xdr:colOff>
      <xdr:row>3</xdr:row>
      <xdr:rowOff>137024</xdr:rowOff>
    </xdr:from>
    <xdr:to>
      <xdr:col>20</xdr:col>
      <xdr:colOff>466991</xdr:colOff>
      <xdr:row>4</xdr:row>
      <xdr:rowOff>172883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80314F-1771-4968-AEE9-7AC78CF0BE44}"/>
            </a:ext>
          </a:extLst>
        </xdr:cNvPr>
        <xdr:cNvSpPr/>
      </xdr:nvSpPr>
      <xdr:spPr>
        <a:xfrm>
          <a:off x="14524771" y="765674"/>
          <a:ext cx="848845" cy="226359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PQ</a:t>
          </a:r>
        </a:p>
      </xdr:txBody>
    </xdr:sp>
    <xdr:clientData/>
  </xdr:twoCellAnchor>
  <xdr:twoCellAnchor>
    <xdr:from>
      <xdr:col>19</xdr:col>
      <xdr:colOff>338378</xdr:colOff>
      <xdr:row>5</xdr:row>
      <xdr:rowOff>19798</xdr:rowOff>
    </xdr:from>
    <xdr:to>
      <xdr:col>20</xdr:col>
      <xdr:colOff>472848</xdr:colOff>
      <xdr:row>6</xdr:row>
      <xdr:rowOff>55656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DCEA61-481B-4598-A5F3-613071EA40DC}"/>
            </a:ext>
          </a:extLst>
        </xdr:cNvPr>
        <xdr:cNvSpPr/>
      </xdr:nvSpPr>
      <xdr:spPr>
        <a:xfrm>
          <a:off x="14530628" y="1029448"/>
          <a:ext cx="848845" cy="226358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RESUMO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ygor.bastos@consorcio381.com.br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1E09-50EE-46CB-901B-E2DE4BBD3C24}">
  <sheetPr>
    <pageSetUpPr fitToPage="1"/>
  </sheetPr>
  <dimension ref="A1:L31"/>
  <sheetViews>
    <sheetView workbookViewId="0">
      <selection activeCell="N10" sqref="N10"/>
    </sheetView>
  </sheetViews>
  <sheetFormatPr defaultColWidth="10.7109375" defaultRowHeight="19.899999999999999" customHeight="1" x14ac:dyDescent="0.25"/>
  <cols>
    <col min="1" max="12" width="12.7109375" style="1" customWidth="1"/>
  </cols>
  <sheetData>
    <row r="1" spans="1:12" ht="19.899999999999999" customHeight="1" thickTop="1" x14ac:dyDescent="0.25">
      <c r="A1" s="438" t="e" vm="1">
        <v>#VALUE!</v>
      </c>
      <c r="B1" s="439"/>
      <c r="C1" s="439" t="e" vm="2">
        <v>#VALUE!</v>
      </c>
      <c r="D1" s="439"/>
      <c r="E1" s="442" t="s">
        <v>0</v>
      </c>
      <c r="F1" s="442"/>
      <c r="G1" s="442"/>
      <c r="H1" s="442"/>
      <c r="I1" s="444" t="s">
        <v>1</v>
      </c>
      <c r="J1" s="444"/>
      <c r="K1" s="444" t="s">
        <v>2</v>
      </c>
      <c r="L1" s="445"/>
    </row>
    <row r="2" spans="1:12" ht="30" customHeight="1" thickBot="1" x14ac:dyDescent="0.3">
      <c r="A2" s="440"/>
      <c r="B2" s="441"/>
      <c r="C2" s="441"/>
      <c r="D2" s="441"/>
      <c r="E2" s="443"/>
      <c r="F2" s="443"/>
      <c r="G2" s="443"/>
      <c r="H2" s="443"/>
      <c r="I2" s="446">
        <v>3</v>
      </c>
      <c r="J2" s="446"/>
      <c r="K2" s="447" t="s">
        <v>471</v>
      </c>
      <c r="L2" s="448"/>
    </row>
    <row r="3" spans="1:12" ht="4.9000000000000004" customHeight="1" thickTop="1" thickBot="1" x14ac:dyDescent="0.3">
      <c r="I3" s="71"/>
      <c r="J3" s="71"/>
      <c r="K3" s="2"/>
      <c r="L3" s="2"/>
    </row>
    <row r="4" spans="1:12" ht="19.899999999999999" customHeight="1" thickTop="1" x14ac:dyDescent="0.25">
      <c r="A4" s="76" t="s">
        <v>3</v>
      </c>
      <c r="B4" s="432" t="s">
        <v>4</v>
      </c>
      <c r="C4" s="432"/>
      <c r="D4" s="77" t="s">
        <v>5</v>
      </c>
      <c r="E4" s="433" t="s">
        <v>6</v>
      </c>
      <c r="F4" s="433"/>
      <c r="G4" s="434"/>
      <c r="H4" s="435" t="s">
        <v>7</v>
      </c>
      <c r="I4" s="436"/>
      <c r="J4" s="436"/>
      <c r="K4" s="436"/>
      <c r="L4" s="437"/>
    </row>
    <row r="5" spans="1:12" ht="19.899999999999999" customHeight="1" x14ac:dyDescent="0.25">
      <c r="A5" s="78" t="s">
        <v>8</v>
      </c>
      <c r="B5" s="419" t="s">
        <v>9</v>
      </c>
      <c r="C5" s="419"/>
      <c r="D5" s="419"/>
      <c r="E5" s="419"/>
      <c r="F5" s="419"/>
      <c r="G5" s="420"/>
      <c r="H5" s="421" t="s">
        <v>10</v>
      </c>
      <c r="I5" s="422"/>
      <c r="J5" s="423">
        <f>PQ!E140</f>
        <v>6891850.4270399995</v>
      </c>
      <c r="K5" s="423"/>
      <c r="L5" s="424">
        <f ca="1">SUM(L12:L13,L17,L22,L27:L28)</f>
        <v>0.9837142419248297</v>
      </c>
    </row>
    <row r="6" spans="1:12" ht="19.899999999999999" customHeight="1" x14ac:dyDescent="0.25">
      <c r="A6" s="78" t="s">
        <v>11</v>
      </c>
      <c r="B6" s="419" t="s">
        <v>12</v>
      </c>
      <c r="C6" s="426"/>
      <c r="D6" s="426"/>
      <c r="E6" s="426"/>
      <c r="F6" s="426"/>
      <c r="G6" s="427"/>
      <c r="H6" s="421"/>
      <c r="I6" s="422"/>
      <c r="J6" s="423"/>
      <c r="K6" s="423"/>
      <c r="L6" s="424"/>
    </row>
    <row r="7" spans="1:12" ht="19.899999999999999" customHeight="1" x14ac:dyDescent="0.25">
      <c r="A7" s="78" t="s">
        <v>13</v>
      </c>
      <c r="B7" s="419" t="s">
        <v>14</v>
      </c>
      <c r="C7" s="426"/>
      <c r="D7" s="79" t="s">
        <v>15</v>
      </c>
      <c r="E7" s="419"/>
      <c r="F7" s="426"/>
      <c r="G7" s="427"/>
      <c r="H7" s="421" t="s">
        <v>16</v>
      </c>
      <c r="I7" s="422"/>
      <c r="J7" s="423">
        <f ca="1">SUM(G12,G13,G17,G22,G27,G28)</f>
        <v>2352439.6270399988</v>
      </c>
      <c r="K7" s="423"/>
      <c r="L7" s="424"/>
    </row>
    <row r="8" spans="1:12" ht="19.899999999999999" customHeight="1" thickBot="1" x14ac:dyDescent="0.3">
      <c r="A8" s="80" t="s">
        <v>17</v>
      </c>
      <c r="B8" s="431">
        <f>I2</f>
        <v>3</v>
      </c>
      <c r="C8" s="411"/>
      <c r="D8" s="81" t="s">
        <v>18</v>
      </c>
      <c r="E8" s="410" t="s">
        <v>389</v>
      </c>
      <c r="F8" s="411"/>
      <c r="G8" s="412"/>
      <c r="H8" s="428"/>
      <c r="I8" s="429"/>
      <c r="J8" s="430"/>
      <c r="K8" s="430"/>
      <c r="L8" s="425"/>
    </row>
    <row r="9" spans="1:12" ht="4.9000000000000004" customHeight="1" thickTop="1" thickBot="1" x14ac:dyDescent="0.3"/>
    <row r="10" spans="1:12" ht="19.899999999999999" customHeight="1" thickTop="1" x14ac:dyDescent="0.25">
      <c r="A10" s="413" t="s">
        <v>19</v>
      </c>
      <c r="B10" s="414"/>
      <c r="C10" s="414"/>
      <c r="D10" s="414"/>
      <c r="E10" s="414" t="s">
        <v>20</v>
      </c>
      <c r="F10" s="414"/>
      <c r="G10" s="414" t="str">
        <f>_xlfn.CONCAT(TEXT(I2,"00"),"ª MEDIÇÃO"," ",K2)</f>
        <v>03ª MEDIÇÃO FINAL</v>
      </c>
      <c r="H10" s="414"/>
      <c r="I10" s="414" t="s">
        <v>21</v>
      </c>
      <c r="J10" s="417"/>
      <c r="K10" s="408" t="s">
        <v>22</v>
      </c>
      <c r="L10" s="403" t="s">
        <v>23</v>
      </c>
    </row>
    <row r="11" spans="1:12" ht="19.899999999999999" customHeight="1" thickBot="1" x14ac:dyDescent="0.3">
      <c r="A11" s="415"/>
      <c r="B11" s="416"/>
      <c r="C11" s="416"/>
      <c r="D11" s="416"/>
      <c r="E11" s="416"/>
      <c r="F11" s="416"/>
      <c r="G11" s="416"/>
      <c r="H11" s="416"/>
      <c r="I11" s="416"/>
      <c r="J11" s="418"/>
      <c r="K11" s="409"/>
      <c r="L11" s="404"/>
    </row>
    <row r="12" spans="1:12" s="134" customFormat="1" ht="19.899999999999999" customHeight="1" thickTop="1" x14ac:dyDescent="0.25">
      <c r="A12" s="131" t="str">
        <f>PQ!B13</f>
        <v>A.</v>
      </c>
      <c r="B12" s="405" t="str">
        <f>UPPER(VLOOKUP(A12,RESUMO!C:D,2,FALSE))</f>
        <v>CUSTOS INDIRETOS</v>
      </c>
      <c r="C12" s="405"/>
      <c r="D12" s="405"/>
      <c r="E12" s="406">
        <f ca="1">VLOOKUP($A12,PQ!$B:$R,9,FALSE)*1.182</f>
        <v>650700.05411999987</v>
      </c>
      <c r="F12" s="406"/>
      <c r="G12" s="406">
        <f ca="1">VLOOKUP($A12,PQ!$B:$R,11,FALSE)*1.182</f>
        <v>0</v>
      </c>
      <c r="H12" s="406"/>
      <c r="I12" s="406">
        <f ca="1">VLOOKUP($A12,PQ!$B:$R,13,FALSE)*1.182</f>
        <v>650700.05411999987</v>
      </c>
      <c r="J12" s="407"/>
      <c r="K12" s="132" t="str">
        <f t="shared" ref="K12:K30" ca="1" si="0">IF(G12/$J$5=0,"",G12/$J$5)</f>
        <v/>
      </c>
      <c r="L12" s="133">
        <f t="shared" ref="L12:L30" ca="1" si="1">IF(I12/$J$5=0,"",I12/$J$5)</f>
        <v>9.4415870020480241E-2</v>
      </c>
    </row>
    <row r="13" spans="1:12" s="134" customFormat="1" ht="19.899999999999999" customHeight="1" x14ac:dyDescent="0.25">
      <c r="A13" s="135" t="str">
        <f>PQ!B17</f>
        <v>B.</v>
      </c>
      <c r="B13" s="396" t="str">
        <f>UPPER(VLOOKUP(A13,RESUMO!C:D,2,FALSE))</f>
        <v>ESTABILIZAÇÃO DE TALUDE</v>
      </c>
      <c r="C13" s="397"/>
      <c r="D13" s="397"/>
      <c r="E13" s="398">
        <f ca="1">VLOOKUP($A13,PQ!$B:$R,9,FALSE)*1.182</f>
        <v>2361880.2204596312</v>
      </c>
      <c r="F13" s="398"/>
      <c r="G13" s="398">
        <f ca="1">VLOOKUP($A13,PQ!$B:$R,11,FALSE)*1.182</f>
        <v>2211056.0232989779</v>
      </c>
      <c r="H13" s="398"/>
      <c r="I13" s="398">
        <f ca="1">VLOOKUP($A13,PQ!$B:$R,13,FALSE)*1.182</f>
        <v>4572936.2437586086</v>
      </c>
      <c r="J13" s="399"/>
      <c r="K13" s="136">
        <f t="shared" ca="1" si="0"/>
        <v>0.32082182379117746</v>
      </c>
      <c r="L13" s="137">
        <f t="shared" ca="1" si="1"/>
        <v>0.66352807452361562</v>
      </c>
    </row>
    <row r="14" spans="1:12" ht="19.899999999999999" customHeight="1" x14ac:dyDescent="0.25">
      <c r="A14" s="138" t="str">
        <f>PQ!B18</f>
        <v>B.1</v>
      </c>
      <c r="B14" s="400" t="str">
        <f>UPPER(VLOOKUP(A14,RESUMO!C:D,2,FALSE))</f>
        <v>TERRAPLENAGEM</v>
      </c>
      <c r="C14" s="400"/>
      <c r="D14" s="400"/>
      <c r="E14" s="401">
        <f ca="1">VLOOKUP($A14,PQ!$B:$R,9,FALSE)*1.182</f>
        <v>2085619.731383631</v>
      </c>
      <c r="F14" s="401"/>
      <c r="G14" s="401">
        <f ca="1">VLOOKUP($A14,PQ!$B:$R,11,FALSE)*1.182</f>
        <v>1036960.6911792665</v>
      </c>
      <c r="H14" s="401"/>
      <c r="I14" s="401">
        <f ca="1">VLOOKUP($A14,PQ!$B:$R,13,FALSE)*1.182</f>
        <v>3122580.4225628972</v>
      </c>
      <c r="J14" s="402"/>
      <c r="K14" s="391">
        <f t="shared" ca="1" si="0"/>
        <v>0.15046186828297634</v>
      </c>
      <c r="L14" s="389">
        <f t="shared" ca="1" si="1"/>
        <v>0.45308302256699196</v>
      </c>
    </row>
    <row r="15" spans="1:12" ht="19.899999999999999" customHeight="1" x14ac:dyDescent="0.25">
      <c r="A15" s="138" t="str">
        <f>PQ!B28</f>
        <v>B.2</v>
      </c>
      <c r="B15" s="400" t="str">
        <f>UPPER(VLOOKUP(A15,RESUMO!C:D,2,FALSE))</f>
        <v>DRENAGEM E OACS</v>
      </c>
      <c r="C15" s="400"/>
      <c r="D15" s="400"/>
      <c r="E15" s="401">
        <f ca="1">VLOOKUP($A15,PQ!$B:$R,9,FALSE)*1.182</f>
        <v>0</v>
      </c>
      <c r="F15" s="401"/>
      <c r="G15" s="401">
        <f ca="1">VLOOKUP($A15,PQ!$B:$R,11,FALSE)*1.182</f>
        <v>439810.25411699992</v>
      </c>
      <c r="H15" s="401"/>
      <c r="I15" s="401">
        <f ca="1">VLOOKUP($A15,PQ!$B:$R,13,FALSE)*1.182</f>
        <v>439810.25411699992</v>
      </c>
      <c r="J15" s="402"/>
      <c r="K15" s="391">
        <f t="shared" ca="1" si="0"/>
        <v>6.3815989446232846E-2</v>
      </c>
      <c r="L15" s="389">
        <f t="shared" ca="1" si="1"/>
        <v>6.3815989446232846E-2</v>
      </c>
    </row>
    <row r="16" spans="1:12" ht="19.899999999999999" customHeight="1" x14ac:dyDescent="0.25">
      <c r="A16" s="138" t="str">
        <f>PQ!B38</f>
        <v>B.3</v>
      </c>
      <c r="B16" s="400" t="str">
        <f>UPPER(VLOOKUP(A16,RESUMO!C:D,2,FALSE))</f>
        <v>REVESTIMENTO VEGETAL</v>
      </c>
      <c r="C16" s="400"/>
      <c r="D16" s="400"/>
      <c r="E16" s="401">
        <f ca="1">VLOOKUP($A16,PQ!$B:$R,9,FALSE)*1.182</f>
        <v>276260.489076</v>
      </c>
      <c r="F16" s="401"/>
      <c r="G16" s="401">
        <f ca="1">VLOOKUP($A16,PQ!$B:$R,11,FALSE)*1.182</f>
        <v>734285.07800271141</v>
      </c>
      <c r="H16" s="401"/>
      <c r="I16" s="401">
        <f ca="1">VLOOKUP($A16,PQ!$B:$R,13,FALSE)*1.182</f>
        <v>1010545.5670787115</v>
      </c>
      <c r="J16" s="402"/>
      <c r="K16" s="391">
        <f t="shared" ca="1" si="0"/>
        <v>0.1065439660619683</v>
      </c>
      <c r="L16" s="389">
        <f t="shared" ca="1" si="1"/>
        <v>0.14662906251039079</v>
      </c>
    </row>
    <row r="17" spans="1:12" s="134" customFormat="1" ht="19.899999999999999" customHeight="1" x14ac:dyDescent="0.25">
      <c r="A17" s="135" t="str">
        <f>PQ!B41</f>
        <v>C.</v>
      </c>
      <c r="B17" s="396" t="str">
        <f>UPPER(VLOOKUP(A17,RESUMO!C:D,2,FALSE))</f>
        <v>IMPLANTAÇÃO DE DESVIO 1 - KM 303+450 - LESTE</v>
      </c>
      <c r="C17" s="397"/>
      <c r="D17" s="397"/>
      <c r="E17" s="398">
        <f ca="1">VLOOKUP($A17,PQ!$B:$R,9,FALSE)*1.182</f>
        <v>917970.25433991197</v>
      </c>
      <c r="F17" s="398"/>
      <c r="G17" s="398">
        <f ca="1">VLOOKUP($A17,PQ!$B:$R,11,FALSE)*1.182</f>
        <v>31336.711199999991</v>
      </c>
      <c r="H17" s="398"/>
      <c r="I17" s="398">
        <f ca="1">VLOOKUP($A17,PQ!$B:$R,13,FALSE)*1.182</f>
        <v>949306.96553991188</v>
      </c>
      <c r="J17" s="399"/>
      <c r="K17" s="136">
        <f t="shared" ca="1" si="0"/>
        <v>4.5469227070064093E-3</v>
      </c>
      <c r="L17" s="137">
        <f t="shared" ca="1" si="1"/>
        <v>0.13774340804253821</v>
      </c>
    </row>
    <row r="18" spans="1:12" ht="19.899999999999999" customHeight="1" x14ac:dyDescent="0.25">
      <c r="A18" s="138" t="str">
        <f>PQ!B42</f>
        <v>C.1</v>
      </c>
      <c r="B18" s="400" t="str">
        <f>UPPER(VLOOKUP(A18,RESUMO!C:D,2,FALSE))</f>
        <v>TERRAPLENAGEM</v>
      </c>
      <c r="C18" s="400"/>
      <c r="D18" s="400"/>
      <c r="E18" s="401">
        <f ca="1">VLOOKUP($A18,PQ!$B:$R,9,FALSE)*1.182</f>
        <v>29257.460807734657</v>
      </c>
      <c r="F18" s="401"/>
      <c r="G18" s="401">
        <f ca="1">VLOOKUP($A18,PQ!$B:$R,11,FALSE)*1.182</f>
        <v>0</v>
      </c>
      <c r="H18" s="401"/>
      <c r="I18" s="401">
        <f ca="1">VLOOKUP($A18,PQ!$B:$R,13,FALSE)*1.182</f>
        <v>29257.460807734657</v>
      </c>
      <c r="J18" s="402"/>
      <c r="K18" s="391" t="str">
        <f t="shared" ca="1" si="0"/>
        <v/>
      </c>
      <c r="L18" s="389">
        <f t="shared" ca="1" si="1"/>
        <v>4.2452257368998832E-3</v>
      </c>
    </row>
    <row r="19" spans="1:12" ht="19.899999999999999" customHeight="1" x14ac:dyDescent="0.25">
      <c r="A19" s="138" t="str">
        <f>PQ!B48</f>
        <v>C.2</v>
      </c>
      <c r="B19" s="400" t="str">
        <f>UPPER(VLOOKUP(A19,RESUMO!C:D,2,FALSE))</f>
        <v>PAVIMENTAÇÃO</v>
      </c>
      <c r="C19" s="400"/>
      <c r="D19" s="400"/>
      <c r="E19" s="401">
        <f ca="1">VLOOKUP($A19,PQ!$B:$R,9,FALSE)*1.182</f>
        <v>510414.7926794138</v>
      </c>
      <c r="F19" s="401"/>
      <c r="G19" s="401">
        <f ca="1">VLOOKUP($A19,PQ!$B:$R,11,FALSE)*1.182</f>
        <v>0</v>
      </c>
      <c r="H19" s="401"/>
      <c r="I19" s="401">
        <f ca="1">VLOOKUP($A19,PQ!$B:$R,13,FALSE)*1.182</f>
        <v>510414.7926794138</v>
      </c>
      <c r="J19" s="402"/>
      <c r="K19" s="391" t="str">
        <f t="shared" ca="1" si="0"/>
        <v/>
      </c>
      <c r="L19" s="389">
        <f t="shared" ca="1" si="1"/>
        <v>7.4060631187933851E-2</v>
      </c>
    </row>
    <row r="20" spans="1:12" ht="19.899999999999999" customHeight="1" x14ac:dyDescent="0.25">
      <c r="A20" s="138" t="str">
        <f>PQ!B55</f>
        <v>C.3</v>
      </c>
      <c r="B20" s="400" t="str">
        <f>UPPER(VLOOKUP(A20,RESUMO!C:D,2,FALSE))</f>
        <v>MATERIAL BETUMINOSO E TRANSPORTES</v>
      </c>
      <c r="C20" s="400"/>
      <c r="D20" s="400"/>
      <c r="E20" s="401">
        <f ca="1">VLOOKUP($A20,PQ!$B:$R,9,FALSE)*1.182</f>
        <v>378298.00085276336</v>
      </c>
      <c r="F20" s="401"/>
      <c r="G20" s="401">
        <f ca="1">VLOOKUP($A20,PQ!$B:$R,11,FALSE)*1.182</f>
        <v>0</v>
      </c>
      <c r="H20" s="401"/>
      <c r="I20" s="401">
        <f ca="1">VLOOKUP($A20,PQ!$B:$R,13,FALSE)*1.182</f>
        <v>378298.00085276336</v>
      </c>
      <c r="J20" s="402"/>
      <c r="K20" s="391" t="str">
        <f t="shared" ca="1" si="0"/>
        <v/>
      </c>
      <c r="L20" s="389">
        <f t="shared" ca="1" si="1"/>
        <v>5.4890628410698063E-2</v>
      </c>
    </row>
    <row r="21" spans="1:12" ht="19.899999999999999" customHeight="1" x14ac:dyDescent="0.25">
      <c r="A21" s="138" t="str">
        <f>PQ!B62</f>
        <v>C.4</v>
      </c>
      <c r="B21" s="400" t="str">
        <f>UPPER(VLOOKUP(A21,RESUMO!C:D,2,FALSE))</f>
        <v>DRENAGEM E OACS</v>
      </c>
      <c r="C21" s="400"/>
      <c r="D21" s="400"/>
      <c r="E21" s="401">
        <f ca="1">VLOOKUP($A21,PQ!$B:$R,9,FALSE)*1.182</f>
        <v>0</v>
      </c>
      <c r="F21" s="401"/>
      <c r="G21" s="401">
        <f ca="1">VLOOKUP($A21,PQ!$B:$R,11,FALSE)*1.182</f>
        <v>31336.711199999991</v>
      </c>
      <c r="H21" s="401"/>
      <c r="I21" s="401">
        <f ca="1">VLOOKUP($A21,PQ!$B:$R,13,FALSE)*1.182</f>
        <v>31336.711199999991</v>
      </c>
      <c r="J21" s="402"/>
      <c r="K21" s="391">
        <f t="shared" ca="1" si="0"/>
        <v>4.5469227070064093E-3</v>
      </c>
      <c r="L21" s="389">
        <f t="shared" ca="1" si="1"/>
        <v>4.5469227070064093E-3</v>
      </c>
    </row>
    <row r="22" spans="1:12" s="134" customFormat="1" ht="19.899999999999999" customHeight="1" x14ac:dyDescent="0.25">
      <c r="A22" s="135" t="str">
        <f>PQ!B68</f>
        <v>D.</v>
      </c>
      <c r="B22" s="396" t="str">
        <f>UPPER(VLOOKUP(A22,RESUMO!C:D,2,FALSE))</f>
        <v>IMPLANTAÇÃO DE DESVIOS 2 E 3</v>
      </c>
      <c r="C22" s="397"/>
      <c r="D22" s="397"/>
      <c r="E22" s="398">
        <f ca="1">VLOOKUP($A22,PQ!$B:$R,9,FALSE)*1.182</f>
        <v>473829.20983519824</v>
      </c>
      <c r="F22" s="398"/>
      <c r="G22" s="398">
        <f ca="1">VLOOKUP($A22,PQ!$B:$R,11,FALSE)*1.182</f>
        <v>-11511.412186815924</v>
      </c>
      <c r="H22" s="398"/>
      <c r="I22" s="398">
        <f ca="1">VLOOKUP($A22,PQ!$B:$R,13,FALSE)*1.182</f>
        <v>462317.79764838237</v>
      </c>
      <c r="J22" s="399"/>
      <c r="K22" s="136">
        <f t="shared" ca="1" si="0"/>
        <v>-1.6702933861784334E-3</v>
      </c>
      <c r="L22" s="137">
        <f t="shared" ca="1" si="1"/>
        <v>6.708180952890247E-2</v>
      </c>
    </row>
    <row r="23" spans="1:12" ht="19.899999999999999" customHeight="1" x14ac:dyDescent="0.25">
      <c r="A23" s="138" t="str">
        <f>PQ!B69</f>
        <v>D.1</v>
      </c>
      <c r="B23" s="400" t="str">
        <f>UPPER(VLOOKUP(A23,RESUMO!C:D,2,FALSE))</f>
        <v>TERRAPLENAGEM</v>
      </c>
      <c r="C23" s="400"/>
      <c r="D23" s="400"/>
      <c r="E23" s="401">
        <f ca="1">VLOOKUP($A23,PQ!$B:$R,9,FALSE)*1.182</f>
        <v>29346.462357662178</v>
      </c>
      <c r="F23" s="401"/>
      <c r="G23" s="401">
        <f ca="1">VLOOKUP($A23,PQ!$B:$R,11,FALSE)*1.182</f>
        <v>-21369.764986815924</v>
      </c>
      <c r="H23" s="401"/>
      <c r="I23" s="401">
        <f ca="1">VLOOKUP($A23,PQ!$B:$R,13,FALSE)*1.182</f>
        <v>7976.6973708462519</v>
      </c>
      <c r="J23" s="402"/>
      <c r="K23" s="391">
        <f t="shared" ca="1" si="0"/>
        <v>-3.1007296535299424E-3</v>
      </c>
      <c r="L23" s="389">
        <f t="shared" ca="1" si="1"/>
        <v>1.1574101114484267E-3</v>
      </c>
    </row>
    <row r="24" spans="1:12" ht="19.899999999999999" customHeight="1" x14ac:dyDescent="0.25">
      <c r="A24" s="138" t="str">
        <f>PQ!B75</f>
        <v>D.2</v>
      </c>
      <c r="B24" s="400" t="str">
        <f>UPPER(VLOOKUP(A24,RESUMO!C:D,2,FALSE))</f>
        <v>PAVIMENTO</v>
      </c>
      <c r="C24" s="400"/>
      <c r="D24" s="400"/>
      <c r="E24" s="401">
        <f ca="1">VLOOKUP($A24,PQ!$B:$R,9,FALSE)*1.182</f>
        <v>254629.92163611233</v>
      </c>
      <c r="F24" s="401"/>
      <c r="G24" s="401">
        <f ca="1">VLOOKUP($A24,PQ!$B:$R,11,FALSE)*1.182</f>
        <v>0</v>
      </c>
      <c r="H24" s="401"/>
      <c r="I24" s="401">
        <f ca="1">VLOOKUP($A24,PQ!$B:$R,13,FALSE)*1.182</f>
        <v>254629.92163611233</v>
      </c>
      <c r="J24" s="402"/>
      <c r="K24" s="391" t="str">
        <f t="shared" ca="1" si="0"/>
        <v/>
      </c>
      <c r="L24" s="389">
        <f t="shared" ca="1" si="1"/>
        <v>3.6946524642653057E-2</v>
      </c>
    </row>
    <row r="25" spans="1:12" ht="19.899999999999999" customHeight="1" x14ac:dyDescent="0.25">
      <c r="A25" s="138" t="str">
        <f>PQ!B83</f>
        <v>D.3</v>
      </c>
      <c r="B25" s="400" t="str">
        <f>UPPER(VLOOKUP(A25,RESUMO!C:D,2,FALSE))</f>
        <v>MATERIAL BETUMINOSO E TRANSPORTES</v>
      </c>
      <c r="C25" s="400"/>
      <c r="D25" s="400"/>
      <c r="E25" s="401">
        <f ca="1">VLOOKUP($A25,PQ!$B:$R,9,FALSE)*1.182</f>
        <v>189852.82584142376</v>
      </c>
      <c r="F25" s="401"/>
      <c r="G25" s="401">
        <f ca="1">VLOOKUP($A25,PQ!$B:$R,11,FALSE)*1.182</f>
        <v>0</v>
      </c>
      <c r="H25" s="401"/>
      <c r="I25" s="401">
        <f ca="1">VLOOKUP($A25,PQ!$B:$R,13,FALSE)*1.182</f>
        <v>189852.82584142376</v>
      </c>
      <c r="J25" s="402"/>
      <c r="K25" s="391" t="str">
        <f t="shared" ca="1" si="0"/>
        <v/>
      </c>
      <c r="L25" s="389">
        <f t="shared" ca="1" si="1"/>
        <v>2.7547438507449472E-2</v>
      </c>
    </row>
    <row r="26" spans="1:12" ht="19.899999999999999" customHeight="1" x14ac:dyDescent="0.25">
      <c r="A26" s="138" t="str">
        <f>PQ!B90</f>
        <v>D.4</v>
      </c>
      <c r="B26" s="400" t="str">
        <f>UPPER(VLOOKUP(A26,RESUMO!C:D,2,FALSE))</f>
        <v>DRENAGEM E OACS</v>
      </c>
      <c r="C26" s="400"/>
      <c r="D26" s="400"/>
      <c r="E26" s="401">
        <f ca="1">VLOOKUP($A26,PQ!$B:$R,9,FALSE)*1.182</f>
        <v>0</v>
      </c>
      <c r="F26" s="401"/>
      <c r="G26" s="401">
        <f ca="1">VLOOKUP($A26,PQ!$B:$R,11,FALSE)*1.182</f>
        <v>9858.3528000000006</v>
      </c>
      <c r="H26" s="401"/>
      <c r="I26" s="401">
        <f ca="1">VLOOKUP($A26,PQ!$B:$R,13,FALSE)*1.182</f>
        <v>9858.3528000000006</v>
      </c>
      <c r="J26" s="402"/>
      <c r="K26" s="391">
        <f t="shared" ca="1" si="0"/>
        <v>1.430436267351509E-3</v>
      </c>
      <c r="L26" s="389">
        <f t="shared" ca="1" si="1"/>
        <v>1.430436267351509E-3</v>
      </c>
    </row>
    <row r="27" spans="1:12" s="134" customFormat="1" ht="19.899999999999999" customHeight="1" x14ac:dyDescent="0.25">
      <c r="A27" s="135" t="str">
        <f>PQ!B93</f>
        <v>E.</v>
      </c>
      <c r="B27" s="396" t="str">
        <f>UPPER(VLOOKUP(A27,RESUMO!C:D,2,FALSE))</f>
        <v>SINALIZAÇÃO HORIZONTAL, VERTICAL E ELEMENTOS DE PROTEÇÃO E SEGURANÇA</v>
      </c>
      <c r="C27" s="397"/>
      <c r="D27" s="397"/>
      <c r="E27" s="398">
        <f ca="1">VLOOKUP($A27,PQ!$B:$R,9,FALSE)*1.182</f>
        <v>22792.052500226819</v>
      </c>
      <c r="F27" s="398"/>
      <c r="G27" s="398">
        <f ca="1">VLOOKUP($A27,PQ!$B:$R,11,FALSE)*1.182</f>
        <v>0</v>
      </c>
      <c r="H27" s="398"/>
      <c r="I27" s="398">
        <f ca="1">VLOOKUP($A27,PQ!$B:$R,13,FALSE)*1.182</f>
        <v>22792.052500226819</v>
      </c>
      <c r="J27" s="399"/>
      <c r="K27" s="136" t="str">
        <f t="shared" ca="1" si="0"/>
        <v/>
      </c>
      <c r="L27" s="137">
        <f t="shared" ca="1" si="1"/>
        <v>3.3071020245597294E-3</v>
      </c>
    </row>
    <row r="28" spans="1:12" s="134" customFormat="1" ht="19.899999999999999" customHeight="1" x14ac:dyDescent="0.25">
      <c r="A28" s="135" t="str">
        <f>PQ!B95</f>
        <v>F.</v>
      </c>
      <c r="B28" s="396" t="str">
        <f>UPPER(VLOOKUP(A28,RESUMO!C:D,2,FALSE))</f>
        <v>MÃO DE OBRA E EQUIPAMENTOS</v>
      </c>
      <c r="C28" s="397"/>
      <c r="D28" s="397"/>
      <c r="E28" s="398">
        <f ca="1">VLOOKUP($A28,PQ!$B:$R,9,FALSE)*1.182</f>
        <v>0</v>
      </c>
      <c r="F28" s="398"/>
      <c r="G28" s="398">
        <f ca="1">VLOOKUP($A28,PQ!$B:$R,11,FALSE)*1.182</f>
        <v>121558.30472783698</v>
      </c>
      <c r="H28" s="398"/>
      <c r="I28" s="398">
        <f ca="1">VLOOKUP($A28,PQ!$B:$R,13,FALSE)*1.182</f>
        <v>121558.30472783698</v>
      </c>
      <c r="J28" s="399"/>
      <c r="K28" s="136">
        <f t="shared" ca="1" si="0"/>
        <v>1.7637977784733409E-2</v>
      </c>
      <c r="L28" s="137">
        <f t="shared" ca="1" si="1"/>
        <v>1.7637977784733409E-2</v>
      </c>
    </row>
    <row r="29" spans="1:12" ht="19.899999999999999" customHeight="1" x14ac:dyDescent="0.25">
      <c r="A29" s="138" t="str">
        <f>PQ!B96</f>
        <v>F.1</v>
      </c>
      <c r="B29" s="400" t="str">
        <f>UPPER(VLOOKUP(A29,RESUMO!C:D,2,FALSE))</f>
        <v>MÃO DE OBRA</v>
      </c>
      <c r="C29" s="400"/>
      <c r="D29" s="400"/>
      <c r="E29" s="401">
        <f ca="1">VLOOKUP($A29,PQ!$B:$R,9,FALSE)*1.182</f>
        <v>0</v>
      </c>
      <c r="F29" s="401"/>
      <c r="G29" s="401">
        <f ca="1">VLOOKUP($A29,PQ!$B:$R,11,FALSE)*1.182</f>
        <v>15329.925359999999</v>
      </c>
      <c r="H29" s="401"/>
      <c r="I29" s="401">
        <f ca="1">VLOOKUP($A29,PQ!$B:$R,13,FALSE)*1.182</f>
        <v>15329.925359999999</v>
      </c>
      <c r="J29" s="402"/>
      <c r="K29" s="391">
        <f t="shared" ca="1" si="0"/>
        <v>2.2243554938240428E-3</v>
      </c>
      <c r="L29" s="389">
        <f t="shared" ca="1" si="1"/>
        <v>2.2243554938240428E-3</v>
      </c>
    </row>
    <row r="30" spans="1:12" ht="19.899999999999999" customHeight="1" thickBot="1" x14ac:dyDescent="0.3">
      <c r="A30" s="388" t="str">
        <f>PQ!B100</f>
        <v>F.2</v>
      </c>
      <c r="B30" s="393" t="str">
        <f>UPPER(VLOOKUP(A30,RESUMO!C:D,2,FALSE))</f>
        <v>EQUIPAMENTOS</v>
      </c>
      <c r="C30" s="393"/>
      <c r="D30" s="393"/>
      <c r="E30" s="394">
        <f ca="1">VLOOKUP($A30,PQ!$B:$R,9,FALSE)*1.182</f>
        <v>0</v>
      </c>
      <c r="F30" s="394"/>
      <c r="G30" s="394">
        <f ca="1">VLOOKUP($A30,PQ!$B:$R,11,FALSE)*1.182</f>
        <v>106228.37936783698</v>
      </c>
      <c r="H30" s="394"/>
      <c r="I30" s="394">
        <f ca="1">VLOOKUP($A30,PQ!$B:$R,13,FALSE)*1.182</f>
        <v>106228.37936783698</v>
      </c>
      <c r="J30" s="395"/>
      <c r="K30" s="392">
        <f t="shared" ca="1" si="0"/>
        <v>1.5413622290909368E-2</v>
      </c>
      <c r="L30" s="390">
        <f t="shared" ca="1" si="1"/>
        <v>1.5413622290909368E-2</v>
      </c>
    </row>
    <row r="31" spans="1:12" ht="19.899999999999999" customHeight="1" thickTop="1" x14ac:dyDescent="0.25"/>
  </sheetData>
  <mergeCells count="103">
    <mergeCell ref="B4:C4"/>
    <mergeCell ref="E4:G4"/>
    <mergeCell ref="H4:L4"/>
    <mergeCell ref="A1:B2"/>
    <mergeCell ref="C1:D2"/>
    <mergeCell ref="E1:H2"/>
    <mergeCell ref="I1:J1"/>
    <mergeCell ref="K1:L1"/>
    <mergeCell ref="I2:J2"/>
    <mergeCell ref="K2:L2"/>
    <mergeCell ref="E8:G8"/>
    <mergeCell ref="A10:D11"/>
    <mergeCell ref="E10:F11"/>
    <mergeCell ref="G10:H11"/>
    <mergeCell ref="I10:J11"/>
    <mergeCell ref="B5:G5"/>
    <mergeCell ref="H5:I6"/>
    <mergeCell ref="J5:K6"/>
    <mergeCell ref="L5:L8"/>
    <mergeCell ref="B6:G6"/>
    <mergeCell ref="B7:C7"/>
    <mergeCell ref="E7:G7"/>
    <mergeCell ref="H7:I8"/>
    <mergeCell ref="J7:K8"/>
    <mergeCell ref="B8:C8"/>
    <mergeCell ref="B14:D14"/>
    <mergeCell ref="E14:F14"/>
    <mergeCell ref="G14:H14"/>
    <mergeCell ref="I14:J14"/>
    <mergeCell ref="B15:D15"/>
    <mergeCell ref="E15:F15"/>
    <mergeCell ref="G15:H15"/>
    <mergeCell ref="I15:J15"/>
    <mergeCell ref="L10:L11"/>
    <mergeCell ref="B12:D12"/>
    <mergeCell ref="E12:F12"/>
    <mergeCell ref="G12:H12"/>
    <mergeCell ref="I12:J12"/>
    <mergeCell ref="K10:K11"/>
    <mergeCell ref="B13:D13"/>
    <mergeCell ref="E13:F13"/>
    <mergeCell ref="G13:H13"/>
    <mergeCell ref="I13:J13"/>
    <mergeCell ref="B17:D17"/>
    <mergeCell ref="E17:F17"/>
    <mergeCell ref="G17:H17"/>
    <mergeCell ref="I17:J17"/>
    <mergeCell ref="B18:D18"/>
    <mergeCell ref="E18:F18"/>
    <mergeCell ref="G18:H18"/>
    <mergeCell ref="I18:J18"/>
    <mergeCell ref="B16:D16"/>
    <mergeCell ref="E16:F16"/>
    <mergeCell ref="G16:H16"/>
    <mergeCell ref="I16:J16"/>
    <mergeCell ref="B23:D23"/>
    <mergeCell ref="E23:F23"/>
    <mergeCell ref="G23:H23"/>
    <mergeCell ref="I23:J23"/>
    <mergeCell ref="B19:D19"/>
    <mergeCell ref="E19:F19"/>
    <mergeCell ref="G19:H19"/>
    <mergeCell ref="I19:J19"/>
    <mergeCell ref="B20:D20"/>
    <mergeCell ref="E20:F20"/>
    <mergeCell ref="G20:H20"/>
    <mergeCell ref="I20:J20"/>
    <mergeCell ref="B21:D21"/>
    <mergeCell ref="E21:F21"/>
    <mergeCell ref="G21:H21"/>
    <mergeCell ref="I21:J21"/>
    <mergeCell ref="B22:D22"/>
    <mergeCell ref="E22:F22"/>
    <mergeCell ref="G22:H22"/>
    <mergeCell ref="I22:J22"/>
    <mergeCell ref="B26:D26"/>
    <mergeCell ref="E26:F26"/>
    <mergeCell ref="G26:H26"/>
    <mergeCell ref="I26:J26"/>
    <mergeCell ref="B27:D27"/>
    <mergeCell ref="E27:F27"/>
    <mergeCell ref="G27:H27"/>
    <mergeCell ref="I27:J27"/>
    <mergeCell ref="B24:D24"/>
    <mergeCell ref="E24:F24"/>
    <mergeCell ref="G24:H24"/>
    <mergeCell ref="I24:J24"/>
    <mergeCell ref="B25:D25"/>
    <mergeCell ref="E25:F25"/>
    <mergeCell ref="G25:H25"/>
    <mergeCell ref="I25:J25"/>
    <mergeCell ref="B30:D30"/>
    <mergeCell ref="E30:F30"/>
    <mergeCell ref="G30:H30"/>
    <mergeCell ref="I30:J30"/>
    <mergeCell ref="B28:D28"/>
    <mergeCell ref="E28:F28"/>
    <mergeCell ref="G28:H28"/>
    <mergeCell ref="I28:J28"/>
    <mergeCell ref="B29:D29"/>
    <mergeCell ref="E29:F29"/>
    <mergeCell ref="G29:H29"/>
    <mergeCell ref="I29:J29"/>
  </mergeCells>
  <dataValidations count="1">
    <dataValidation type="list" allowBlank="1" showInputMessage="1" showErrorMessage="1" sqref="K2:L3" xr:uid="{C4344EA1-F766-4C29-A5C7-3DD9104423A7}">
      <formula1>"PARCIAL,FINAL"</formula1>
    </dataValidation>
  </dataValidations>
  <printOptions horizontalCentered="1"/>
  <pageMargins left="0.39370078740157483" right="0.39370078740157483" top="0.39370078740157483" bottom="0.39370078740157483" header="0.39370078740157483" footer="0.3937007874015748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D7D9-8D6A-4BFB-AC29-B05AF9204455}">
  <sheetPr>
    <pageSetUpPr fitToPage="1"/>
  </sheetPr>
  <dimension ref="B1:W144"/>
  <sheetViews>
    <sheetView topLeftCell="A109" workbookViewId="0">
      <selection activeCell="H149" sqref="H149:H150"/>
    </sheetView>
  </sheetViews>
  <sheetFormatPr defaultColWidth="10.7109375" defaultRowHeight="15" customHeight="1" x14ac:dyDescent="0.25"/>
  <cols>
    <col min="1" max="1" width="10.7109375" style="2"/>
    <col min="2" max="2" width="10.7109375" style="37"/>
    <col min="3" max="3" width="60.7109375" style="37" customWidth="1"/>
    <col min="4" max="5" width="12.7109375" style="37" customWidth="1"/>
    <col min="6" max="8" width="15.7109375" style="69" customWidth="1"/>
    <col min="9" max="13" width="15.7109375" style="37" customWidth="1"/>
    <col min="14" max="19" width="15.7109375" style="2" customWidth="1"/>
    <col min="20" max="23" width="12.7109375" style="2" customWidth="1"/>
    <col min="24" max="16384" width="10.7109375" style="2"/>
  </cols>
  <sheetData>
    <row r="1" spans="2:23" ht="15" customHeight="1" thickBot="1" x14ac:dyDescent="0.3">
      <c r="H1" s="2"/>
    </row>
    <row r="2" spans="2:23" ht="15" customHeight="1" thickTop="1" x14ac:dyDescent="0.25">
      <c r="B2" s="488" t="s">
        <v>24</v>
      </c>
      <c r="C2" s="489"/>
      <c r="D2" s="489"/>
      <c r="E2" s="489"/>
      <c r="F2" s="489"/>
      <c r="G2" s="489"/>
      <c r="H2" s="490"/>
      <c r="I2" s="494" t="s">
        <v>25</v>
      </c>
      <c r="J2" s="495"/>
      <c r="K2" s="496"/>
      <c r="L2" s="497" t="s">
        <v>26</v>
      </c>
      <c r="M2" s="498"/>
      <c r="N2" s="494" t="s">
        <v>27</v>
      </c>
      <c r="O2" s="496"/>
      <c r="P2" s="501" t="s">
        <v>28</v>
      </c>
      <c r="Q2" s="502"/>
      <c r="R2" s="503"/>
      <c r="T2" s="202" t="s">
        <v>29</v>
      </c>
    </row>
    <row r="3" spans="2:23" ht="15" customHeight="1" thickBot="1" x14ac:dyDescent="0.3">
      <c r="B3" s="491"/>
      <c r="C3" s="492"/>
      <c r="D3" s="492"/>
      <c r="E3" s="492"/>
      <c r="F3" s="492"/>
      <c r="G3" s="492"/>
      <c r="H3" s="493"/>
      <c r="I3" s="504" t="s">
        <v>4</v>
      </c>
      <c r="J3" s="505"/>
      <c r="K3" s="506"/>
      <c r="L3" s="499"/>
      <c r="M3" s="500"/>
      <c r="N3" s="139"/>
      <c r="O3" s="140"/>
      <c r="P3" s="507" t="s">
        <v>460</v>
      </c>
      <c r="Q3" s="508"/>
      <c r="R3" s="509"/>
      <c r="T3" s="201" t="s">
        <v>30</v>
      </c>
    </row>
    <row r="4" spans="2:23" ht="15" customHeight="1" thickTop="1" x14ac:dyDescent="0.25">
      <c r="B4" s="491"/>
      <c r="C4" s="492"/>
      <c r="D4" s="492"/>
      <c r="E4" s="492"/>
      <c r="F4" s="492"/>
      <c r="G4" s="492"/>
      <c r="H4" s="493"/>
      <c r="I4" s="510" t="s">
        <v>31</v>
      </c>
      <c r="J4" s="511"/>
      <c r="K4" s="512"/>
      <c r="L4" s="141" t="s">
        <v>32</v>
      </c>
      <c r="M4" s="142">
        <v>45924</v>
      </c>
      <c r="N4" s="143"/>
      <c r="O4" s="144"/>
      <c r="P4" s="513" t="s">
        <v>33</v>
      </c>
      <c r="Q4" s="514"/>
      <c r="R4" s="515"/>
    </row>
    <row r="5" spans="2:23" ht="15" customHeight="1" thickBot="1" x14ac:dyDescent="0.3">
      <c r="B5" s="491"/>
      <c r="C5" s="492"/>
      <c r="D5" s="492"/>
      <c r="E5" s="492"/>
      <c r="F5" s="492"/>
      <c r="G5" s="492"/>
      <c r="H5" s="493"/>
      <c r="I5" s="516"/>
      <c r="J5" s="517"/>
      <c r="K5" s="518"/>
      <c r="L5" s="141" t="s">
        <v>34</v>
      </c>
      <c r="M5" s="142">
        <v>45953</v>
      </c>
      <c r="N5" s="145"/>
      <c r="O5" s="146"/>
      <c r="P5" s="519">
        <v>45978</v>
      </c>
      <c r="Q5" s="520"/>
      <c r="R5" s="521"/>
    </row>
    <row r="6" spans="2:23" ht="15" customHeight="1" thickTop="1" x14ac:dyDescent="0.25">
      <c r="B6" s="147" t="s">
        <v>35</v>
      </c>
      <c r="C6" s="536" t="s">
        <v>6</v>
      </c>
      <c r="D6" s="537"/>
      <c r="E6" s="537"/>
      <c r="F6" s="537"/>
      <c r="G6" s="537"/>
      <c r="H6" s="538"/>
      <c r="I6" s="522" t="s">
        <v>36</v>
      </c>
      <c r="J6" s="523"/>
      <c r="K6" s="523"/>
      <c r="L6" s="523"/>
      <c r="M6" s="523"/>
      <c r="N6" s="523"/>
      <c r="O6" s="524"/>
      <c r="P6" s="525" t="s">
        <v>37</v>
      </c>
      <c r="Q6" s="523"/>
      <c r="R6" s="524"/>
    </row>
    <row r="7" spans="2:23" ht="15" customHeight="1" x14ac:dyDescent="0.25">
      <c r="B7" s="148" t="s">
        <v>38</v>
      </c>
      <c r="C7" s="526" t="s">
        <v>39</v>
      </c>
      <c r="D7" s="527"/>
      <c r="E7" s="527"/>
      <c r="F7" s="527"/>
      <c r="G7" s="527"/>
      <c r="H7" s="528"/>
      <c r="I7" s="529" t="s">
        <v>9</v>
      </c>
      <c r="J7" s="530"/>
      <c r="K7" s="530"/>
      <c r="L7" s="530"/>
      <c r="M7" s="530"/>
      <c r="N7" s="530"/>
      <c r="O7" s="531"/>
      <c r="P7" s="532"/>
      <c r="Q7" s="505"/>
      <c r="R7" s="506"/>
    </row>
    <row r="8" spans="2:23" ht="15" customHeight="1" x14ac:dyDescent="0.25">
      <c r="B8" s="149" t="s">
        <v>40</v>
      </c>
      <c r="C8" s="526" t="s">
        <v>41</v>
      </c>
      <c r="D8" s="527"/>
      <c r="E8" s="527"/>
      <c r="F8" s="527"/>
      <c r="G8" s="527"/>
      <c r="H8" s="528"/>
      <c r="I8" s="529"/>
      <c r="J8" s="530"/>
      <c r="K8" s="530"/>
      <c r="L8" s="530"/>
      <c r="M8" s="530"/>
      <c r="N8" s="530"/>
      <c r="O8" s="531"/>
      <c r="P8" s="532"/>
      <c r="Q8" s="505"/>
      <c r="R8" s="506"/>
    </row>
    <row r="9" spans="2:23" ht="15" customHeight="1" thickBot="1" x14ac:dyDescent="0.3">
      <c r="B9" s="152" t="s">
        <v>42</v>
      </c>
      <c r="C9" s="153" t="s">
        <v>43</v>
      </c>
      <c r="D9" s="154" t="s">
        <v>44</v>
      </c>
      <c r="E9" s="533" t="s">
        <v>45</v>
      </c>
      <c r="F9" s="534"/>
      <c r="G9" s="534"/>
      <c r="H9" s="535"/>
      <c r="I9" s="529"/>
      <c r="J9" s="530"/>
      <c r="K9" s="530"/>
      <c r="L9" s="530"/>
      <c r="M9" s="530"/>
      <c r="N9" s="530"/>
      <c r="O9" s="531"/>
      <c r="P9" s="532"/>
      <c r="Q9" s="505"/>
      <c r="R9" s="506"/>
    </row>
    <row r="10" spans="2:23" ht="15" customHeight="1" thickTop="1" x14ac:dyDescent="0.25">
      <c r="B10" s="548" t="s">
        <v>46</v>
      </c>
      <c r="C10" s="548" t="s">
        <v>47</v>
      </c>
      <c r="D10" s="548" t="s">
        <v>37</v>
      </c>
      <c r="E10" s="545" t="s">
        <v>393</v>
      </c>
      <c r="F10" s="546"/>
      <c r="G10" s="546"/>
      <c r="H10" s="547"/>
      <c r="I10" s="539" t="s">
        <v>49</v>
      </c>
      <c r="J10" s="540"/>
      <c r="K10" s="540"/>
      <c r="L10" s="540"/>
      <c r="M10" s="540"/>
      <c r="N10" s="540"/>
      <c r="O10" s="541"/>
      <c r="P10" s="542" t="s">
        <v>50</v>
      </c>
      <c r="Q10" s="543"/>
      <c r="R10" s="544"/>
      <c r="T10" s="545" t="s">
        <v>48</v>
      </c>
      <c r="U10" s="546"/>
      <c r="V10" s="546"/>
      <c r="W10" s="547"/>
    </row>
    <row r="11" spans="2:23" ht="15" customHeight="1" x14ac:dyDescent="0.25">
      <c r="B11" s="549"/>
      <c r="C11" s="549"/>
      <c r="D11" s="549"/>
      <c r="E11" s="551" t="s">
        <v>51</v>
      </c>
      <c r="F11" s="553" t="s">
        <v>52</v>
      </c>
      <c r="G11" s="553" t="s">
        <v>53</v>
      </c>
      <c r="H11" s="555" t="s">
        <v>54</v>
      </c>
      <c r="I11" s="480" t="s">
        <v>20</v>
      </c>
      <c r="J11" s="481"/>
      <c r="K11" s="480" t="s">
        <v>55</v>
      </c>
      <c r="L11" s="481"/>
      <c r="M11" s="482" t="s">
        <v>21</v>
      </c>
      <c r="N11" s="483"/>
      <c r="O11" s="484"/>
      <c r="P11" s="482" t="s">
        <v>56</v>
      </c>
      <c r="Q11" s="483"/>
      <c r="R11" s="484"/>
      <c r="T11" s="551" t="s">
        <v>51</v>
      </c>
      <c r="U11" s="553" t="s">
        <v>52</v>
      </c>
      <c r="V11" s="553" t="s">
        <v>53</v>
      </c>
      <c r="W11" s="555" t="s">
        <v>54</v>
      </c>
    </row>
    <row r="12" spans="2:23" ht="15" customHeight="1" thickBot="1" x14ac:dyDescent="0.3">
      <c r="B12" s="550"/>
      <c r="C12" s="550"/>
      <c r="D12" s="550"/>
      <c r="E12" s="552"/>
      <c r="F12" s="554"/>
      <c r="G12" s="554"/>
      <c r="H12" s="556"/>
      <c r="I12" s="39" t="s">
        <v>53</v>
      </c>
      <c r="J12" s="41" t="s">
        <v>57</v>
      </c>
      <c r="K12" s="39" t="s">
        <v>53</v>
      </c>
      <c r="L12" s="41" t="s">
        <v>57</v>
      </c>
      <c r="M12" s="42" t="s">
        <v>53</v>
      </c>
      <c r="N12" s="40" t="s">
        <v>57</v>
      </c>
      <c r="O12" s="155" t="s">
        <v>58</v>
      </c>
      <c r="P12" s="42" t="s">
        <v>53</v>
      </c>
      <c r="Q12" s="40" t="s">
        <v>57</v>
      </c>
      <c r="R12" s="155" t="s">
        <v>58</v>
      </c>
      <c r="T12" s="552"/>
      <c r="U12" s="554"/>
      <c r="V12" s="554"/>
      <c r="W12" s="556"/>
    </row>
    <row r="13" spans="2:23" ht="15" customHeight="1" thickTop="1" x14ac:dyDescent="0.25">
      <c r="B13" s="170" t="s">
        <v>59</v>
      </c>
      <c r="C13" s="194" t="s">
        <v>60</v>
      </c>
      <c r="D13" s="44"/>
      <c r="E13" s="45"/>
      <c r="F13" s="46"/>
      <c r="G13" s="46"/>
      <c r="H13" s="46">
        <f>SUM(H14:H16)</f>
        <v>550507.65999999992</v>
      </c>
      <c r="I13" s="46"/>
      <c r="J13" s="46">
        <f ca="1">SUM(J14:J16)</f>
        <v>550507.65999999992</v>
      </c>
      <c r="K13" s="46"/>
      <c r="L13" s="46">
        <f ca="1">SUM(L14:L16)</f>
        <v>0</v>
      </c>
      <c r="M13" s="46"/>
      <c r="N13" s="46">
        <f ca="1">SUM(N14:N16)</f>
        <v>550507.65999999992</v>
      </c>
      <c r="O13" s="184"/>
      <c r="P13" s="46"/>
      <c r="Q13" s="47">
        <f ca="1">SUM(Q14:Q16)</f>
        <v>0</v>
      </c>
      <c r="R13" s="188"/>
      <c r="S13" s="386"/>
      <c r="T13" s="45"/>
      <c r="U13" s="46"/>
      <c r="V13" s="46"/>
      <c r="W13" s="46">
        <f>SUM(W14:W16)</f>
        <v>550507.66677657212</v>
      </c>
    </row>
    <row r="14" spans="2:23" s="150" customFormat="1" ht="15" customHeight="1" x14ac:dyDescent="0.25">
      <c r="B14" s="156" t="s">
        <v>61</v>
      </c>
      <c r="C14" s="195" t="s">
        <v>62</v>
      </c>
      <c r="D14" s="162"/>
      <c r="E14" s="163" t="s">
        <v>63</v>
      </c>
      <c r="F14" s="164">
        <v>22570.81</v>
      </c>
      <c r="G14" s="304">
        <v>1</v>
      </c>
      <c r="H14" s="164">
        <f>F14*G14</f>
        <v>22570.81</v>
      </c>
      <c r="I14" s="165">
        <f ca="1">RESUMO!H9</f>
        <v>1</v>
      </c>
      <c r="J14" s="166">
        <f ca="1">RESUMO!M9</f>
        <v>22570.81</v>
      </c>
      <c r="K14" s="167">
        <f ca="1">RESUMO!I9</f>
        <v>0</v>
      </c>
      <c r="L14" s="167">
        <f ca="1">RESUMO!N9</f>
        <v>0</v>
      </c>
      <c r="M14" s="168">
        <f ca="1">RESUMO!J9</f>
        <v>1</v>
      </c>
      <c r="N14" s="169">
        <f ca="1">RESUMO!O9</f>
        <v>22570.81</v>
      </c>
      <c r="O14" s="185">
        <f ca="1">RESUMO!R9</f>
        <v>1</v>
      </c>
      <c r="P14" s="168">
        <f ca="1">RESUMO!K9</f>
        <v>0</v>
      </c>
      <c r="Q14" s="169">
        <f ca="1">RESUMO!P9</f>
        <v>0</v>
      </c>
      <c r="R14" s="189">
        <f ca="1">1-O14</f>
        <v>0</v>
      </c>
      <c r="S14" s="385"/>
      <c r="T14" s="163" t="s">
        <v>63</v>
      </c>
      <c r="U14" s="164">
        <v>22570.814337839452</v>
      </c>
      <c r="V14" s="164">
        <v>1</v>
      </c>
      <c r="W14" s="164">
        <f>V14*U14</f>
        <v>22570.814337839452</v>
      </c>
    </row>
    <row r="15" spans="2:23" s="150" customFormat="1" ht="15" customHeight="1" x14ac:dyDescent="0.25">
      <c r="B15" s="156" t="s">
        <v>64</v>
      </c>
      <c r="C15" s="196" t="s">
        <v>65</v>
      </c>
      <c r="D15" s="157"/>
      <c r="E15" s="158" t="s">
        <v>63</v>
      </c>
      <c r="F15" s="164">
        <v>45141.63</v>
      </c>
      <c r="G15" s="304">
        <v>1</v>
      </c>
      <c r="H15" s="164">
        <f>F15*G15</f>
        <v>45141.63</v>
      </c>
      <c r="I15" s="165">
        <f ca="1">RESUMO!H10</f>
        <v>1</v>
      </c>
      <c r="J15" s="166">
        <f ca="1">RESUMO!M10</f>
        <v>45141.63</v>
      </c>
      <c r="K15" s="167">
        <f ca="1">RESUMO!I10</f>
        <v>0</v>
      </c>
      <c r="L15" s="167">
        <f ca="1">RESUMO!N10</f>
        <v>0</v>
      </c>
      <c r="M15" s="168">
        <f ca="1">RESUMO!J10</f>
        <v>1</v>
      </c>
      <c r="N15" s="169">
        <f ca="1">RESUMO!O10</f>
        <v>45141.63</v>
      </c>
      <c r="O15" s="185">
        <f ca="1">RESUMO!R10</f>
        <v>1</v>
      </c>
      <c r="P15" s="168">
        <f ca="1">RESUMO!K10</f>
        <v>0</v>
      </c>
      <c r="Q15" s="169">
        <f ca="1">RESUMO!P10</f>
        <v>0</v>
      </c>
      <c r="R15" s="189">
        <f ca="1">1-O15</f>
        <v>0</v>
      </c>
      <c r="S15" s="385"/>
      <c r="T15" s="158" t="s">
        <v>63</v>
      </c>
      <c r="U15" s="159">
        <v>45141.628675678905</v>
      </c>
      <c r="V15" s="159">
        <v>1</v>
      </c>
      <c r="W15" s="159">
        <f>V15*U15</f>
        <v>45141.628675678905</v>
      </c>
    </row>
    <row r="16" spans="2:23" s="150" customFormat="1" ht="15" customHeight="1" x14ac:dyDescent="0.25">
      <c r="B16" s="156" t="s">
        <v>66</v>
      </c>
      <c r="C16" s="197" t="s">
        <v>67</v>
      </c>
      <c r="D16" s="172"/>
      <c r="E16" s="173" t="s">
        <v>63</v>
      </c>
      <c r="F16" s="164">
        <v>482795.22</v>
      </c>
      <c r="G16" s="304">
        <v>1</v>
      </c>
      <c r="H16" s="164">
        <f>F16*G16</f>
        <v>482795.22</v>
      </c>
      <c r="I16" s="165">
        <f ca="1">RESUMO!H11</f>
        <v>1</v>
      </c>
      <c r="J16" s="166">
        <f ca="1">RESUMO!M11</f>
        <v>482795.22</v>
      </c>
      <c r="K16" s="167">
        <f ca="1">RESUMO!I11</f>
        <v>0</v>
      </c>
      <c r="L16" s="167">
        <f ca="1">RESUMO!N11</f>
        <v>0</v>
      </c>
      <c r="M16" s="168">
        <f ca="1">RESUMO!J11</f>
        <v>1</v>
      </c>
      <c r="N16" s="169">
        <f ca="1">RESUMO!O11</f>
        <v>482795.22</v>
      </c>
      <c r="O16" s="185">
        <f ca="1">RESUMO!R11</f>
        <v>1</v>
      </c>
      <c r="P16" s="168">
        <f ca="1">RESUMO!K11</f>
        <v>0</v>
      </c>
      <c r="Q16" s="169">
        <f ca="1">RESUMO!P11</f>
        <v>0</v>
      </c>
      <c r="R16" s="189">
        <f ca="1">1-O16</f>
        <v>0</v>
      </c>
      <c r="S16" s="385"/>
      <c r="T16" s="173" t="s">
        <v>63</v>
      </c>
      <c r="U16" s="174">
        <v>482795.22376305371</v>
      </c>
      <c r="V16" s="174">
        <v>1</v>
      </c>
      <c r="W16" s="174">
        <f>V16*U16</f>
        <v>482795.22376305371</v>
      </c>
    </row>
    <row r="17" spans="2:23" ht="15" customHeight="1" x14ac:dyDescent="0.25">
      <c r="B17" s="58" t="s">
        <v>68</v>
      </c>
      <c r="C17" s="198" t="s">
        <v>69</v>
      </c>
      <c r="D17" s="59"/>
      <c r="E17" s="60"/>
      <c r="F17" s="61"/>
      <c r="G17" s="291"/>
      <c r="H17" s="61">
        <f>SUBTOTAL(9,H18:H40)</f>
        <v>3675277.3699999996</v>
      </c>
      <c r="I17" s="61"/>
      <c r="J17" s="61">
        <f ca="1">SUBTOTAL(9,J18:J40)</f>
        <v>1998206.6162941041</v>
      </c>
      <c r="K17" s="61"/>
      <c r="L17" s="61">
        <f ca="1">SUBTOTAL(9,L18:L40)</f>
        <v>1870605.7726725701</v>
      </c>
      <c r="M17" s="61"/>
      <c r="N17" s="61">
        <f ca="1">SUBTOTAL(9,N18:N40)</f>
        <v>3868812.388966674</v>
      </c>
      <c r="O17" s="186"/>
      <c r="P17" s="61"/>
      <c r="Q17" s="61">
        <f ca="1">SUBTOTAL(9,Q18:Q40)</f>
        <v>-193535.01896667428</v>
      </c>
      <c r="R17" s="190"/>
      <c r="S17" s="386"/>
      <c r="T17" s="60"/>
      <c r="U17" s="61"/>
      <c r="V17" s="61"/>
      <c r="W17" s="61">
        <f>SUBTOTAL(9,W18:W39)</f>
        <v>3578783.9600000004</v>
      </c>
    </row>
    <row r="18" spans="2:23" ht="15" customHeight="1" x14ac:dyDescent="0.25">
      <c r="B18" s="62" t="s">
        <v>70</v>
      </c>
      <c r="C18" s="199" t="s">
        <v>71</v>
      </c>
      <c r="D18" s="63"/>
      <c r="E18" s="64"/>
      <c r="F18" s="65"/>
      <c r="G18" s="292"/>
      <c r="H18" s="176">
        <f>SUBTOTAL(9,H19:H27)</f>
        <v>2726353.27</v>
      </c>
      <c r="I18" s="65"/>
      <c r="J18" s="176">
        <f ca="1">SUBTOTAL(9,J19:J27)</f>
        <v>1764483.6982941041</v>
      </c>
      <c r="K18" s="65"/>
      <c r="L18" s="176">
        <f ca="1">SUBTOTAL(9,L19:L27)</f>
        <v>877293.30895031011</v>
      </c>
      <c r="M18" s="65"/>
      <c r="N18" s="176">
        <f ca="1">SUBTOTAL(9,N19:N27)</f>
        <v>2641777.0072444142</v>
      </c>
      <c r="O18" s="187"/>
      <c r="P18" s="65"/>
      <c r="Q18" s="176">
        <f ca="1">SUBTOTAL(9,Q19:Q27)</f>
        <v>84576.262755585747</v>
      </c>
      <c r="R18" s="191"/>
      <c r="T18" s="64"/>
      <c r="U18" s="65"/>
      <c r="V18" s="65"/>
      <c r="W18" s="176">
        <f>SUBTOTAL(9,W19:W23)</f>
        <v>2838512.85</v>
      </c>
    </row>
    <row r="19" spans="2:23" s="150" customFormat="1" ht="15" customHeight="1" x14ac:dyDescent="0.25">
      <c r="B19" s="156" t="s">
        <v>72</v>
      </c>
      <c r="C19" s="195" t="s">
        <v>73</v>
      </c>
      <c r="D19" s="162"/>
      <c r="E19" s="175" t="s">
        <v>74</v>
      </c>
      <c r="F19" s="164">
        <v>0</v>
      </c>
      <c r="G19" s="304">
        <v>0</v>
      </c>
      <c r="H19" s="164">
        <f t="shared" ref="H19:H27" si="0">F19*G19</f>
        <v>0</v>
      </c>
      <c r="I19" s="165">
        <f ca="1">RESUMO!H14</f>
        <v>0</v>
      </c>
      <c r="J19" s="166">
        <f ca="1">RESUMO!M14</f>
        <v>0</v>
      </c>
      <c r="K19" s="167">
        <f ca="1">RESUMO!I14</f>
        <v>0</v>
      </c>
      <c r="L19" s="167">
        <f ca="1">RESUMO!N14</f>
        <v>0</v>
      </c>
      <c r="M19" s="168">
        <f ca="1">RESUMO!J14</f>
        <v>0</v>
      </c>
      <c r="N19" s="169">
        <f ca="1">RESUMO!O14</f>
        <v>0</v>
      </c>
      <c r="O19" s="185">
        <f ca="1">RESUMO!R14</f>
        <v>0</v>
      </c>
      <c r="P19" s="168">
        <f ca="1">RESUMO!K14</f>
        <v>0</v>
      </c>
      <c r="Q19" s="169">
        <f ca="1">RESUMO!P14</f>
        <v>0</v>
      </c>
      <c r="R19" s="189">
        <f t="shared" ref="R19:R27" ca="1" si="1">1-O19</f>
        <v>1</v>
      </c>
      <c r="S19" s="385"/>
      <c r="T19" s="175" t="s">
        <v>74</v>
      </c>
      <c r="U19" s="164">
        <v>10.09</v>
      </c>
      <c r="V19" s="175">
        <v>25000</v>
      </c>
      <c r="W19" s="164">
        <f>ROUND(V19*U19,2)</f>
        <v>252250</v>
      </c>
    </row>
    <row r="20" spans="2:23" s="150" customFormat="1" ht="15" customHeight="1" x14ac:dyDescent="0.25">
      <c r="B20" s="156" t="s">
        <v>75</v>
      </c>
      <c r="C20" s="196" t="s">
        <v>76</v>
      </c>
      <c r="D20" s="157"/>
      <c r="E20" s="160" t="s">
        <v>74</v>
      </c>
      <c r="F20" s="164">
        <v>15.863259847492401</v>
      </c>
      <c r="G20" s="304">
        <v>72616.710000000006</v>
      </c>
      <c r="H20" s="164">
        <f t="shared" si="0"/>
        <v>1151937.74</v>
      </c>
      <c r="I20" s="165">
        <f ca="1">RESUMO!H15</f>
        <v>62616.71</v>
      </c>
      <c r="J20" s="166">
        <f ca="1">RESUMO!M15</f>
        <v>993305.14152507589</v>
      </c>
      <c r="K20" s="167">
        <f ca="1">RESUMO!I15</f>
        <v>6145.8159999999989</v>
      </c>
      <c r="L20" s="167">
        <f ca="1">RESUMO!N15</f>
        <v>97492.676182876341</v>
      </c>
      <c r="M20" s="168">
        <f ca="1">RESUMO!J15</f>
        <v>68762.525999999998</v>
      </c>
      <c r="N20" s="169">
        <f ca="1">RESUMO!O15</f>
        <v>1090797.8177079521</v>
      </c>
      <c r="O20" s="185">
        <f ca="1">RESUMO!R15</f>
        <v>0.94692428230361847</v>
      </c>
      <c r="P20" s="168">
        <f ca="1">RESUMO!K15</f>
        <v>3854.1840000000084</v>
      </c>
      <c r="Q20" s="169">
        <f ca="1">RESUMO!P15</f>
        <v>61139.922292047784</v>
      </c>
      <c r="R20" s="189">
        <f t="shared" ca="1" si="1"/>
        <v>5.307571769638153E-2</v>
      </c>
      <c r="S20" s="385"/>
      <c r="T20" s="160" t="s">
        <v>74</v>
      </c>
      <c r="U20" s="159">
        <v>15.863259899999999</v>
      </c>
      <c r="V20" s="160">
        <v>94031.76</v>
      </c>
      <c r="W20" s="159">
        <f>ROUND(V20*U20,2)</f>
        <v>1491650.25</v>
      </c>
    </row>
    <row r="21" spans="2:23" s="150" customFormat="1" ht="15" customHeight="1" x14ac:dyDescent="0.25">
      <c r="B21" s="156" t="s">
        <v>77</v>
      </c>
      <c r="C21" s="196" t="s">
        <v>78</v>
      </c>
      <c r="D21" s="157"/>
      <c r="E21" s="160" t="s">
        <v>79</v>
      </c>
      <c r="F21" s="164">
        <v>1.0278798988812379</v>
      </c>
      <c r="G21" s="304">
        <v>543194.93999999994</v>
      </c>
      <c r="H21" s="164">
        <f t="shared" si="0"/>
        <v>558339.16</v>
      </c>
      <c r="I21" s="165">
        <f ca="1">RESUMO!H16</f>
        <v>483457.85717268003</v>
      </c>
      <c r="J21" s="166">
        <f ca="1">RESUMO!M16</f>
        <v>496936.61334399431</v>
      </c>
      <c r="K21" s="167">
        <f ca="1">RESUMO!I16</f>
        <v>47451.279920927998</v>
      </c>
      <c r="L21" s="167">
        <f ca="1">RESUMO!N16</f>
        <v>48774.216806908786</v>
      </c>
      <c r="M21" s="168">
        <f ca="1">RESUMO!J16</f>
        <v>530909.13709360803</v>
      </c>
      <c r="N21" s="169">
        <f ca="1">RESUMO!O16</f>
        <v>545710.83015090309</v>
      </c>
      <c r="O21" s="185">
        <f ca="1">RESUMO!R16</f>
        <v>0.9773823318265964</v>
      </c>
      <c r="P21" s="168">
        <f ca="1">RESUMO!K16</f>
        <v>12285.802906391909</v>
      </c>
      <c r="Q21" s="169">
        <f ca="1">RESUMO!P16</f>
        <v>12628.329849096934</v>
      </c>
      <c r="R21" s="189">
        <f t="shared" ca="1" si="1"/>
        <v>2.2617668173403604E-2</v>
      </c>
      <c r="S21" s="385"/>
      <c r="T21" s="160" t="s">
        <v>79</v>
      </c>
      <c r="U21" s="159">
        <v>1.0278798999999998</v>
      </c>
      <c r="V21" s="160">
        <v>752254.08</v>
      </c>
      <c r="W21" s="159">
        <f>ROUND(V21*U21,2)</f>
        <v>773226.85</v>
      </c>
    </row>
    <row r="22" spans="2:23" s="150" customFormat="1" ht="15" customHeight="1" x14ac:dyDescent="0.25">
      <c r="B22" s="156" t="s">
        <v>80</v>
      </c>
      <c r="C22" s="196" t="s">
        <v>81</v>
      </c>
      <c r="D22" s="157"/>
      <c r="E22" s="160" t="s">
        <v>74</v>
      </c>
      <c r="F22" s="164">
        <v>0</v>
      </c>
      <c r="G22" s="304">
        <v>0</v>
      </c>
      <c r="H22" s="164">
        <f t="shared" si="0"/>
        <v>0</v>
      </c>
      <c r="I22" s="165">
        <f ca="1">RESUMO!H17</f>
        <v>0</v>
      </c>
      <c r="J22" s="166">
        <f ca="1">RESUMO!M17</f>
        <v>0</v>
      </c>
      <c r="K22" s="167">
        <f ca="1">RESUMO!I17</f>
        <v>0</v>
      </c>
      <c r="L22" s="167">
        <f ca="1">RESUMO!N17</f>
        <v>0</v>
      </c>
      <c r="M22" s="168">
        <f ca="1">RESUMO!J17</f>
        <v>0</v>
      </c>
      <c r="N22" s="169">
        <f ca="1">RESUMO!O17</f>
        <v>0</v>
      </c>
      <c r="O22" s="185">
        <f ca="1">RESUMO!R17</f>
        <v>0</v>
      </c>
      <c r="P22" s="168">
        <f ca="1">RESUMO!K17</f>
        <v>0</v>
      </c>
      <c r="Q22" s="169">
        <f ca="1">RESUMO!P17</f>
        <v>0</v>
      </c>
      <c r="R22" s="189">
        <f t="shared" ca="1" si="1"/>
        <v>1</v>
      </c>
      <c r="S22" s="385"/>
      <c r="T22" s="160" t="s">
        <v>74</v>
      </c>
      <c r="U22" s="159">
        <v>2.7</v>
      </c>
      <c r="V22" s="160">
        <v>119031.76</v>
      </c>
      <c r="W22" s="159">
        <f>ROUND(V22*U22,2)</f>
        <v>321385.75</v>
      </c>
    </row>
    <row r="23" spans="2:23" s="150" customFormat="1" ht="15" customHeight="1" x14ac:dyDescent="0.25">
      <c r="B23" s="171" t="s">
        <v>82</v>
      </c>
      <c r="C23" s="197" t="s">
        <v>83</v>
      </c>
      <c r="D23" s="172"/>
      <c r="E23" s="177" t="s">
        <v>74</v>
      </c>
      <c r="F23" s="164">
        <v>0</v>
      </c>
      <c r="G23" s="304">
        <v>0</v>
      </c>
      <c r="H23" s="164">
        <f t="shared" si="0"/>
        <v>0</v>
      </c>
      <c r="I23" s="165">
        <f ca="1">RESUMO!H18</f>
        <v>0</v>
      </c>
      <c r="J23" s="166">
        <f ca="1">RESUMO!M18</f>
        <v>0</v>
      </c>
      <c r="K23" s="167">
        <f ca="1">RESUMO!I18</f>
        <v>0</v>
      </c>
      <c r="L23" s="167">
        <f ca="1">RESUMO!N18</f>
        <v>0</v>
      </c>
      <c r="M23" s="168">
        <f ca="1">RESUMO!J18</f>
        <v>0</v>
      </c>
      <c r="N23" s="169">
        <f ca="1">RESUMO!O18</f>
        <v>0</v>
      </c>
      <c r="O23" s="185">
        <f ca="1">RESUMO!R18</f>
        <v>0</v>
      </c>
      <c r="P23" s="168">
        <f ca="1">RESUMO!K18</f>
        <v>0</v>
      </c>
      <c r="Q23" s="169">
        <f ca="1">RESUMO!P18</f>
        <v>0</v>
      </c>
      <c r="R23" s="189">
        <f t="shared" ca="1" si="1"/>
        <v>1</v>
      </c>
      <c r="S23" s="385"/>
      <c r="T23" s="177"/>
      <c r="U23" s="174"/>
      <c r="V23" s="177"/>
      <c r="W23" s="174"/>
    </row>
    <row r="24" spans="2:23" s="267" customFormat="1" ht="15" customHeight="1" x14ac:dyDescent="0.25">
      <c r="B24" s="268" t="s">
        <v>234</v>
      </c>
      <c r="C24" s="269" t="s">
        <v>107</v>
      </c>
      <c r="D24" s="270"/>
      <c r="E24" s="271" t="s">
        <v>102</v>
      </c>
      <c r="F24" s="164">
        <v>0.85999993155829779</v>
      </c>
      <c r="G24" s="304">
        <v>23377.56</v>
      </c>
      <c r="H24" s="164">
        <f t="shared" si="0"/>
        <v>20104.7</v>
      </c>
      <c r="I24" s="165">
        <f ca="1">RESUMO!H19</f>
        <v>0</v>
      </c>
      <c r="J24" s="166">
        <f ca="1">RESUMO!M19</f>
        <v>0</v>
      </c>
      <c r="K24" s="167">
        <f ca="1">RESUMO!I19</f>
        <v>21252.33</v>
      </c>
      <c r="L24" s="167">
        <f ca="1">RESUMO!N19</f>
        <v>18277.002345454359</v>
      </c>
      <c r="M24" s="168">
        <f ca="1">RESUMO!J19</f>
        <v>21252.33</v>
      </c>
      <c r="N24" s="169">
        <f ca="1">RESUMO!O19</f>
        <v>18277.002345454359</v>
      </c>
      <c r="O24" s="185">
        <f ca="1">RESUMO!R19</f>
        <v>0.90909102575290157</v>
      </c>
      <c r="P24" s="168">
        <f ca="1">RESUMO!K19</f>
        <v>2125.2299999999996</v>
      </c>
      <c r="Q24" s="169">
        <f ca="1">RESUMO!P19</f>
        <v>1827.6976545456409</v>
      </c>
      <c r="R24" s="189">
        <f t="shared" ca="1" si="1"/>
        <v>9.0908974247098429E-2</v>
      </c>
      <c r="S24" s="385"/>
      <c r="T24" s="271"/>
      <c r="U24" s="272"/>
      <c r="V24" s="271"/>
      <c r="W24" s="272"/>
    </row>
    <row r="25" spans="2:23" s="267" customFormat="1" ht="15" customHeight="1" x14ac:dyDescent="0.25">
      <c r="B25" s="268" t="s">
        <v>235</v>
      </c>
      <c r="C25" s="269" t="s">
        <v>236</v>
      </c>
      <c r="D25" s="270"/>
      <c r="E25" s="271" t="s">
        <v>74</v>
      </c>
      <c r="F25" s="164">
        <v>12.629999255678177</v>
      </c>
      <c r="G25" s="304">
        <v>55083.7</v>
      </c>
      <c r="H25" s="164">
        <f t="shared" si="0"/>
        <v>695707.09</v>
      </c>
      <c r="I25" s="165">
        <f ca="1">RESUMO!H20</f>
        <v>0</v>
      </c>
      <c r="J25" s="166">
        <f ca="1">RESUMO!M20</f>
        <v>0</v>
      </c>
      <c r="K25" s="167">
        <f ca="1">RESUMO!I20</f>
        <v>55083.697</v>
      </c>
      <c r="L25" s="167">
        <f ca="1">RESUMO!N20</f>
        <v>695707.05211000226</v>
      </c>
      <c r="M25" s="168">
        <f ca="1">RESUMO!J20</f>
        <v>55083.697</v>
      </c>
      <c r="N25" s="169">
        <f ca="1">RESUMO!O20</f>
        <v>695707.05211000226</v>
      </c>
      <c r="O25" s="185">
        <f ca="1">RESUMO!R20</f>
        <v>0.99999994553742766</v>
      </c>
      <c r="P25" s="168">
        <f ca="1">RESUMO!K20</f>
        <v>2.9999999969732016E-3</v>
      </c>
      <c r="Q25" s="169">
        <f ca="1">RESUMO!P20</f>
        <v>3.7889997728806073E-2</v>
      </c>
      <c r="R25" s="189">
        <f t="shared" ca="1" si="1"/>
        <v>5.446257234087426E-8</v>
      </c>
      <c r="S25" s="385"/>
      <c r="T25" s="271"/>
      <c r="U25" s="272"/>
      <c r="V25" s="271"/>
      <c r="W25" s="272"/>
    </row>
    <row r="26" spans="2:23" s="267" customFormat="1" ht="15" customHeight="1" x14ac:dyDescent="0.25">
      <c r="B26" s="268" t="s">
        <v>237</v>
      </c>
      <c r="C26" s="269" t="s">
        <v>238</v>
      </c>
      <c r="D26" s="270"/>
      <c r="E26" s="271" t="s">
        <v>74</v>
      </c>
      <c r="F26" s="164">
        <v>19.519859478061374</v>
      </c>
      <c r="G26" s="304">
        <v>139.47999999999999</v>
      </c>
      <c r="H26" s="164">
        <f t="shared" si="0"/>
        <v>2722.63</v>
      </c>
      <c r="I26" s="165">
        <f ca="1">RESUMO!H21</f>
        <v>0</v>
      </c>
      <c r="J26" s="166">
        <f ca="1">RESUMO!M21</f>
        <v>0</v>
      </c>
      <c r="K26" s="167">
        <f ca="1">RESUMO!I21</f>
        <v>139.47900000000001</v>
      </c>
      <c r="L26" s="167">
        <f ca="1">RESUMO!N21</f>
        <v>2722.6104801405227</v>
      </c>
      <c r="M26" s="168">
        <f ca="1">RESUMO!J21</f>
        <v>139.47900000000001</v>
      </c>
      <c r="N26" s="169">
        <f ca="1">RESUMO!O21</f>
        <v>2722.6104801405227</v>
      </c>
      <c r="O26" s="185">
        <f ca="1">RESUMO!R21</f>
        <v>0.99999283051333543</v>
      </c>
      <c r="P26" s="168">
        <f ca="1">RESUMO!K21</f>
        <v>9.9999999997635314E-4</v>
      </c>
      <c r="Q26" s="169">
        <f ca="1">RESUMO!P21</f>
        <v>1.951985947759979E-2</v>
      </c>
      <c r="R26" s="189">
        <f t="shared" ca="1" si="1"/>
        <v>7.1694866645710675E-6</v>
      </c>
      <c r="S26" s="385"/>
      <c r="T26" s="271"/>
      <c r="U26" s="272"/>
      <c r="V26" s="271"/>
      <c r="W26" s="272"/>
    </row>
    <row r="27" spans="2:23" s="267" customFormat="1" ht="15" customHeight="1" x14ac:dyDescent="0.25">
      <c r="B27" s="268" t="s">
        <v>394</v>
      </c>
      <c r="C27" s="269" t="s">
        <v>395</v>
      </c>
      <c r="D27" s="270"/>
      <c r="E27" s="271" t="s">
        <v>74</v>
      </c>
      <c r="F27" s="164">
        <v>2.3299999584966096</v>
      </c>
      <c r="G27" s="304">
        <v>127700.41</v>
      </c>
      <c r="H27" s="164">
        <f t="shared" si="0"/>
        <v>297541.95</v>
      </c>
      <c r="I27" s="165">
        <f ca="1">RESUMO!H22</f>
        <v>117700.40700000001</v>
      </c>
      <c r="J27" s="166">
        <f ca="1">RESUMO!M22</f>
        <v>274241.94342503406</v>
      </c>
      <c r="K27" s="167">
        <f ca="1">RESUMO!I22</f>
        <v>6145.8159999999989</v>
      </c>
      <c r="L27" s="167">
        <f ca="1">RESUMO!N22</f>
        <v>14319.751024927797</v>
      </c>
      <c r="M27" s="168">
        <f ca="1">RESUMO!J22</f>
        <v>123846.223</v>
      </c>
      <c r="N27" s="169">
        <f ca="1">RESUMO!O22</f>
        <v>288561.69444996183</v>
      </c>
      <c r="O27" s="185">
        <f ca="1">RESUMO!R22</f>
        <v>0.96981852290059201</v>
      </c>
      <c r="P27" s="168">
        <f ca="1">RESUMO!K22</f>
        <v>3854.1870000000054</v>
      </c>
      <c r="Q27" s="169">
        <f ca="1">RESUMO!P22</f>
        <v>8980.2555500381841</v>
      </c>
      <c r="R27" s="189">
        <f t="shared" ca="1" si="1"/>
        <v>3.0181477099407994E-2</v>
      </c>
      <c r="S27" s="385"/>
      <c r="T27" s="271"/>
      <c r="U27" s="272"/>
      <c r="V27" s="271"/>
      <c r="W27" s="272"/>
    </row>
    <row r="28" spans="2:23" ht="15" customHeight="1" x14ac:dyDescent="0.25">
      <c r="B28" s="62" t="s">
        <v>84</v>
      </c>
      <c r="C28" s="199" t="s">
        <v>85</v>
      </c>
      <c r="D28" s="63"/>
      <c r="E28" s="64"/>
      <c r="F28" s="65"/>
      <c r="G28" s="292"/>
      <c r="H28" s="176">
        <f>SUBTOTAL(9,H29:H37)</f>
        <v>549924.1</v>
      </c>
      <c r="I28" s="65"/>
      <c r="J28" s="176">
        <f ca="1">SUBTOTAL(9,J29:J37)</f>
        <v>0</v>
      </c>
      <c r="K28" s="65"/>
      <c r="L28" s="176">
        <f ca="1">SUBTOTAL(9,L29:L37)</f>
        <v>372089.89349999995</v>
      </c>
      <c r="M28" s="65"/>
      <c r="N28" s="176">
        <f ca="1">SUBTOTAL(9,N29:N37)</f>
        <v>372089.89349999995</v>
      </c>
      <c r="O28" s="187"/>
      <c r="P28" s="65"/>
      <c r="Q28" s="176">
        <f ca="1">SUBTOTAL(9,Q29:Q37)</f>
        <v>177834.20650000006</v>
      </c>
      <c r="R28" s="191"/>
      <c r="T28" s="64"/>
      <c r="U28" s="65"/>
      <c r="V28" s="65"/>
      <c r="W28" s="176">
        <f>SUBTOTAL(9,W29:W33)</f>
        <v>335471.11000000004</v>
      </c>
    </row>
    <row r="29" spans="2:23" s="150" customFormat="1" ht="15" customHeight="1" x14ac:dyDescent="0.25">
      <c r="B29" s="161" t="s">
        <v>86</v>
      </c>
      <c r="C29" s="195" t="s">
        <v>87</v>
      </c>
      <c r="D29" s="162"/>
      <c r="E29" s="175" t="s">
        <v>74</v>
      </c>
      <c r="F29" s="164">
        <v>0</v>
      </c>
      <c r="G29" s="304">
        <v>0</v>
      </c>
      <c r="H29" s="164">
        <f t="shared" ref="H29:H40" si="2">F29*G29</f>
        <v>0</v>
      </c>
      <c r="I29" s="165">
        <f ca="1">RESUMO!H24</f>
        <v>0</v>
      </c>
      <c r="J29" s="166">
        <f ca="1">RESUMO!M24</f>
        <v>0</v>
      </c>
      <c r="K29" s="167">
        <f ca="1">RESUMO!I24</f>
        <v>0</v>
      </c>
      <c r="L29" s="167">
        <f ca="1">RESUMO!N24</f>
        <v>0</v>
      </c>
      <c r="M29" s="168">
        <f ca="1">RESUMO!J24</f>
        <v>0</v>
      </c>
      <c r="N29" s="169">
        <f ca="1">RESUMO!O24</f>
        <v>0</v>
      </c>
      <c r="O29" s="185">
        <f ca="1">RESUMO!R24</f>
        <v>0</v>
      </c>
      <c r="P29" s="168">
        <f ca="1">RESUMO!K24</f>
        <v>0</v>
      </c>
      <c r="Q29" s="169">
        <f ca="1">RESUMO!P24</f>
        <v>0</v>
      </c>
      <c r="R29" s="189">
        <f t="shared" ref="R29:R37" ca="1" si="3">1-O29</f>
        <v>1</v>
      </c>
      <c r="S29" s="385"/>
      <c r="T29" s="175" t="s">
        <v>74</v>
      </c>
      <c r="U29" s="164">
        <v>488.98472149999992</v>
      </c>
      <c r="V29" s="175">
        <v>102</v>
      </c>
      <c r="W29" s="164">
        <f>ROUND(V29*U29,2)</f>
        <v>49876.44</v>
      </c>
    </row>
    <row r="30" spans="2:23" s="150" customFormat="1" ht="15" customHeight="1" x14ac:dyDescent="0.25">
      <c r="B30" s="156" t="s">
        <v>88</v>
      </c>
      <c r="C30" s="196" t="s">
        <v>89</v>
      </c>
      <c r="D30" s="157"/>
      <c r="E30" s="160" t="s">
        <v>90</v>
      </c>
      <c r="F30" s="164">
        <v>0</v>
      </c>
      <c r="G30" s="304">
        <v>0</v>
      </c>
      <c r="H30" s="164">
        <f t="shared" si="2"/>
        <v>0</v>
      </c>
      <c r="I30" s="165">
        <f ca="1">RESUMO!H25</f>
        <v>0</v>
      </c>
      <c r="J30" s="166">
        <f ca="1">RESUMO!M25</f>
        <v>0</v>
      </c>
      <c r="K30" s="167">
        <f ca="1">RESUMO!I25</f>
        <v>0</v>
      </c>
      <c r="L30" s="167">
        <f ca="1">RESUMO!N25</f>
        <v>0</v>
      </c>
      <c r="M30" s="168">
        <f ca="1">RESUMO!J25</f>
        <v>0</v>
      </c>
      <c r="N30" s="169">
        <f ca="1">RESUMO!O25</f>
        <v>0</v>
      </c>
      <c r="O30" s="185">
        <f ca="1">RESUMO!R25</f>
        <v>0</v>
      </c>
      <c r="P30" s="168">
        <f ca="1">RESUMO!K25</f>
        <v>0</v>
      </c>
      <c r="Q30" s="169">
        <f ca="1">RESUMO!P25</f>
        <v>0</v>
      </c>
      <c r="R30" s="189">
        <f t="shared" ca="1" si="3"/>
        <v>1</v>
      </c>
      <c r="S30" s="385"/>
      <c r="T30" s="160" t="s">
        <v>90</v>
      </c>
      <c r="U30" s="159">
        <v>148.69999999999999</v>
      </c>
      <c r="V30" s="160">
        <v>633</v>
      </c>
      <c r="W30" s="159">
        <f>ROUND(V30*U30,2)</f>
        <v>94127.1</v>
      </c>
    </row>
    <row r="31" spans="2:23" s="150" customFormat="1" ht="15" customHeight="1" x14ac:dyDescent="0.25">
      <c r="B31" s="156" t="s">
        <v>91</v>
      </c>
      <c r="C31" s="196" t="s">
        <v>92</v>
      </c>
      <c r="D31" s="157"/>
      <c r="E31" s="160" t="s">
        <v>90</v>
      </c>
      <c r="F31" s="164">
        <v>0</v>
      </c>
      <c r="G31" s="304">
        <v>0</v>
      </c>
      <c r="H31" s="164">
        <f t="shared" si="2"/>
        <v>0</v>
      </c>
      <c r="I31" s="165">
        <f ca="1">RESUMO!H26</f>
        <v>0</v>
      </c>
      <c r="J31" s="166">
        <f ca="1">RESUMO!M26</f>
        <v>0</v>
      </c>
      <c r="K31" s="167">
        <f ca="1">RESUMO!I26</f>
        <v>0</v>
      </c>
      <c r="L31" s="167">
        <f ca="1">RESUMO!N26</f>
        <v>0</v>
      </c>
      <c r="M31" s="168">
        <f ca="1">RESUMO!J26</f>
        <v>0</v>
      </c>
      <c r="N31" s="169">
        <f ca="1">RESUMO!O26</f>
        <v>0</v>
      </c>
      <c r="O31" s="185">
        <f ca="1">RESUMO!R26</f>
        <v>0</v>
      </c>
      <c r="P31" s="168">
        <f ca="1">RESUMO!K26</f>
        <v>0</v>
      </c>
      <c r="Q31" s="169">
        <f ca="1">RESUMO!P26</f>
        <v>0</v>
      </c>
      <c r="R31" s="189">
        <f t="shared" ca="1" si="3"/>
        <v>1</v>
      </c>
      <c r="S31" s="385"/>
      <c r="T31" s="160" t="s">
        <v>90</v>
      </c>
      <c r="U31" s="159">
        <v>157.87</v>
      </c>
      <c r="V31" s="160">
        <v>142</v>
      </c>
      <c r="W31" s="159">
        <f>ROUND(V31*U31,2)</f>
        <v>22417.54</v>
      </c>
    </row>
    <row r="32" spans="2:23" s="150" customFormat="1" ht="15" customHeight="1" x14ac:dyDescent="0.25">
      <c r="B32" s="156" t="s">
        <v>93</v>
      </c>
      <c r="C32" s="196" t="s">
        <v>94</v>
      </c>
      <c r="D32" s="157"/>
      <c r="E32" s="160" t="s">
        <v>95</v>
      </c>
      <c r="F32" s="164">
        <v>0</v>
      </c>
      <c r="G32" s="304">
        <v>0</v>
      </c>
      <c r="H32" s="164">
        <f t="shared" si="2"/>
        <v>0</v>
      </c>
      <c r="I32" s="165">
        <f ca="1">RESUMO!H27</f>
        <v>0</v>
      </c>
      <c r="J32" s="166">
        <f ca="1">RESUMO!M27</f>
        <v>0</v>
      </c>
      <c r="K32" s="167">
        <f ca="1">RESUMO!I27</f>
        <v>0</v>
      </c>
      <c r="L32" s="167">
        <f ca="1">RESUMO!N27</f>
        <v>0</v>
      </c>
      <c r="M32" s="168">
        <f ca="1">RESUMO!J27</f>
        <v>0</v>
      </c>
      <c r="N32" s="169">
        <f ca="1">RESUMO!O27</f>
        <v>0</v>
      </c>
      <c r="O32" s="185">
        <f ca="1">RESUMO!R27</f>
        <v>0</v>
      </c>
      <c r="P32" s="168">
        <f ca="1">RESUMO!K27</f>
        <v>0</v>
      </c>
      <c r="Q32" s="169">
        <f ca="1">RESUMO!P27</f>
        <v>0</v>
      </c>
      <c r="R32" s="189">
        <f t="shared" ca="1" si="3"/>
        <v>1</v>
      </c>
      <c r="S32" s="385"/>
      <c r="T32" s="160" t="s">
        <v>95</v>
      </c>
      <c r="U32" s="159">
        <v>5875.66</v>
      </c>
      <c r="V32" s="160">
        <v>4</v>
      </c>
      <c r="W32" s="159">
        <f>ROUND(V32*U32,2)</f>
        <v>23502.639999999999</v>
      </c>
    </row>
    <row r="33" spans="2:23" s="150" customFormat="1" ht="15" customHeight="1" x14ac:dyDescent="0.25">
      <c r="B33" s="156" t="s">
        <v>96</v>
      </c>
      <c r="C33" s="197" t="s">
        <v>97</v>
      </c>
      <c r="D33" s="172"/>
      <c r="E33" s="177" t="s">
        <v>90</v>
      </c>
      <c r="F33" s="164">
        <v>0</v>
      </c>
      <c r="G33" s="304">
        <v>0</v>
      </c>
      <c r="H33" s="164">
        <f t="shared" si="2"/>
        <v>0</v>
      </c>
      <c r="I33" s="165">
        <f ca="1">RESUMO!H28</f>
        <v>0</v>
      </c>
      <c r="J33" s="166">
        <f ca="1">RESUMO!M28</f>
        <v>0</v>
      </c>
      <c r="K33" s="167">
        <f ca="1">RESUMO!I28</f>
        <v>0</v>
      </c>
      <c r="L33" s="167">
        <f ca="1">RESUMO!N28</f>
        <v>0</v>
      </c>
      <c r="M33" s="168">
        <f ca="1">RESUMO!J28</f>
        <v>0</v>
      </c>
      <c r="N33" s="169">
        <f ca="1">RESUMO!O28</f>
        <v>0</v>
      </c>
      <c r="O33" s="185">
        <f ca="1">RESUMO!R28</f>
        <v>0</v>
      </c>
      <c r="P33" s="168">
        <f ca="1">RESUMO!K28</f>
        <v>0</v>
      </c>
      <c r="Q33" s="169">
        <f ca="1">RESUMO!P28</f>
        <v>0</v>
      </c>
      <c r="R33" s="189">
        <f t="shared" ca="1" si="3"/>
        <v>1</v>
      </c>
      <c r="S33" s="385"/>
      <c r="T33" s="177" t="s">
        <v>90</v>
      </c>
      <c r="U33" s="174">
        <v>963.89</v>
      </c>
      <c r="V33" s="177">
        <v>151</v>
      </c>
      <c r="W33" s="174">
        <f>ROUND(V33*U33,2)</f>
        <v>145547.39000000001</v>
      </c>
    </row>
    <row r="34" spans="2:23" s="150" customFormat="1" ht="15" customHeight="1" x14ac:dyDescent="0.25">
      <c r="B34" s="156" t="s">
        <v>239</v>
      </c>
      <c r="C34" s="197" t="s">
        <v>240</v>
      </c>
      <c r="D34" s="172"/>
      <c r="E34" s="177" t="s">
        <v>90</v>
      </c>
      <c r="F34" s="164">
        <v>1034</v>
      </c>
      <c r="G34" s="304">
        <v>292.60000000000002</v>
      </c>
      <c r="H34" s="164">
        <f t="shared" si="2"/>
        <v>302548.40000000002</v>
      </c>
      <c r="I34" s="165">
        <f ca="1">RESUMO!H29</f>
        <v>0</v>
      </c>
      <c r="J34" s="166">
        <f ca="1">RESUMO!M29</f>
        <v>0</v>
      </c>
      <c r="K34" s="167">
        <f ca="1">RESUMO!I29</f>
        <v>112.53999999999999</v>
      </c>
      <c r="L34" s="167">
        <f ca="1">RESUMO!N29</f>
        <v>116366.35999999999</v>
      </c>
      <c r="M34" s="168">
        <f ca="1">RESUMO!J29</f>
        <v>112.53999999999999</v>
      </c>
      <c r="N34" s="169">
        <f ca="1">RESUMO!O29</f>
        <v>116366.35999999999</v>
      </c>
      <c r="O34" s="185">
        <f ca="1">RESUMO!R29</f>
        <v>0.38462064251537931</v>
      </c>
      <c r="P34" s="168">
        <f ca="1">RESUMO!K29</f>
        <v>180.06000000000003</v>
      </c>
      <c r="Q34" s="169">
        <f ca="1">RESUMO!P29</f>
        <v>186182.04000000004</v>
      </c>
      <c r="R34" s="189">
        <f t="shared" ca="1" si="3"/>
        <v>0.61537935748462069</v>
      </c>
      <c r="S34" s="385"/>
      <c r="T34" s="177"/>
      <c r="U34" s="174"/>
      <c r="V34" s="177"/>
      <c r="W34" s="174"/>
    </row>
    <row r="35" spans="2:23" s="150" customFormat="1" ht="15" customHeight="1" x14ac:dyDescent="0.25">
      <c r="B35" s="156" t="s">
        <v>241</v>
      </c>
      <c r="C35" s="197" t="s">
        <v>242</v>
      </c>
      <c r="D35" s="172"/>
      <c r="E35" s="177" t="s">
        <v>90</v>
      </c>
      <c r="F35" s="164">
        <v>141.79</v>
      </c>
      <c r="G35" s="304">
        <v>1111</v>
      </c>
      <c r="H35" s="164">
        <f t="shared" si="2"/>
        <v>157528.69</v>
      </c>
      <c r="I35" s="165">
        <f ca="1">RESUMO!H30</f>
        <v>0</v>
      </c>
      <c r="J35" s="166">
        <f ca="1">RESUMO!M30</f>
        <v>0</v>
      </c>
      <c r="K35" s="167">
        <f ca="1">RESUMO!I30</f>
        <v>1513.6499999999999</v>
      </c>
      <c r="L35" s="167">
        <f ca="1">RESUMO!N30</f>
        <v>214620.43349999996</v>
      </c>
      <c r="M35" s="168">
        <f ca="1">RESUMO!J30</f>
        <v>1513.6499999999999</v>
      </c>
      <c r="N35" s="169">
        <f ca="1">RESUMO!O30</f>
        <v>214620.43349999996</v>
      </c>
      <c r="O35" s="185">
        <f ca="1">RESUMO!R30</f>
        <v>1.3624212421242123</v>
      </c>
      <c r="P35" s="168">
        <f ca="1">RESUMO!K30</f>
        <v>-402.64999999999986</v>
      </c>
      <c r="Q35" s="169">
        <f ca="1">RESUMO!P30</f>
        <v>-57091.743499999975</v>
      </c>
      <c r="R35" s="189">
        <f t="shared" ca="1" si="3"/>
        <v>-0.36242124212421234</v>
      </c>
      <c r="S35" s="385"/>
      <c r="T35" s="177"/>
      <c r="U35" s="174"/>
      <c r="V35" s="177"/>
      <c r="W35" s="174"/>
    </row>
    <row r="36" spans="2:23" s="150" customFormat="1" ht="15" customHeight="1" x14ac:dyDescent="0.25">
      <c r="B36" s="156" t="s">
        <v>243</v>
      </c>
      <c r="C36" s="197" t="s">
        <v>244</v>
      </c>
      <c r="D36" s="172"/>
      <c r="E36" s="177" t="s">
        <v>95</v>
      </c>
      <c r="F36" s="164">
        <v>7471.91</v>
      </c>
      <c r="G36" s="304">
        <v>11</v>
      </c>
      <c r="H36" s="164">
        <f t="shared" si="2"/>
        <v>82191.009999999995</v>
      </c>
      <c r="I36" s="165">
        <f ca="1">RESUMO!H31</f>
        <v>0</v>
      </c>
      <c r="J36" s="166">
        <f ca="1">RESUMO!M31</f>
        <v>0</v>
      </c>
      <c r="K36" s="167">
        <f ca="1">RESUMO!I31</f>
        <v>4</v>
      </c>
      <c r="L36" s="167">
        <f ca="1">RESUMO!N31</f>
        <v>29887.64</v>
      </c>
      <c r="M36" s="168">
        <f ca="1">RESUMO!J31</f>
        <v>4</v>
      </c>
      <c r="N36" s="169">
        <f ca="1">RESUMO!O31</f>
        <v>29887.64</v>
      </c>
      <c r="O36" s="185">
        <f ca="1">RESUMO!R31</f>
        <v>0.36363636363636365</v>
      </c>
      <c r="P36" s="168">
        <f ca="1">RESUMO!K31</f>
        <v>7</v>
      </c>
      <c r="Q36" s="169">
        <f ca="1">RESUMO!P31</f>
        <v>52303.369999999995</v>
      </c>
      <c r="R36" s="189">
        <f t="shared" ca="1" si="3"/>
        <v>0.63636363636363635</v>
      </c>
      <c r="S36" s="385"/>
      <c r="T36" s="177"/>
      <c r="U36" s="174"/>
      <c r="V36" s="177"/>
      <c r="W36" s="174"/>
    </row>
    <row r="37" spans="2:23" s="150" customFormat="1" ht="15" customHeight="1" x14ac:dyDescent="0.25">
      <c r="B37" s="156" t="s">
        <v>245</v>
      </c>
      <c r="C37" s="197" t="s">
        <v>246</v>
      </c>
      <c r="D37" s="172"/>
      <c r="E37" s="177" t="s">
        <v>90</v>
      </c>
      <c r="F37" s="164">
        <v>58</v>
      </c>
      <c r="G37" s="304">
        <v>132</v>
      </c>
      <c r="H37" s="164">
        <f t="shared" si="2"/>
        <v>7656</v>
      </c>
      <c r="I37" s="165">
        <f ca="1">RESUMO!H32</f>
        <v>0</v>
      </c>
      <c r="J37" s="166">
        <f ca="1">RESUMO!M32</f>
        <v>0</v>
      </c>
      <c r="K37" s="167">
        <f ca="1">RESUMO!I32</f>
        <v>193.37</v>
      </c>
      <c r="L37" s="167">
        <f ca="1">RESUMO!N32</f>
        <v>11215.460000000001</v>
      </c>
      <c r="M37" s="168">
        <f ca="1">RESUMO!J32</f>
        <v>193.37</v>
      </c>
      <c r="N37" s="169">
        <f ca="1">RESUMO!O32</f>
        <v>11215.460000000001</v>
      </c>
      <c r="O37" s="185">
        <f ca="1">RESUMO!R32</f>
        <v>1.4649242424242424</v>
      </c>
      <c r="P37" s="168">
        <f ca="1">RESUMO!K32</f>
        <v>-61.370000000000005</v>
      </c>
      <c r="Q37" s="169">
        <f ca="1">RESUMO!P32</f>
        <v>-3559.46</v>
      </c>
      <c r="R37" s="189">
        <f t="shared" ca="1" si="3"/>
        <v>-0.46492424242424235</v>
      </c>
      <c r="S37" s="385"/>
      <c r="T37" s="177"/>
      <c r="U37" s="174"/>
      <c r="V37" s="177"/>
      <c r="W37" s="174"/>
    </row>
    <row r="38" spans="2:23" ht="15" customHeight="1" x14ac:dyDescent="0.25">
      <c r="B38" s="62" t="s">
        <v>98</v>
      </c>
      <c r="C38" s="199" t="s">
        <v>99</v>
      </c>
      <c r="D38" s="63"/>
      <c r="E38" s="64"/>
      <c r="F38" s="65"/>
      <c r="G38" s="292"/>
      <c r="H38" s="176">
        <f>SUBTOTAL(9,H39:H40)</f>
        <v>399000</v>
      </c>
      <c r="I38" s="65"/>
      <c r="J38" s="176">
        <f ca="1">SUBTOTAL(9,J39:J40)</f>
        <v>233722.91800000003</v>
      </c>
      <c r="K38" s="65"/>
      <c r="L38" s="176">
        <f ca="1">SUBTOTAL(9,L39:L40)</f>
        <v>621222.57022226008</v>
      </c>
      <c r="M38" s="65"/>
      <c r="N38" s="176">
        <f ca="1">SUBTOTAL(9,N39:N40)</f>
        <v>854945.48822226014</v>
      </c>
      <c r="O38" s="187"/>
      <c r="P38" s="65"/>
      <c r="Q38" s="176">
        <f ca="1">SUBTOTAL(9,Q39:Q40)</f>
        <v>-455945.48822226003</v>
      </c>
      <c r="R38" s="191"/>
      <c r="T38" s="64"/>
      <c r="U38" s="65"/>
      <c r="V38" s="65"/>
      <c r="W38" s="176">
        <f>SUBTOTAL(9,W39)</f>
        <v>404800</v>
      </c>
    </row>
    <row r="39" spans="2:23" s="150" customFormat="1" ht="15" customHeight="1" x14ac:dyDescent="0.25">
      <c r="B39" s="296" t="s">
        <v>100</v>
      </c>
      <c r="C39" s="297" t="s">
        <v>101</v>
      </c>
      <c r="D39" s="298"/>
      <c r="E39" s="299" t="s">
        <v>102</v>
      </c>
      <c r="F39" s="164">
        <v>25.3</v>
      </c>
      <c r="G39" s="304">
        <v>15000</v>
      </c>
      <c r="H39" s="164">
        <f t="shared" si="2"/>
        <v>379500</v>
      </c>
      <c r="I39" s="165">
        <f ca="1">RESUMO!H34</f>
        <v>9238.0600000000013</v>
      </c>
      <c r="J39" s="166">
        <f ca="1">RESUMO!M34</f>
        <v>233722.91800000003</v>
      </c>
      <c r="K39" s="167">
        <f ca="1">RESUMO!I34</f>
        <v>22721.097637243478</v>
      </c>
      <c r="L39" s="167">
        <f ca="1">RESUMO!N34</f>
        <v>574843.77022226003</v>
      </c>
      <c r="M39" s="168">
        <f ca="1">RESUMO!J34</f>
        <v>31959.157637243479</v>
      </c>
      <c r="N39" s="169">
        <f ca="1">RESUMO!O34</f>
        <v>808566.6882222601</v>
      </c>
      <c r="O39" s="185">
        <f ca="1">RESUMO!R34</f>
        <v>2.1306105091495651</v>
      </c>
      <c r="P39" s="168">
        <f ca="1">RESUMO!K34</f>
        <v>-16959.157637243479</v>
      </c>
      <c r="Q39" s="169">
        <f ca="1">RESUMO!P34</f>
        <v>-429066.68822226004</v>
      </c>
      <c r="R39" s="189">
        <f t="shared" ref="R39:R40" ca="1" si="4">1-O39</f>
        <v>-1.1306105091495651</v>
      </c>
      <c r="S39" s="385"/>
      <c r="T39" s="180" t="s">
        <v>102</v>
      </c>
      <c r="U39" s="181">
        <v>25.3</v>
      </c>
      <c r="V39" s="180">
        <v>16000</v>
      </c>
      <c r="W39" s="181">
        <f>ROUND(V39*U39,2)</f>
        <v>404800</v>
      </c>
    </row>
    <row r="40" spans="2:23" s="150" customFormat="1" ht="15" customHeight="1" x14ac:dyDescent="0.25">
      <c r="B40" s="300" t="s">
        <v>396</v>
      </c>
      <c r="C40" s="301" t="s">
        <v>416</v>
      </c>
      <c r="D40" s="302"/>
      <c r="E40" s="303" t="s">
        <v>90</v>
      </c>
      <c r="F40" s="164">
        <v>65</v>
      </c>
      <c r="G40" s="304">
        <v>300</v>
      </c>
      <c r="H40" s="164">
        <f t="shared" si="2"/>
        <v>19500</v>
      </c>
      <c r="I40" s="165">
        <f ca="1">RESUMO!H35</f>
        <v>0</v>
      </c>
      <c r="J40" s="166">
        <f ca="1">RESUMO!M35</f>
        <v>0</v>
      </c>
      <c r="K40" s="167">
        <f ca="1">RESUMO!I35</f>
        <v>713.52</v>
      </c>
      <c r="L40" s="167">
        <f ca="1">RESUMO!N35</f>
        <v>46378.799999999996</v>
      </c>
      <c r="M40" s="168">
        <f ca="1">RESUMO!J35</f>
        <v>713.52</v>
      </c>
      <c r="N40" s="169">
        <f ca="1">RESUMO!O35</f>
        <v>46378.799999999996</v>
      </c>
      <c r="O40" s="185">
        <f ca="1">RESUMO!R35</f>
        <v>2.3784000000000001</v>
      </c>
      <c r="P40" s="168">
        <f ca="1">RESUMO!K35</f>
        <v>-413.52</v>
      </c>
      <c r="Q40" s="169">
        <f ca="1">RESUMO!P35</f>
        <v>-26878.799999999999</v>
      </c>
      <c r="R40" s="189">
        <f t="shared" ca="1" si="4"/>
        <v>-1.3784000000000001</v>
      </c>
      <c r="S40" s="385"/>
      <c r="T40" s="180" t="s">
        <v>102</v>
      </c>
      <c r="U40" s="181">
        <v>25.3</v>
      </c>
      <c r="V40" s="180">
        <v>16000</v>
      </c>
      <c r="W40" s="181">
        <f>ROUND(V40*U40,2)</f>
        <v>404800</v>
      </c>
    </row>
    <row r="41" spans="2:23" ht="15" customHeight="1" x14ac:dyDescent="0.25">
      <c r="B41" s="58" t="s">
        <v>103</v>
      </c>
      <c r="C41" s="198" t="s">
        <v>104</v>
      </c>
      <c r="D41" s="59"/>
      <c r="E41" s="60"/>
      <c r="F41" s="61"/>
      <c r="G41" s="291"/>
      <c r="H41" s="61">
        <f>SUBTOTAL(9,H42:H67)</f>
        <v>807697.37000000011</v>
      </c>
      <c r="I41" s="61"/>
      <c r="J41" s="61">
        <f ca="1">SUBTOTAL(9,J42:J67)</f>
        <v>776624.58065982407</v>
      </c>
      <c r="K41" s="61"/>
      <c r="L41" s="61">
        <f ca="1">SUBTOTAL(9,L42:L67)</f>
        <v>26511.599999999995</v>
      </c>
      <c r="M41" s="61"/>
      <c r="N41" s="61">
        <f ca="1">SUBTOTAL(9,N42:N67)</f>
        <v>803136.18065982393</v>
      </c>
      <c r="O41" s="186"/>
      <c r="P41" s="61"/>
      <c r="Q41" s="61">
        <f ca="1">SUBTOTAL(9,Q42:Q67)</f>
        <v>4561.1893401760581</v>
      </c>
      <c r="R41" s="190"/>
      <c r="S41" s="386"/>
      <c r="T41" s="60"/>
      <c r="U41" s="61"/>
      <c r="V41" s="61"/>
      <c r="W41" s="61">
        <f>SUBTOTAL(9,W42:W61)</f>
        <v>673298.8725956484</v>
      </c>
    </row>
    <row r="42" spans="2:23" ht="15" customHeight="1" x14ac:dyDescent="0.25">
      <c r="B42" s="62" t="s">
        <v>105</v>
      </c>
      <c r="C42" s="199" t="s">
        <v>71</v>
      </c>
      <c r="D42" s="63"/>
      <c r="E42" s="64"/>
      <c r="F42" s="65"/>
      <c r="G42" s="292"/>
      <c r="H42" s="176">
        <f>SUBTOTAL(9,H43:H47)</f>
        <v>39565.81</v>
      </c>
      <c r="I42" s="65"/>
      <c r="J42" s="176">
        <f ca="1">SUBTOTAL(9,J43:J47)</f>
        <v>24752.504913481098</v>
      </c>
      <c r="K42" s="65"/>
      <c r="L42" s="176">
        <f ca="1">SUBTOTAL(9,L43:L47)</f>
        <v>0</v>
      </c>
      <c r="M42" s="65"/>
      <c r="N42" s="176">
        <f ca="1">SUBTOTAL(9,N43:N47)</f>
        <v>24752.504913481098</v>
      </c>
      <c r="O42" s="187"/>
      <c r="P42" s="65"/>
      <c r="Q42" s="176">
        <f ca="1">SUBTOTAL(9,Q43:Q47)</f>
        <v>14813.305086518898</v>
      </c>
      <c r="R42" s="191"/>
      <c r="T42" s="64"/>
      <c r="U42" s="65"/>
      <c r="V42" s="65"/>
      <c r="W42" s="176">
        <f>SUBTOTAL(9,W43:W46)</f>
        <v>34802.9</v>
      </c>
    </row>
    <row r="43" spans="2:23" s="150" customFormat="1" ht="15" customHeight="1" x14ac:dyDescent="0.25">
      <c r="B43" s="161" t="s">
        <v>106</v>
      </c>
      <c r="C43" s="195" t="s">
        <v>107</v>
      </c>
      <c r="D43" s="162"/>
      <c r="E43" s="175" t="s">
        <v>102</v>
      </c>
      <c r="F43" s="164">
        <v>0.85999989665124188</v>
      </c>
      <c r="G43" s="304">
        <v>7740.78</v>
      </c>
      <c r="H43" s="164">
        <f t="shared" ref="H43:H47" si="5">F43*G43</f>
        <v>6657.07</v>
      </c>
      <c r="I43" s="165">
        <f ca="1">RESUMO!H38</f>
        <v>7740.7789999999995</v>
      </c>
      <c r="J43" s="166">
        <f ca="1">RESUMO!M38</f>
        <v>6657.0691400001033</v>
      </c>
      <c r="K43" s="167">
        <f ca="1">RESUMO!I38</f>
        <v>0</v>
      </c>
      <c r="L43" s="167">
        <f ca="1">RESUMO!N38</f>
        <v>0</v>
      </c>
      <c r="M43" s="168">
        <f ca="1">RESUMO!J38</f>
        <v>7740.7789999999995</v>
      </c>
      <c r="N43" s="169">
        <f ca="1">RESUMO!O38</f>
        <v>6657.0691400001033</v>
      </c>
      <c r="O43" s="185">
        <f ca="1">RESUMO!R38</f>
        <v>0.99999987081405228</v>
      </c>
      <c r="P43" s="168">
        <f ca="1">RESUMO!K38</f>
        <v>1.0000000002037268E-3</v>
      </c>
      <c r="Q43" s="169">
        <f ca="1">RESUMO!P38</f>
        <v>8.5999989682644694E-4</v>
      </c>
      <c r="R43" s="189">
        <f t="shared" ref="R43:R47" ca="1" si="6">1-O43</f>
        <v>1.2918594771704761E-7</v>
      </c>
      <c r="S43" s="385"/>
      <c r="T43" s="175" t="s">
        <v>102</v>
      </c>
      <c r="U43" s="164">
        <v>0.86</v>
      </c>
      <c r="V43" s="175">
        <v>2153.7359999999999</v>
      </c>
      <c r="W43" s="164">
        <f>ROUND(V43*U43,2)</f>
        <v>1852.21</v>
      </c>
    </row>
    <row r="44" spans="2:23" s="150" customFormat="1" ht="15" customHeight="1" x14ac:dyDescent="0.25">
      <c r="B44" s="156" t="s">
        <v>108</v>
      </c>
      <c r="C44" s="196" t="s">
        <v>109</v>
      </c>
      <c r="D44" s="157"/>
      <c r="E44" s="160" t="s">
        <v>79</v>
      </c>
      <c r="F44" s="164">
        <v>1.539998012521117</v>
      </c>
      <c r="G44" s="304">
        <v>603.78</v>
      </c>
      <c r="H44" s="164">
        <f t="shared" si="5"/>
        <v>929.81999999999994</v>
      </c>
      <c r="I44" s="165">
        <f ca="1">RESUMO!H39</f>
        <v>603.7807620000001</v>
      </c>
      <c r="J44" s="166">
        <f ca="1">RESUMO!M39</f>
        <v>929.82117347848566</v>
      </c>
      <c r="K44" s="167">
        <f ca="1">RESUMO!I39</f>
        <v>0</v>
      </c>
      <c r="L44" s="167">
        <f ca="1">RESUMO!N39</f>
        <v>0</v>
      </c>
      <c r="M44" s="168">
        <f ca="1">RESUMO!J39</f>
        <v>603.7807620000001</v>
      </c>
      <c r="N44" s="169">
        <f ca="1">RESUMO!O39</f>
        <v>929.82117347848566</v>
      </c>
      <c r="O44" s="185">
        <f ca="1">RESUMO!R39</f>
        <v>1.000001262049091</v>
      </c>
      <c r="P44" s="168">
        <f ca="1">RESUMO!K39</f>
        <v>-7.6200000012249802E-4</v>
      </c>
      <c r="Q44" s="169">
        <f ca="1">RESUMO!P39</f>
        <v>-1.1734784857297378E-3</v>
      </c>
      <c r="R44" s="189">
        <f t="shared" ca="1" si="6"/>
        <v>-1.2620490910109083E-6</v>
      </c>
      <c r="S44" s="385"/>
      <c r="T44" s="160" t="s">
        <v>79</v>
      </c>
      <c r="U44" s="159">
        <v>1.54</v>
      </c>
      <c r="V44" s="160">
        <v>1679.91408</v>
      </c>
      <c r="W44" s="159">
        <f>ROUND(V44*U44,2)</f>
        <v>2587.0700000000002</v>
      </c>
    </row>
    <row r="45" spans="2:23" s="150" customFormat="1" ht="15" customHeight="1" x14ac:dyDescent="0.25">
      <c r="B45" s="161" t="s">
        <v>110</v>
      </c>
      <c r="C45" s="196" t="s">
        <v>417</v>
      </c>
      <c r="D45" s="157"/>
      <c r="E45" s="160" t="s">
        <v>74</v>
      </c>
      <c r="F45" s="164">
        <v>0</v>
      </c>
      <c r="G45" s="304">
        <v>0</v>
      </c>
      <c r="H45" s="164">
        <f t="shared" si="5"/>
        <v>0</v>
      </c>
      <c r="I45" s="165">
        <f ca="1">RESUMO!H40</f>
        <v>6679.4449999999997</v>
      </c>
      <c r="J45" s="166">
        <f ca="1">RESUMO!M40</f>
        <v>0</v>
      </c>
      <c r="K45" s="167">
        <f ca="1">RESUMO!I40</f>
        <v>0</v>
      </c>
      <c r="L45" s="167">
        <f ca="1">RESUMO!N40</f>
        <v>0</v>
      </c>
      <c r="M45" s="168">
        <f ca="1">RESUMO!J40</f>
        <v>6679.4449999999997</v>
      </c>
      <c r="N45" s="169">
        <f ca="1">RESUMO!O40</f>
        <v>0</v>
      </c>
      <c r="O45" s="185">
        <f ca="1">RESUMO!R40</f>
        <v>0</v>
      </c>
      <c r="P45" s="168">
        <f ca="1">RESUMO!K40</f>
        <v>-6679.4449999999997</v>
      </c>
      <c r="Q45" s="169">
        <f ca="1">RESUMO!P40</f>
        <v>0</v>
      </c>
      <c r="R45" s="189">
        <f t="shared" ca="1" si="6"/>
        <v>1</v>
      </c>
      <c r="S45" s="385"/>
      <c r="T45" s="160" t="s">
        <v>74</v>
      </c>
      <c r="U45" s="159">
        <v>11.03</v>
      </c>
      <c r="V45" s="160">
        <v>2211.48</v>
      </c>
      <c r="W45" s="159">
        <f>ROUND(V45*U45,2)</f>
        <v>24392.62</v>
      </c>
    </row>
    <row r="46" spans="2:23" s="150" customFormat="1" ht="15" customHeight="1" x14ac:dyDescent="0.25">
      <c r="B46" s="156" t="s">
        <v>112</v>
      </c>
      <c r="C46" s="197" t="s">
        <v>81</v>
      </c>
      <c r="D46" s="172"/>
      <c r="E46" s="177" t="s">
        <v>74</v>
      </c>
      <c r="F46" s="164">
        <v>2.6999987416714375</v>
      </c>
      <c r="G46" s="304">
        <v>6357.64</v>
      </c>
      <c r="H46" s="164">
        <f t="shared" si="5"/>
        <v>17165.62</v>
      </c>
      <c r="I46" s="165">
        <f ca="1">RESUMO!H41</f>
        <v>6357.637999999999</v>
      </c>
      <c r="J46" s="166">
        <f ca="1">RESUMO!M41</f>
        <v>17165.614600002511</v>
      </c>
      <c r="K46" s="167">
        <f ca="1">RESUMO!I41</f>
        <v>0</v>
      </c>
      <c r="L46" s="167">
        <f ca="1">RESUMO!N41</f>
        <v>0</v>
      </c>
      <c r="M46" s="168">
        <f ca="1">RESUMO!J41</f>
        <v>6357.637999999999</v>
      </c>
      <c r="N46" s="169">
        <f ca="1">RESUMO!O41</f>
        <v>17165.614600002511</v>
      </c>
      <c r="O46" s="185">
        <f ca="1">RESUMO!R41</f>
        <v>0.99999968541785922</v>
      </c>
      <c r="P46" s="168">
        <f ca="1">RESUMO!K41</f>
        <v>2.0000000013169483E-3</v>
      </c>
      <c r="Q46" s="169">
        <f ca="1">RESUMO!P41</f>
        <v>5.3999974868986335E-3</v>
      </c>
      <c r="R46" s="189">
        <f t="shared" ca="1" si="6"/>
        <v>3.1458214078128321E-7</v>
      </c>
      <c r="S46" s="385"/>
      <c r="T46" s="177" t="s">
        <v>74</v>
      </c>
      <c r="U46" s="174">
        <v>2.7</v>
      </c>
      <c r="V46" s="177">
        <v>2211.48</v>
      </c>
      <c r="W46" s="174">
        <f>ROUND(V46*U46,2)</f>
        <v>5971</v>
      </c>
    </row>
    <row r="47" spans="2:23" s="150" customFormat="1" ht="15" customHeight="1" x14ac:dyDescent="0.25">
      <c r="B47" s="161" t="s">
        <v>398</v>
      </c>
      <c r="C47" s="197" t="s">
        <v>395</v>
      </c>
      <c r="D47" s="172"/>
      <c r="E47" s="177" t="s">
        <v>74</v>
      </c>
      <c r="F47" s="164">
        <v>2.3299998112507154</v>
      </c>
      <c r="G47" s="304">
        <v>6357.64</v>
      </c>
      <c r="H47" s="164">
        <f t="shared" si="5"/>
        <v>14813.3</v>
      </c>
      <c r="I47" s="165">
        <f ca="1">RESUMO!H42</f>
        <v>0</v>
      </c>
      <c r="J47" s="166">
        <f ca="1">RESUMO!M42</f>
        <v>0</v>
      </c>
      <c r="K47" s="167">
        <f ca="1">RESUMO!I42</f>
        <v>0</v>
      </c>
      <c r="L47" s="167">
        <f ca="1">RESUMO!N42</f>
        <v>0</v>
      </c>
      <c r="M47" s="168">
        <f ca="1">RESUMO!J42</f>
        <v>0</v>
      </c>
      <c r="N47" s="169">
        <f ca="1">RESUMO!O42</f>
        <v>0</v>
      </c>
      <c r="O47" s="185">
        <f ca="1">RESUMO!R42</f>
        <v>0</v>
      </c>
      <c r="P47" s="168">
        <f ca="1">RESUMO!K42</f>
        <v>6357.64</v>
      </c>
      <c r="Q47" s="169">
        <f ca="1">RESUMO!P42</f>
        <v>14813.3</v>
      </c>
      <c r="R47" s="189">
        <f t="shared" ca="1" si="6"/>
        <v>1</v>
      </c>
      <c r="S47" s="385"/>
      <c r="T47" s="177"/>
      <c r="U47" s="174"/>
      <c r="V47" s="177"/>
      <c r="W47" s="174"/>
    </row>
    <row r="48" spans="2:23" ht="15" customHeight="1" x14ac:dyDescent="0.25">
      <c r="B48" s="62" t="s">
        <v>113</v>
      </c>
      <c r="C48" s="199" t="s">
        <v>114</v>
      </c>
      <c r="D48" s="63"/>
      <c r="E48" s="64"/>
      <c r="F48" s="65"/>
      <c r="G48" s="292"/>
      <c r="H48" s="176">
        <f>SUBTOTAL(9,H49:H54)</f>
        <v>418780.26</v>
      </c>
      <c r="I48" s="65"/>
      <c r="J48" s="176">
        <f ca="1">SUBTOTAL(9,J49:J54)</f>
        <v>431823.00565094233</v>
      </c>
      <c r="K48" s="65"/>
      <c r="L48" s="176">
        <f ca="1">SUBTOTAL(9,L49:L54)</f>
        <v>0</v>
      </c>
      <c r="M48" s="65"/>
      <c r="N48" s="176">
        <f ca="1">SUBTOTAL(9,N49:N54)</f>
        <v>431823.00565094233</v>
      </c>
      <c r="O48" s="187"/>
      <c r="P48" s="65"/>
      <c r="Q48" s="176">
        <f ca="1">SUBTOTAL(9,Q49:Q54)</f>
        <v>-13042.74565094235</v>
      </c>
      <c r="R48" s="191"/>
      <c r="T48" s="64"/>
      <c r="U48" s="65"/>
      <c r="V48" s="65"/>
      <c r="W48" s="176">
        <f>SUBTOTAL(9,W49:W54)</f>
        <v>392963.57999999996</v>
      </c>
    </row>
    <row r="49" spans="2:23" s="150" customFormat="1" ht="15" customHeight="1" x14ac:dyDescent="0.25">
      <c r="B49" s="161" t="s">
        <v>115</v>
      </c>
      <c r="C49" s="195" t="s">
        <v>116</v>
      </c>
      <c r="D49" s="162"/>
      <c r="E49" s="175" t="s">
        <v>102</v>
      </c>
      <c r="F49" s="164">
        <v>4.2900001663035709</v>
      </c>
      <c r="G49" s="304">
        <v>2405.2399999999998</v>
      </c>
      <c r="H49" s="164">
        <f t="shared" ref="H49:H54" si="7">F49*G49</f>
        <v>10318.48</v>
      </c>
      <c r="I49" s="165">
        <f ca="1">RESUMO!H44</f>
        <v>2405.241</v>
      </c>
      <c r="J49" s="166">
        <f ca="1">RESUMO!M44</f>
        <v>10318.484290000168</v>
      </c>
      <c r="K49" s="167">
        <f ca="1">RESUMO!I44</f>
        <v>0</v>
      </c>
      <c r="L49" s="167">
        <f ca="1">RESUMO!N44</f>
        <v>0</v>
      </c>
      <c r="M49" s="168">
        <f ca="1">RESUMO!J44</f>
        <v>2405.241</v>
      </c>
      <c r="N49" s="169">
        <f ca="1">RESUMO!O44</f>
        <v>10318.484290000168</v>
      </c>
      <c r="O49" s="185">
        <f ca="1">RESUMO!R44</f>
        <v>1.0000004157589264</v>
      </c>
      <c r="P49" s="168">
        <f ca="1">RESUMO!K44</f>
        <v>-1.0000000002037268E-3</v>
      </c>
      <c r="Q49" s="169">
        <f ca="1">RESUMO!P44</f>
        <v>-4.2900001671775587E-3</v>
      </c>
      <c r="R49" s="189">
        <f t="shared" ref="R49:R54" ca="1" si="8">1-O49</f>
        <v>-4.1575892639755807E-7</v>
      </c>
      <c r="S49" s="385"/>
      <c r="T49" s="175" t="s">
        <v>102</v>
      </c>
      <c r="U49" s="164">
        <v>4.29</v>
      </c>
      <c r="V49" s="175">
        <v>2153.7359999999999</v>
      </c>
      <c r="W49" s="164">
        <f t="shared" ref="W49:W54" si="9">ROUND(V49*U49,2)</f>
        <v>9239.5300000000007</v>
      </c>
    </row>
    <row r="50" spans="2:23" s="150" customFormat="1" ht="15" customHeight="1" x14ac:dyDescent="0.25">
      <c r="B50" s="156" t="s">
        <v>117</v>
      </c>
      <c r="C50" s="196" t="s">
        <v>118</v>
      </c>
      <c r="D50" s="157"/>
      <c r="E50" s="160" t="s">
        <v>74</v>
      </c>
      <c r="F50" s="164">
        <v>153.9200661888211</v>
      </c>
      <c r="G50" s="304">
        <v>1202.6199999999999</v>
      </c>
      <c r="H50" s="164">
        <f t="shared" si="7"/>
        <v>185107.35</v>
      </c>
      <c r="I50" s="165">
        <f ca="1">RESUMO!H45</f>
        <v>1202.6205</v>
      </c>
      <c r="J50" s="166">
        <f ca="1">RESUMO!M45</f>
        <v>185107.42696003313</v>
      </c>
      <c r="K50" s="167">
        <f ca="1">RESUMO!I45</f>
        <v>0</v>
      </c>
      <c r="L50" s="167">
        <f ca="1">RESUMO!N45</f>
        <v>0</v>
      </c>
      <c r="M50" s="168">
        <f ca="1">RESUMO!J45</f>
        <v>1202.6205</v>
      </c>
      <c r="N50" s="169">
        <f ca="1">RESUMO!O45</f>
        <v>185107.42696003313</v>
      </c>
      <c r="O50" s="185">
        <f ca="1">RESUMO!R45</f>
        <v>1.0000004157589264</v>
      </c>
      <c r="P50" s="168">
        <f ca="1">RESUMO!K45</f>
        <v>-5.0000000010186341E-4</v>
      </c>
      <c r="Q50" s="169">
        <f ca="1">RESUMO!P45</f>
        <v>-7.6960033110089365E-2</v>
      </c>
      <c r="R50" s="189">
        <f t="shared" ca="1" si="8"/>
        <v>-4.1575892639755807E-7</v>
      </c>
      <c r="S50" s="385"/>
      <c r="T50" s="160" t="s">
        <v>74</v>
      </c>
      <c r="U50" s="159">
        <v>153.91999999999999</v>
      </c>
      <c r="V50" s="160">
        <v>1186.51</v>
      </c>
      <c r="W50" s="159">
        <f t="shared" si="9"/>
        <v>182627.62</v>
      </c>
    </row>
    <row r="51" spans="2:23" s="150" customFormat="1" ht="15" customHeight="1" x14ac:dyDescent="0.25">
      <c r="B51" s="156" t="s">
        <v>119</v>
      </c>
      <c r="C51" s="196" t="s">
        <v>120</v>
      </c>
      <c r="D51" s="157"/>
      <c r="E51" s="160" t="s">
        <v>74</v>
      </c>
      <c r="F51" s="164">
        <v>173.54936077330839</v>
      </c>
      <c r="G51" s="304">
        <v>481.05</v>
      </c>
      <c r="H51" s="164">
        <f t="shared" si="7"/>
        <v>83485.919999999998</v>
      </c>
      <c r="I51" s="165">
        <f ca="1">RESUMO!H46</f>
        <v>481.04820000000007</v>
      </c>
      <c r="J51" s="166">
        <f ca="1">RESUMO!M46</f>
        <v>83485.607611150626</v>
      </c>
      <c r="K51" s="167">
        <f ca="1">RESUMO!I46</f>
        <v>0</v>
      </c>
      <c r="L51" s="167">
        <f ca="1">RESUMO!N46</f>
        <v>0</v>
      </c>
      <c r="M51" s="168">
        <f ca="1">RESUMO!J46</f>
        <v>481.04820000000007</v>
      </c>
      <c r="N51" s="169">
        <f ca="1">RESUMO!O46</f>
        <v>83485.607611150626</v>
      </c>
      <c r="O51" s="185">
        <f ca="1">RESUMO!R46</f>
        <v>0.99999625818521998</v>
      </c>
      <c r="P51" s="168">
        <f ca="1">RESUMO!K46</f>
        <v>1.799999999946067E-3</v>
      </c>
      <c r="Q51" s="169">
        <f ca="1">RESUMO!P46</f>
        <v>0.31238884938259509</v>
      </c>
      <c r="R51" s="189">
        <f t="shared" ca="1" si="8"/>
        <v>3.7418147800227786E-6</v>
      </c>
      <c r="S51" s="385"/>
      <c r="T51" s="160" t="s">
        <v>74</v>
      </c>
      <c r="U51" s="159">
        <v>173.55</v>
      </c>
      <c r="V51" s="160">
        <v>430.74720000000002</v>
      </c>
      <c r="W51" s="159">
        <f t="shared" si="9"/>
        <v>74756.179999999993</v>
      </c>
    </row>
    <row r="52" spans="2:23" s="150" customFormat="1" ht="15" customHeight="1" x14ac:dyDescent="0.25">
      <c r="B52" s="156" t="s">
        <v>121</v>
      </c>
      <c r="C52" s="196" t="s">
        <v>122</v>
      </c>
      <c r="D52" s="157"/>
      <c r="E52" s="160" t="s">
        <v>102</v>
      </c>
      <c r="F52" s="164">
        <v>0.87000049891071163</v>
      </c>
      <c r="G52" s="304">
        <v>2405.2399999999998</v>
      </c>
      <c r="H52" s="164">
        <f t="shared" si="7"/>
        <v>2092.56</v>
      </c>
      <c r="I52" s="165">
        <f ca="1">RESUMO!H47</f>
        <v>2405.241</v>
      </c>
      <c r="J52" s="166">
        <f ca="1">RESUMO!M47</f>
        <v>2092.5608700004991</v>
      </c>
      <c r="K52" s="167">
        <f ca="1">RESUMO!I47</f>
        <v>0</v>
      </c>
      <c r="L52" s="167">
        <f ca="1">RESUMO!N47</f>
        <v>0</v>
      </c>
      <c r="M52" s="168">
        <f ca="1">RESUMO!J47</f>
        <v>2405.241</v>
      </c>
      <c r="N52" s="169">
        <f ca="1">RESUMO!O47</f>
        <v>2092.5608700004991</v>
      </c>
      <c r="O52" s="185">
        <f ca="1">RESUMO!R47</f>
        <v>1.0000004157589264</v>
      </c>
      <c r="P52" s="168">
        <f ca="1">RESUMO!K47</f>
        <v>-1.0000000002037268E-3</v>
      </c>
      <c r="Q52" s="169">
        <f ca="1">RESUMO!P47</f>
        <v>-8.7000049908795402E-4</v>
      </c>
      <c r="R52" s="189">
        <f t="shared" ca="1" si="8"/>
        <v>-4.1575892639755807E-7</v>
      </c>
      <c r="S52" s="385"/>
      <c r="T52" s="160" t="s">
        <v>102</v>
      </c>
      <c r="U52" s="159">
        <v>0.87</v>
      </c>
      <c r="V52" s="160">
        <v>2153.7359999999999</v>
      </c>
      <c r="W52" s="159">
        <f t="shared" si="9"/>
        <v>1873.75</v>
      </c>
    </row>
    <row r="53" spans="2:23" s="150" customFormat="1" ht="15" customHeight="1" x14ac:dyDescent="0.25">
      <c r="B53" s="156" t="s">
        <v>123</v>
      </c>
      <c r="C53" s="196" t="s">
        <v>124</v>
      </c>
      <c r="D53" s="157"/>
      <c r="E53" s="160" t="s">
        <v>102</v>
      </c>
      <c r="F53" s="164">
        <v>0.53000116412499376</v>
      </c>
      <c r="G53" s="304">
        <v>4810.4799999999996</v>
      </c>
      <c r="H53" s="164">
        <f t="shared" si="7"/>
        <v>2549.56</v>
      </c>
      <c r="I53" s="165">
        <f ca="1">RESUMO!H48</f>
        <v>4810.482</v>
      </c>
      <c r="J53" s="166">
        <f ca="1">RESUMO!M48</f>
        <v>2549.5610600023283</v>
      </c>
      <c r="K53" s="167">
        <f ca="1">RESUMO!I48</f>
        <v>0</v>
      </c>
      <c r="L53" s="167">
        <f ca="1">RESUMO!N48</f>
        <v>0</v>
      </c>
      <c r="M53" s="168">
        <f ca="1">RESUMO!J48</f>
        <v>4810.482</v>
      </c>
      <c r="N53" s="169">
        <f ca="1">RESUMO!O48</f>
        <v>2549.5610600023283</v>
      </c>
      <c r="O53" s="185">
        <f ca="1">RESUMO!R48</f>
        <v>1.0000004157589264</v>
      </c>
      <c r="P53" s="168">
        <f ca="1">RESUMO!K48</f>
        <v>-2.0000000004074536E-3</v>
      </c>
      <c r="Q53" s="169">
        <f ca="1">RESUMO!P48</f>
        <v>-1.0600023284659385E-3</v>
      </c>
      <c r="R53" s="189">
        <f t="shared" ca="1" si="8"/>
        <v>-4.1575892639755807E-7</v>
      </c>
      <c r="S53" s="385"/>
      <c r="T53" s="160" t="s">
        <v>102</v>
      </c>
      <c r="U53" s="159">
        <v>0.53</v>
      </c>
      <c r="V53" s="160">
        <v>4307.4719999999998</v>
      </c>
      <c r="W53" s="159">
        <f t="shared" si="9"/>
        <v>2282.96</v>
      </c>
    </row>
    <row r="54" spans="2:23" s="150" customFormat="1" ht="15" customHeight="1" x14ac:dyDescent="0.25">
      <c r="B54" s="171" t="s">
        <v>125</v>
      </c>
      <c r="C54" s="197" t="s">
        <v>126</v>
      </c>
      <c r="D54" s="172"/>
      <c r="E54" s="177" t="s">
        <v>127</v>
      </c>
      <c r="F54" s="164">
        <v>308.74309915751502</v>
      </c>
      <c r="G54" s="304">
        <v>437.99</v>
      </c>
      <c r="H54" s="164">
        <f t="shared" si="7"/>
        <v>135226.39000000001</v>
      </c>
      <c r="I54" s="165">
        <f ca="1">RESUMO!H49</f>
        <v>480.23539720999997</v>
      </c>
      <c r="J54" s="166">
        <f ca="1">RESUMO!M49</f>
        <v>148269.36485975565</v>
      </c>
      <c r="K54" s="167">
        <f ca="1">RESUMO!I49</f>
        <v>0</v>
      </c>
      <c r="L54" s="167">
        <f ca="1">RESUMO!N49</f>
        <v>0</v>
      </c>
      <c r="M54" s="168">
        <f ca="1">RESUMO!J49</f>
        <v>480.23539720999997</v>
      </c>
      <c r="N54" s="169">
        <f ca="1">RESUMO!O49</f>
        <v>148269.36485975565</v>
      </c>
      <c r="O54" s="185">
        <f ca="1">RESUMO!R49</f>
        <v>1.0964528806822074</v>
      </c>
      <c r="P54" s="168">
        <f ca="1">RESUMO!K49</f>
        <v>-42.245397209999965</v>
      </c>
      <c r="Q54" s="169">
        <f ca="1">RESUMO!P49</f>
        <v>-13042.974859755628</v>
      </c>
      <c r="R54" s="189">
        <f t="shared" ca="1" si="8"/>
        <v>-9.6452880682207365E-2</v>
      </c>
      <c r="S54" s="385"/>
      <c r="T54" s="177" t="s">
        <v>127</v>
      </c>
      <c r="U54" s="174">
        <v>308.74</v>
      </c>
      <c r="V54" s="177">
        <v>395.74898999999999</v>
      </c>
      <c r="W54" s="174">
        <f t="shared" si="9"/>
        <v>122183.54</v>
      </c>
    </row>
    <row r="55" spans="2:23" ht="15" customHeight="1" x14ac:dyDescent="0.25">
      <c r="B55" s="62" t="s">
        <v>128</v>
      </c>
      <c r="C55" s="199" t="s">
        <v>129</v>
      </c>
      <c r="D55" s="63"/>
      <c r="E55" s="64"/>
      <c r="F55" s="65"/>
      <c r="G55" s="292"/>
      <c r="H55" s="176">
        <f>SUBTOTAL(9,H56:H61)</f>
        <v>305037</v>
      </c>
      <c r="I55" s="65"/>
      <c r="J55" s="176">
        <f ca="1">SUBTOTAL(9,J56:J61)</f>
        <v>320049.0700954005</v>
      </c>
      <c r="K55" s="65"/>
      <c r="L55" s="176">
        <f ca="1">SUBTOTAL(9,L56:L61)</f>
        <v>0</v>
      </c>
      <c r="M55" s="65"/>
      <c r="N55" s="176">
        <f ca="1">SUBTOTAL(9,N56:N61)</f>
        <v>320049.0700954005</v>
      </c>
      <c r="O55" s="187"/>
      <c r="P55" s="65"/>
      <c r="Q55" s="176">
        <f ca="1">SUBTOTAL(9,Q56:Q61)</f>
        <v>-15012.070095400493</v>
      </c>
      <c r="R55" s="191"/>
      <c r="T55" s="64"/>
      <c r="U55" s="65"/>
      <c r="V55" s="65"/>
      <c r="W55" s="176">
        <f>SUBTOTAL(9,W56:W61)</f>
        <v>245532.39259564847</v>
      </c>
    </row>
    <row r="56" spans="2:23" s="150" customFormat="1" ht="15" customHeight="1" x14ac:dyDescent="0.25">
      <c r="B56" s="161" t="s">
        <v>130</v>
      </c>
      <c r="C56" s="195" t="s">
        <v>403</v>
      </c>
      <c r="D56" s="162"/>
      <c r="E56" s="175" t="s">
        <v>127</v>
      </c>
      <c r="F56" s="164">
        <v>3055.856707317073</v>
      </c>
      <c r="G56" s="304">
        <v>3.28</v>
      </c>
      <c r="H56" s="164">
        <f t="shared" ref="H56:H61" si="10">F56*G56</f>
        <v>10023.209999999999</v>
      </c>
      <c r="I56" s="165">
        <f ca="1">RESUMO!H51</f>
        <v>3.7632973599999997</v>
      </c>
      <c r="J56" s="166">
        <f ca="1">RESUMO!M51</f>
        <v>11500.097479184633</v>
      </c>
      <c r="K56" s="167">
        <f ca="1">RESUMO!I51</f>
        <v>0</v>
      </c>
      <c r="L56" s="167">
        <f ca="1">RESUMO!N51</f>
        <v>0</v>
      </c>
      <c r="M56" s="168">
        <f ca="1">RESUMO!J51</f>
        <v>3.7632973599999997</v>
      </c>
      <c r="N56" s="169">
        <f ca="1">RESUMO!O51</f>
        <v>11500.097479184633</v>
      </c>
      <c r="O56" s="185">
        <f ca="1">RESUMO!R51</f>
        <v>1.147346756097561</v>
      </c>
      <c r="P56" s="168">
        <f ca="1">RESUMO!K51</f>
        <v>-0.4832973599999999</v>
      </c>
      <c r="Q56" s="169">
        <f ca="1">RESUMO!P51</f>
        <v>-1476.8874791846338</v>
      </c>
      <c r="R56" s="189">
        <f t="shared" ref="R56:R61" ca="1" si="11">1-O56</f>
        <v>-0.14734675609756098</v>
      </c>
      <c r="S56" s="385"/>
      <c r="T56" s="175" t="s">
        <v>127</v>
      </c>
      <c r="U56" s="164">
        <v>3052.92</v>
      </c>
      <c r="V56" s="175">
        <v>2.7998567999999997</v>
      </c>
      <c r="W56" s="164">
        <f>ROUND(V56*U56,2)</f>
        <v>8547.74</v>
      </c>
    </row>
    <row r="57" spans="2:23" s="150" customFormat="1" ht="15" customHeight="1" x14ac:dyDescent="0.25">
      <c r="B57" s="156" t="s">
        <v>132</v>
      </c>
      <c r="C57" s="196" t="s">
        <v>402</v>
      </c>
      <c r="D57" s="157"/>
      <c r="E57" s="160" t="s">
        <v>127</v>
      </c>
      <c r="F57" s="164">
        <v>3461.7051282051284</v>
      </c>
      <c r="G57" s="304">
        <v>2.34</v>
      </c>
      <c r="H57" s="164">
        <f t="shared" si="10"/>
        <v>8100.39</v>
      </c>
      <c r="I57" s="165">
        <f ca="1">RESUMO!H52</f>
        <v>2.6298570517672797</v>
      </c>
      <c r="J57" s="166">
        <f ca="1">RESUMO!M52</f>
        <v>9103.7896425492127</v>
      </c>
      <c r="K57" s="167">
        <f ca="1">RESUMO!I52</f>
        <v>0</v>
      </c>
      <c r="L57" s="167">
        <f ca="1">RESUMO!N52</f>
        <v>0</v>
      </c>
      <c r="M57" s="168">
        <f ca="1">RESUMO!J52</f>
        <v>2.6298570517672797</v>
      </c>
      <c r="N57" s="169">
        <f ca="1">RESUMO!O52</f>
        <v>9103.7896425492127</v>
      </c>
      <c r="O57" s="185">
        <f ca="1">RESUMO!R52</f>
        <v>1.123870534943282</v>
      </c>
      <c r="P57" s="168">
        <f ca="1">RESUMO!K52</f>
        <v>-0.28985705176727983</v>
      </c>
      <c r="Q57" s="169">
        <f ca="1">RESUMO!P52</f>
        <v>-1003.399642549212</v>
      </c>
      <c r="R57" s="189">
        <f t="shared" ca="1" si="11"/>
        <v>-0.12387053494328204</v>
      </c>
      <c r="S57" s="385"/>
      <c r="T57" s="160" t="s">
        <v>127</v>
      </c>
      <c r="U57" s="159">
        <v>3455.03</v>
      </c>
      <c r="V57" s="160">
        <v>2.0546641439999997</v>
      </c>
      <c r="W57" s="159">
        <f>V57*U57</f>
        <v>7098.9262574443192</v>
      </c>
    </row>
    <row r="58" spans="2:23" s="150" customFormat="1" ht="15" customHeight="1" x14ac:dyDescent="0.25">
      <c r="B58" s="156" t="s">
        <v>134</v>
      </c>
      <c r="C58" s="196" t="s">
        <v>135</v>
      </c>
      <c r="D58" s="157"/>
      <c r="E58" s="160" t="s">
        <v>127</v>
      </c>
      <c r="F58" s="164">
        <v>6076.7260519247984</v>
      </c>
      <c r="G58" s="304">
        <v>22.34</v>
      </c>
      <c r="H58" s="164">
        <f t="shared" si="10"/>
        <v>135754.06</v>
      </c>
      <c r="I58" s="165">
        <f ca="1">RESUMO!H53</f>
        <v>24.395266198099101</v>
      </c>
      <c r="J58" s="166">
        <f ca="1">RESUMO!M53</f>
        <v>148243.34964962924</v>
      </c>
      <c r="K58" s="167">
        <f ca="1">RESUMO!I53</f>
        <v>0</v>
      </c>
      <c r="L58" s="167">
        <f ca="1">RESUMO!N53</f>
        <v>0</v>
      </c>
      <c r="M58" s="168">
        <f ca="1">RESUMO!J53</f>
        <v>24.395266198099101</v>
      </c>
      <c r="N58" s="169">
        <f ca="1">RESUMO!O53</f>
        <v>148243.34964962924</v>
      </c>
      <c r="O58" s="185">
        <f ca="1">RESUMO!R53</f>
        <v>1.0919993821888585</v>
      </c>
      <c r="P58" s="168">
        <f ca="1">RESUMO!K53</f>
        <v>-2.0552661980991012</v>
      </c>
      <c r="Q58" s="169">
        <f ca="1">RESUMO!P53</f>
        <v>-12489.289649629241</v>
      </c>
      <c r="R58" s="189">
        <f t="shared" ca="1" si="11"/>
        <v>-9.1999382188858503E-2</v>
      </c>
      <c r="S58" s="385"/>
      <c r="T58" s="160" t="s">
        <v>127</v>
      </c>
      <c r="U58" s="159">
        <v>6077.35</v>
      </c>
      <c r="V58" s="160">
        <v>19.276933302900002</v>
      </c>
      <c r="W58" s="159">
        <f>V58*U58</f>
        <v>117152.67060837933</v>
      </c>
    </row>
    <row r="59" spans="2:23" s="150" customFormat="1" ht="15" customHeight="1" x14ac:dyDescent="0.25">
      <c r="B59" s="156" t="s">
        <v>136</v>
      </c>
      <c r="C59" s="196" t="s">
        <v>404</v>
      </c>
      <c r="D59" s="157"/>
      <c r="E59" s="160" t="s">
        <v>79</v>
      </c>
      <c r="F59" s="164">
        <v>1.0600000033573056</v>
      </c>
      <c r="G59" s="304">
        <v>119143.16</v>
      </c>
      <c r="H59" s="164">
        <f t="shared" si="10"/>
        <v>126291.75</v>
      </c>
      <c r="I59" s="165">
        <f ca="1">RESUMO!H54</f>
        <v>119183.24963395231</v>
      </c>
      <c r="J59" s="166">
        <f ca="1">RESUMO!M54</f>
        <v>126334.24501212404</v>
      </c>
      <c r="K59" s="167">
        <f ca="1">RESUMO!I54</f>
        <v>0</v>
      </c>
      <c r="L59" s="167">
        <f ca="1">RESUMO!N54</f>
        <v>0</v>
      </c>
      <c r="M59" s="168">
        <f ca="1">RESUMO!J54</f>
        <v>119183.24963395231</v>
      </c>
      <c r="N59" s="169">
        <f ca="1">RESUMO!O54</f>
        <v>126334.24501212404</v>
      </c>
      <c r="O59" s="185">
        <f ca="1">RESUMO!R54</f>
        <v>1.0003364828828807</v>
      </c>
      <c r="P59" s="168">
        <f ca="1">RESUMO!K54</f>
        <v>-40.089633952302393</v>
      </c>
      <c r="Q59" s="169">
        <f ca="1">RESUMO!P54</f>
        <v>-42.495012124033686</v>
      </c>
      <c r="R59" s="189">
        <f t="shared" ca="1" si="11"/>
        <v>-3.3648288288068429E-4</v>
      </c>
      <c r="S59" s="385"/>
      <c r="T59" s="160" t="s">
        <v>79</v>
      </c>
      <c r="U59" s="159">
        <v>1.06</v>
      </c>
      <c r="V59" s="160">
        <v>88723.520000000004</v>
      </c>
      <c r="W59" s="159">
        <f>V59*U59</f>
        <v>94046.931200000006</v>
      </c>
    </row>
    <row r="60" spans="2:23" s="150" customFormat="1" ht="15" customHeight="1" x14ac:dyDescent="0.25">
      <c r="B60" s="156" t="s">
        <v>138</v>
      </c>
      <c r="C60" s="196" t="s">
        <v>405</v>
      </c>
      <c r="D60" s="157"/>
      <c r="E60" s="160" t="s">
        <v>79</v>
      </c>
      <c r="F60" s="164">
        <v>0.78999987137271044</v>
      </c>
      <c r="G60" s="304">
        <v>24878.080000000002</v>
      </c>
      <c r="H60" s="164">
        <f t="shared" si="10"/>
        <v>19653.68</v>
      </c>
      <c r="I60" s="165">
        <f ca="1">RESUMO!H55</f>
        <v>24878.081193528</v>
      </c>
      <c r="J60" s="166">
        <f ca="1">RESUMO!M55</f>
        <v>19653.680942886967</v>
      </c>
      <c r="K60" s="167">
        <f ca="1">RESUMO!I55</f>
        <v>0</v>
      </c>
      <c r="L60" s="167">
        <f ca="1">RESUMO!N55</f>
        <v>0</v>
      </c>
      <c r="M60" s="168">
        <f ca="1">RESUMO!J55</f>
        <v>24878.081193528</v>
      </c>
      <c r="N60" s="169">
        <f ca="1">RESUMO!O55</f>
        <v>19653.680942886967</v>
      </c>
      <c r="O60" s="185">
        <f ca="1">RESUMO!R55</f>
        <v>1.0000000479750848</v>
      </c>
      <c r="P60" s="168">
        <f ca="1">RESUMO!K55</f>
        <v>-1.1935279981116764E-3</v>
      </c>
      <c r="Q60" s="169">
        <f ca="1">RESUMO!P55</f>
        <v>-9.4288696498795292E-4</v>
      </c>
      <c r="R60" s="189">
        <f t="shared" ca="1" si="11"/>
        <v>-4.7975084793705491E-8</v>
      </c>
      <c r="S60" s="385"/>
      <c r="T60" s="160" t="s">
        <v>79</v>
      </c>
      <c r="U60" s="159">
        <v>0.79</v>
      </c>
      <c r="V60" s="160">
        <v>18995.951519999999</v>
      </c>
      <c r="W60" s="159">
        <f>V60*U60</f>
        <v>15006.801700799999</v>
      </c>
    </row>
    <row r="61" spans="2:23" s="150" customFormat="1" ht="15" customHeight="1" x14ac:dyDescent="0.25">
      <c r="B61" s="171" t="s">
        <v>140</v>
      </c>
      <c r="C61" s="197" t="s">
        <v>141</v>
      </c>
      <c r="D61" s="172"/>
      <c r="E61" s="177" t="s">
        <v>79</v>
      </c>
      <c r="F61" s="164">
        <v>0.78999953029520187</v>
      </c>
      <c r="G61" s="304">
        <v>6599.89</v>
      </c>
      <c r="H61" s="164">
        <f t="shared" si="10"/>
        <v>5213.91</v>
      </c>
      <c r="I61" s="165">
        <f ca="1">RESUMO!H56</f>
        <v>6599.8866696516998</v>
      </c>
      <c r="J61" s="166">
        <f ca="1">RESUMO!M56</f>
        <v>5213.9073690264067</v>
      </c>
      <c r="K61" s="167">
        <f ca="1">RESUMO!I56</f>
        <v>0</v>
      </c>
      <c r="L61" s="167">
        <f ca="1">RESUMO!N56</f>
        <v>0</v>
      </c>
      <c r="M61" s="168">
        <f ca="1">RESUMO!J56</f>
        <v>6599.8866696516998</v>
      </c>
      <c r="N61" s="169">
        <f ca="1">RESUMO!O56</f>
        <v>5213.9073690264067</v>
      </c>
      <c r="O61" s="185">
        <f ca="1">RESUMO!R56</f>
        <v>0.99999949539336253</v>
      </c>
      <c r="P61" s="168">
        <f ca="1">RESUMO!K56</f>
        <v>3.3303483005511225E-3</v>
      </c>
      <c r="Q61" s="169">
        <f ca="1">RESUMO!P56</f>
        <v>2.6309735931548104E-3</v>
      </c>
      <c r="R61" s="189">
        <f t="shared" ca="1" si="11"/>
        <v>5.046066374747582E-7</v>
      </c>
      <c r="S61" s="385"/>
      <c r="T61" s="177" t="s">
        <v>79</v>
      </c>
      <c r="U61" s="174">
        <v>0.79</v>
      </c>
      <c r="V61" s="177">
        <v>4657.3706696517002</v>
      </c>
      <c r="W61" s="174">
        <f>U61*V61</f>
        <v>3679.3228290248435</v>
      </c>
    </row>
    <row r="62" spans="2:23" ht="15" customHeight="1" x14ac:dyDescent="0.25">
      <c r="B62" s="62" t="s">
        <v>411</v>
      </c>
      <c r="C62" s="199" t="s">
        <v>85</v>
      </c>
      <c r="D62" s="63"/>
      <c r="E62" s="64"/>
      <c r="F62" s="65"/>
      <c r="G62" s="292"/>
      <c r="H62" s="176">
        <f>SUBTOTAL(9,H63:H67)</f>
        <v>44314.3</v>
      </c>
      <c r="I62" s="65"/>
      <c r="J62" s="176">
        <f ca="1">SUBTOTAL(9,J63:J67)</f>
        <v>0</v>
      </c>
      <c r="K62" s="65"/>
      <c r="L62" s="176">
        <f ca="1">SUBTOTAL(9,L63:L67)</f>
        <v>26511.599999999995</v>
      </c>
      <c r="M62" s="65"/>
      <c r="N62" s="176">
        <f ca="1">SUBTOTAL(9,N63:N67)</f>
        <v>26511.599999999995</v>
      </c>
      <c r="O62" s="187"/>
      <c r="P62" s="65"/>
      <c r="Q62" s="176">
        <f ca="1">SUBTOTAL(9,Q63:Q67)</f>
        <v>17802.700000000004</v>
      </c>
      <c r="R62" s="191"/>
      <c r="T62" s="64"/>
      <c r="U62" s="65"/>
      <c r="V62" s="65"/>
      <c r="W62" s="176">
        <f>SUBTOTAL(9,W63:W69)</f>
        <v>0</v>
      </c>
    </row>
    <row r="63" spans="2:23" s="150" customFormat="1" ht="15" customHeight="1" x14ac:dyDescent="0.25">
      <c r="B63" s="171" t="s">
        <v>247</v>
      </c>
      <c r="C63" s="197" t="s">
        <v>246</v>
      </c>
      <c r="D63" s="172"/>
      <c r="E63" s="177" t="s">
        <v>90</v>
      </c>
      <c r="F63" s="164">
        <v>58</v>
      </c>
      <c r="G63" s="304">
        <v>456.5</v>
      </c>
      <c r="H63" s="164">
        <f t="shared" ref="H63:H67" si="12">F63*G63</f>
        <v>26477</v>
      </c>
      <c r="I63" s="165">
        <f ca="1">RESUMO!H58</f>
        <v>0</v>
      </c>
      <c r="J63" s="166">
        <f ca="1">RESUMO!M58</f>
        <v>0</v>
      </c>
      <c r="K63" s="167">
        <f ca="1">RESUMO!I58</f>
        <v>285.39999999999998</v>
      </c>
      <c r="L63" s="167">
        <f ca="1">RESUMO!N58</f>
        <v>16553.199999999997</v>
      </c>
      <c r="M63" s="168">
        <f ca="1">RESUMO!J58</f>
        <v>285.39999999999998</v>
      </c>
      <c r="N63" s="169">
        <f ca="1">RESUMO!O58</f>
        <v>16553.199999999997</v>
      </c>
      <c r="O63" s="185">
        <f ca="1">RESUMO!R58</f>
        <v>0.62519167579408541</v>
      </c>
      <c r="P63" s="168">
        <f ca="1">RESUMO!K58</f>
        <v>171.10000000000002</v>
      </c>
      <c r="Q63" s="169">
        <f ca="1">RESUMO!P58</f>
        <v>9923.8000000000011</v>
      </c>
      <c r="R63" s="189">
        <f t="shared" ref="R63:R67" ca="1" si="13">1-O63</f>
        <v>0.37480832420591459</v>
      </c>
      <c r="S63" s="385"/>
      <c r="T63" s="265"/>
      <c r="U63" s="266"/>
      <c r="V63" s="265"/>
      <c r="W63" s="266"/>
    </row>
    <row r="64" spans="2:23" s="150" customFormat="1" ht="15" customHeight="1" x14ac:dyDescent="0.25">
      <c r="B64" s="171" t="s">
        <v>248</v>
      </c>
      <c r="C64" s="197" t="s">
        <v>249</v>
      </c>
      <c r="D64" s="172"/>
      <c r="E64" s="177" t="s">
        <v>95</v>
      </c>
      <c r="F64" s="164">
        <v>959.24</v>
      </c>
      <c r="G64" s="304">
        <v>7</v>
      </c>
      <c r="H64" s="164">
        <f t="shared" si="12"/>
        <v>6714.68</v>
      </c>
      <c r="I64" s="165">
        <f ca="1">RESUMO!H59</f>
        <v>0</v>
      </c>
      <c r="J64" s="166">
        <f ca="1">RESUMO!M59</f>
        <v>0</v>
      </c>
      <c r="K64" s="167">
        <f ca="1">RESUMO!I59</f>
        <v>0</v>
      </c>
      <c r="L64" s="167">
        <f ca="1">RESUMO!N59</f>
        <v>0</v>
      </c>
      <c r="M64" s="168">
        <f ca="1">RESUMO!J59</f>
        <v>0</v>
      </c>
      <c r="N64" s="169">
        <f ca="1">RESUMO!O59</f>
        <v>0</v>
      </c>
      <c r="O64" s="185">
        <f ca="1">RESUMO!R59</f>
        <v>0</v>
      </c>
      <c r="P64" s="168">
        <f ca="1">RESUMO!K59</f>
        <v>7</v>
      </c>
      <c r="Q64" s="169">
        <f ca="1">RESUMO!P59</f>
        <v>6714.68</v>
      </c>
      <c r="R64" s="189">
        <f t="shared" ca="1" si="13"/>
        <v>1</v>
      </c>
      <c r="S64" s="385"/>
      <c r="T64" s="265"/>
      <c r="U64" s="266"/>
      <c r="V64" s="265"/>
      <c r="W64" s="266"/>
    </row>
    <row r="65" spans="2:23" s="150" customFormat="1" ht="15" customHeight="1" x14ac:dyDescent="0.25">
      <c r="B65" s="171" t="s">
        <v>250</v>
      </c>
      <c r="C65" s="197" t="s">
        <v>251</v>
      </c>
      <c r="D65" s="172"/>
      <c r="E65" s="177" t="s">
        <v>90</v>
      </c>
      <c r="F65" s="164">
        <v>166.25</v>
      </c>
      <c r="G65" s="304">
        <v>15.4</v>
      </c>
      <c r="H65" s="164">
        <f t="shared" si="12"/>
        <v>2560.25</v>
      </c>
      <c r="I65" s="165">
        <f ca="1">RESUMO!H60</f>
        <v>0</v>
      </c>
      <c r="J65" s="166">
        <f ca="1">RESUMO!M60</f>
        <v>0</v>
      </c>
      <c r="K65" s="167">
        <f ca="1">RESUMO!I60</f>
        <v>14</v>
      </c>
      <c r="L65" s="167">
        <f ca="1">RESUMO!N60</f>
        <v>2327.5</v>
      </c>
      <c r="M65" s="168">
        <f ca="1">RESUMO!J60</f>
        <v>14</v>
      </c>
      <c r="N65" s="169">
        <f ca="1">RESUMO!O60</f>
        <v>2327.5</v>
      </c>
      <c r="O65" s="185">
        <f ca="1">RESUMO!R60</f>
        <v>0.90909090909090906</v>
      </c>
      <c r="P65" s="168">
        <f ca="1">RESUMO!K60</f>
        <v>1.4000000000000004</v>
      </c>
      <c r="Q65" s="169">
        <f ca="1">RESUMO!P60</f>
        <v>232.75000000000006</v>
      </c>
      <c r="R65" s="189">
        <f t="shared" ca="1" si="13"/>
        <v>9.0909090909090939E-2</v>
      </c>
      <c r="S65" s="385"/>
      <c r="T65" s="265"/>
      <c r="U65" s="266"/>
      <c r="V65" s="265"/>
      <c r="W65" s="266"/>
    </row>
    <row r="66" spans="2:23" s="150" customFormat="1" ht="15" customHeight="1" x14ac:dyDescent="0.25">
      <c r="B66" s="171" t="s">
        <v>252</v>
      </c>
      <c r="C66" s="197" t="s">
        <v>253</v>
      </c>
      <c r="D66" s="172"/>
      <c r="E66" s="177" t="s">
        <v>74</v>
      </c>
      <c r="F66" s="164">
        <v>729.31428571428569</v>
      </c>
      <c r="G66" s="304">
        <v>2.8</v>
      </c>
      <c r="H66" s="164">
        <f t="shared" si="12"/>
        <v>2042.0799999999997</v>
      </c>
      <c r="I66" s="165">
        <f ca="1">RESUMO!H61</f>
        <v>0</v>
      </c>
      <c r="J66" s="166">
        <f ca="1">RESUMO!M61</f>
        <v>0</v>
      </c>
      <c r="K66" s="167">
        <f ca="1">RESUMO!I61</f>
        <v>2.8</v>
      </c>
      <c r="L66" s="167">
        <f ca="1">RESUMO!N61</f>
        <v>2042.0799999999997</v>
      </c>
      <c r="M66" s="168">
        <f ca="1">RESUMO!J61</f>
        <v>2.8</v>
      </c>
      <c r="N66" s="169">
        <f ca="1">RESUMO!O61</f>
        <v>2042.0799999999997</v>
      </c>
      <c r="O66" s="185">
        <f ca="1">RESUMO!R61</f>
        <v>1</v>
      </c>
      <c r="P66" s="168">
        <f ca="1">RESUMO!K61</f>
        <v>0</v>
      </c>
      <c r="Q66" s="169">
        <f ca="1">RESUMO!P61</f>
        <v>0</v>
      </c>
      <c r="R66" s="189">
        <f t="shared" ca="1" si="13"/>
        <v>0</v>
      </c>
      <c r="S66" s="385"/>
      <c r="T66" s="265"/>
      <c r="U66" s="266"/>
      <c r="V66" s="265"/>
      <c r="W66" s="266"/>
    </row>
    <row r="67" spans="2:23" s="150" customFormat="1" ht="15" customHeight="1" x14ac:dyDescent="0.25">
      <c r="B67" s="171" t="s">
        <v>254</v>
      </c>
      <c r="C67" s="197" t="s">
        <v>255</v>
      </c>
      <c r="D67" s="172"/>
      <c r="E67" s="177" t="s">
        <v>90</v>
      </c>
      <c r="F67" s="164">
        <v>931.47</v>
      </c>
      <c r="G67" s="304">
        <v>7</v>
      </c>
      <c r="H67" s="164">
        <f t="shared" si="12"/>
        <v>6520.29</v>
      </c>
      <c r="I67" s="165">
        <f ca="1">RESUMO!H62</f>
        <v>0</v>
      </c>
      <c r="J67" s="166">
        <f ca="1">RESUMO!M62</f>
        <v>0</v>
      </c>
      <c r="K67" s="167">
        <f ca="1">RESUMO!I62</f>
        <v>6</v>
      </c>
      <c r="L67" s="167">
        <f ca="1">RESUMO!N62</f>
        <v>5588.82</v>
      </c>
      <c r="M67" s="168">
        <f ca="1">RESUMO!J62</f>
        <v>6</v>
      </c>
      <c r="N67" s="169">
        <f ca="1">RESUMO!O62</f>
        <v>5588.82</v>
      </c>
      <c r="O67" s="185">
        <f ca="1">RESUMO!R62</f>
        <v>0.8571428571428571</v>
      </c>
      <c r="P67" s="168">
        <f ca="1">RESUMO!K62</f>
        <v>1</v>
      </c>
      <c r="Q67" s="169">
        <f ca="1">RESUMO!P62</f>
        <v>931.47</v>
      </c>
      <c r="R67" s="189">
        <f t="shared" ca="1" si="13"/>
        <v>0.1428571428571429</v>
      </c>
      <c r="S67" s="385"/>
      <c r="T67" s="265"/>
      <c r="U67" s="266"/>
      <c r="V67" s="265"/>
      <c r="W67" s="266"/>
    </row>
    <row r="68" spans="2:23" ht="15" customHeight="1" x14ac:dyDescent="0.25">
      <c r="B68" s="58" t="s">
        <v>142</v>
      </c>
      <c r="C68" s="198" t="s">
        <v>143</v>
      </c>
      <c r="D68" s="59"/>
      <c r="E68" s="60"/>
      <c r="F68" s="61"/>
      <c r="G68" s="291"/>
      <c r="H68" s="61">
        <f>SUBTOTAL(9,H69:H92)</f>
        <v>429102.81</v>
      </c>
      <c r="I68" s="61"/>
      <c r="J68" s="61">
        <f ca="1">SUBTOTAL(9,J69:J92)</f>
        <v>400870.73590118298</v>
      </c>
      <c r="K68" s="61"/>
      <c r="L68" s="61">
        <f ca="1">SUBTOTAL(9,L69:L92)</f>
        <v>-9738.9274000134719</v>
      </c>
      <c r="M68" s="61"/>
      <c r="N68" s="61">
        <f ca="1">SUBTOTAL(9,N69:N92)</f>
        <v>391131.80850116955</v>
      </c>
      <c r="O68" s="186"/>
      <c r="P68" s="61"/>
      <c r="Q68" s="61">
        <f ca="1">SUBTOTAL(9,Q69:Q92)</f>
        <v>37971.001498830483</v>
      </c>
      <c r="R68" s="190"/>
      <c r="S68" s="386"/>
      <c r="T68" s="60"/>
      <c r="U68" s="61"/>
      <c r="V68" s="61"/>
      <c r="W68" s="61">
        <f>SUBTOTAL(9,W69:W89)</f>
        <v>799354.83760000009</v>
      </c>
    </row>
    <row r="69" spans="2:23" ht="15" customHeight="1" x14ac:dyDescent="0.25">
      <c r="B69" s="62" t="s">
        <v>144</v>
      </c>
      <c r="C69" s="199" t="s">
        <v>71</v>
      </c>
      <c r="D69" s="63"/>
      <c r="E69" s="64"/>
      <c r="F69" s="65"/>
      <c r="G69" s="292"/>
      <c r="H69" s="176">
        <f>SUBTOTAL(9,H70:H74)</f>
        <v>30111.77</v>
      </c>
      <c r="I69" s="65"/>
      <c r="J69" s="176">
        <f ca="1">SUBTOTAL(9,J70:J74)</f>
        <v>24827.80233304753</v>
      </c>
      <c r="K69" s="65"/>
      <c r="L69" s="176">
        <f ca="1">SUBTOTAL(9,L70:L74)</f>
        <v>-18079.327400013473</v>
      </c>
      <c r="M69" s="65"/>
      <c r="N69" s="176">
        <f ca="1">SUBTOTAL(9,N70:N74)</f>
        <v>6748.4749330340546</v>
      </c>
      <c r="O69" s="187"/>
      <c r="P69" s="65"/>
      <c r="Q69" s="176">
        <f ca="1">SUBTOTAL(9,Q70:Q74)</f>
        <v>23363.295066965948</v>
      </c>
      <c r="R69" s="191"/>
      <c r="T69" s="64"/>
      <c r="U69" s="65"/>
      <c r="V69" s="65"/>
      <c r="W69" s="176">
        <f>SUBTOTAL(9,W70:W73)</f>
        <v>23802.3</v>
      </c>
    </row>
    <row r="70" spans="2:23" s="150" customFormat="1" ht="15" customHeight="1" x14ac:dyDescent="0.25">
      <c r="B70" s="161" t="s">
        <v>145</v>
      </c>
      <c r="C70" s="195" t="s">
        <v>107</v>
      </c>
      <c r="D70" s="162"/>
      <c r="E70" s="175" t="s">
        <v>102</v>
      </c>
      <c r="F70" s="164">
        <v>0.85999791688365801</v>
      </c>
      <c r="G70" s="304">
        <v>2400.25</v>
      </c>
      <c r="H70" s="164">
        <f t="shared" ref="H70:H74" si="14">F70*G70</f>
        <v>2064.21</v>
      </c>
      <c r="I70" s="165">
        <f ca="1">RESUMO!H65</f>
        <v>1887.3890000000001</v>
      </c>
      <c r="J70" s="166">
        <f ca="1">RESUMO!M65</f>
        <v>1623.1506083491306</v>
      </c>
      <c r="K70" s="167">
        <f ca="1">RESUMO!I65</f>
        <v>0</v>
      </c>
      <c r="L70" s="167">
        <f ca="1">RESUMO!N65</f>
        <v>0</v>
      </c>
      <c r="M70" s="168">
        <f ca="1">RESUMO!J65</f>
        <v>1887.3890000000001</v>
      </c>
      <c r="N70" s="169">
        <f ca="1">RESUMO!O65</f>
        <v>1623.1506083491306</v>
      </c>
      <c r="O70" s="185">
        <f ca="1">RESUMO!R65</f>
        <v>0.78633017394021465</v>
      </c>
      <c r="P70" s="168">
        <f ca="1">RESUMO!K65</f>
        <v>512.86099999999988</v>
      </c>
      <c r="Q70" s="169">
        <f ca="1">RESUMO!P65</f>
        <v>441.0593916508696</v>
      </c>
      <c r="R70" s="189">
        <f t="shared" ref="R70:R74" ca="1" si="15">1-O70</f>
        <v>0.21366982605978535</v>
      </c>
      <c r="S70" s="385"/>
      <c r="T70" s="175" t="s">
        <v>102</v>
      </c>
      <c r="U70" s="164">
        <v>0.86</v>
      </c>
      <c r="V70" s="175">
        <v>2000</v>
      </c>
      <c r="W70" s="164">
        <f>ROUND(V70*U70,2)</f>
        <v>1720</v>
      </c>
    </row>
    <row r="71" spans="2:23" s="150" customFormat="1" ht="15" customHeight="1" x14ac:dyDescent="0.25">
      <c r="B71" s="156" t="s">
        <v>146</v>
      </c>
      <c r="C71" s="196" t="s">
        <v>109</v>
      </c>
      <c r="D71" s="157"/>
      <c r="E71" s="160" t="s">
        <v>79</v>
      </c>
      <c r="F71" s="164">
        <v>1.5399902528835221</v>
      </c>
      <c r="G71" s="304">
        <v>184.67</v>
      </c>
      <c r="H71" s="164">
        <f t="shared" si="14"/>
        <v>284.39</v>
      </c>
      <c r="I71" s="165">
        <f ca="1">RESUMO!H66</f>
        <v>184.02042750000004</v>
      </c>
      <c r="J71" s="166">
        <f ca="1">RESUMO!M66</f>
        <v>283.3896646814589</v>
      </c>
      <c r="K71" s="167">
        <f ca="1">RESUMO!I66</f>
        <v>0</v>
      </c>
      <c r="L71" s="167">
        <f ca="1">RESUMO!N66</f>
        <v>0</v>
      </c>
      <c r="M71" s="168">
        <f ca="1">RESUMO!J66</f>
        <v>184.02042750000004</v>
      </c>
      <c r="N71" s="169">
        <f ca="1">RESUMO!O66</f>
        <v>283.3896646814589</v>
      </c>
      <c r="O71" s="185">
        <f ca="1">RESUMO!R66</f>
        <v>0.99648252287864869</v>
      </c>
      <c r="P71" s="168">
        <f ca="1">RESUMO!K66</f>
        <v>0.64957249999994815</v>
      </c>
      <c r="Q71" s="169">
        <f ca="1">RESUMO!P66</f>
        <v>1.0003353185411019</v>
      </c>
      <c r="R71" s="189">
        <f t="shared" ca="1" si="15"/>
        <v>3.517477121351309E-3</v>
      </c>
      <c r="S71" s="385"/>
      <c r="T71" s="160" t="s">
        <v>79</v>
      </c>
      <c r="U71" s="159">
        <v>1.54</v>
      </c>
      <c r="V71" s="160">
        <v>520</v>
      </c>
      <c r="W71" s="159">
        <f>ROUND(V71*U71,2)</f>
        <v>800.8</v>
      </c>
    </row>
    <row r="72" spans="2:23" s="150" customFormat="1" ht="15" customHeight="1" x14ac:dyDescent="0.25">
      <c r="B72" s="156" t="s">
        <v>147</v>
      </c>
      <c r="C72" s="196" t="s">
        <v>111</v>
      </c>
      <c r="D72" s="157"/>
      <c r="E72" s="160" t="s">
        <v>74</v>
      </c>
      <c r="F72" s="164">
        <v>11.03000846935633</v>
      </c>
      <c r="G72" s="304">
        <v>2078.08</v>
      </c>
      <c r="H72" s="164">
        <f t="shared" si="14"/>
        <v>22921.24</v>
      </c>
      <c r="I72" s="165">
        <f ca="1">RESUMO!H67</f>
        <v>2078.0819999999999</v>
      </c>
      <c r="J72" s="166">
        <f ca="1">RESUMO!M67</f>
        <v>22921.262060016939</v>
      </c>
      <c r="K72" s="167">
        <f ca="1">RESUMO!I67</f>
        <v>-2078.0819999999999</v>
      </c>
      <c r="L72" s="167">
        <f ca="1">RESUMO!N67</f>
        <v>-22921.262060016939</v>
      </c>
      <c r="M72" s="168">
        <f ca="1">RESUMO!J67</f>
        <v>0</v>
      </c>
      <c r="N72" s="169">
        <f ca="1">RESUMO!O67</f>
        <v>0</v>
      </c>
      <c r="O72" s="185">
        <f ca="1">RESUMO!R67</f>
        <v>0</v>
      </c>
      <c r="P72" s="168">
        <f ca="1">RESUMO!K67</f>
        <v>2078.08</v>
      </c>
      <c r="Q72" s="169">
        <f ca="1">RESUMO!P67</f>
        <v>22921.24</v>
      </c>
      <c r="R72" s="189">
        <f t="shared" ca="1" si="15"/>
        <v>1</v>
      </c>
      <c r="S72" s="385"/>
      <c r="T72" s="160" t="s">
        <v>74</v>
      </c>
      <c r="U72" s="159">
        <v>11.03</v>
      </c>
      <c r="V72" s="160">
        <v>1549.9999999999998</v>
      </c>
      <c r="W72" s="159">
        <f>ROUND(V72*U72,2)</f>
        <v>17096.5</v>
      </c>
    </row>
    <row r="73" spans="2:23" s="150" customFormat="1" ht="15" customHeight="1" x14ac:dyDescent="0.25">
      <c r="B73" s="171" t="s">
        <v>148</v>
      </c>
      <c r="C73" s="197" t="s">
        <v>81</v>
      </c>
      <c r="D73" s="172"/>
      <c r="E73" s="177" t="s">
        <v>74</v>
      </c>
      <c r="F73" s="164">
        <v>0</v>
      </c>
      <c r="G73" s="304">
        <v>0</v>
      </c>
      <c r="H73" s="164">
        <f t="shared" si="14"/>
        <v>0</v>
      </c>
      <c r="I73" s="165">
        <f ca="1">RESUMO!H68</f>
        <v>0</v>
      </c>
      <c r="J73" s="166">
        <f ca="1">RESUMO!M68</f>
        <v>0</v>
      </c>
      <c r="K73" s="167">
        <f ca="1">RESUMO!I68</f>
        <v>0</v>
      </c>
      <c r="L73" s="167">
        <f ca="1">RESUMO!N68</f>
        <v>0</v>
      </c>
      <c r="M73" s="168">
        <f ca="1">RESUMO!J68</f>
        <v>0</v>
      </c>
      <c r="N73" s="169">
        <f ca="1">RESUMO!O68</f>
        <v>0</v>
      </c>
      <c r="O73" s="185">
        <f ca="1">RESUMO!R68</f>
        <v>0</v>
      </c>
      <c r="P73" s="168">
        <f ca="1">RESUMO!K68</f>
        <v>0</v>
      </c>
      <c r="Q73" s="169">
        <f ca="1">RESUMO!P68</f>
        <v>0</v>
      </c>
      <c r="R73" s="189">
        <f t="shared" ca="1" si="15"/>
        <v>1</v>
      </c>
      <c r="S73" s="385"/>
      <c r="T73" s="177" t="s">
        <v>74</v>
      </c>
      <c r="U73" s="174">
        <v>2.7</v>
      </c>
      <c r="V73" s="177">
        <v>1549.9999999999998</v>
      </c>
      <c r="W73" s="174">
        <f>ROUND(V73*U73,2)</f>
        <v>4185</v>
      </c>
    </row>
    <row r="74" spans="2:23" s="150" customFormat="1" ht="15" customHeight="1" x14ac:dyDescent="0.25">
      <c r="B74" s="171" t="s">
        <v>419</v>
      </c>
      <c r="C74" s="197" t="s">
        <v>395</v>
      </c>
      <c r="D74" s="172"/>
      <c r="E74" s="177" t="s">
        <v>74</v>
      </c>
      <c r="F74" s="164">
        <v>2.3300017323683404</v>
      </c>
      <c r="G74" s="304">
        <v>2078.08</v>
      </c>
      <c r="H74" s="164">
        <f t="shared" si="14"/>
        <v>4841.93</v>
      </c>
      <c r="I74" s="165">
        <f ca="1">RESUMO!H69</f>
        <v>0</v>
      </c>
      <c r="J74" s="166">
        <f ca="1">RESUMO!M69</f>
        <v>0</v>
      </c>
      <c r="K74" s="167">
        <f ca="1">RESUMO!I69</f>
        <v>2078.0819999999999</v>
      </c>
      <c r="L74" s="167">
        <f ca="1">RESUMO!N69</f>
        <v>4841.9346600034651</v>
      </c>
      <c r="M74" s="168">
        <f ca="1">RESUMO!J69</f>
        <v>2078.0819999999999</v>
      </c>
      <c r="N74" s="169">
        <f ca="1">RESUMO!O69</f>
        <v>4841.9346600034651</v>
      </c>
      <c r="O74" s="185">
        <f ca="1">RESUMO!R69</f>
        <v>1.0000009624268555</v>
      </c>
      <c r="P74" s="168">
        <f ca="1">RESUMO!K69</f>
        <v>-1.9999999999527063E-3</v>
      </c>
      <c r="Q74" s="169">
        <f ca="1">RESUMO!P69</f>
        <v>-4.660003464626486E-3</v>
      </c>
      <c r="R74" s="189">
        <f t="shared" ca="1" si="15"/>
        <v>-9.6242685554415175E-7</v>
      </c>
      <c r="S74" s="385"/>
      <c r="T74" s="177" t="s">
        <v>74</v>
      </c>
      <c r="U74" s="174">
        <v>2.7</v>
      </c>
      <c r="V74" s="177">
        <v>1549.9999999999998</v>
      </c>
      <c r="W74" s="174">
        <f>ROUND(V74*U74,2)</f>
        <v>4185</v>
      </c>
    </row>
    <row r="75" spans="2:23" ht="15" customHeight="1" x14ac:dyDescent="0.25">
      <c r="B75" s="62" t="s">
        <v>149</v>
      </c>
      <c r="C75" s="199" t="s">
        <v>150</v>
      </c>
      <c r="D75" s="63"/>
      <c r="E75" s="64"/>
      <c r="F75" s="65"/>
      <c r="G75" s="292"/>
      <c r="H75" s="176">
        <f>SUBTOTAL(9,H76:H82)</f>
        <v>215423.14999999997</v>
      </c>
      <c r="I75" s="65"/>
      <c r="J75" s="176">
        <f ca="1">SUBTOTAL(9,J76:J82)</f>
        <v>215422.94554662635</v>
      </c>
      <c r="K75" s="65"/>
      <c r="L75" s="176">
        <f ca="1">SUBTOTAL(9,L76:L82)</f>
        <v>0</v>
      </c>
      <c r="M75" s="65"/>
      <c r="N75" s="176">
        <f ca="1">SUBTOTAL(9,N76:N82)</f>
        <v>215422.94554662635</v>
      </c>
      <c r="O75" s="187"/>
      <c r="P75" s="65"/>
      <c r="Q75" s="176">
        <f ca="1">SUBTOTAL(9,Q76:Q82)</f>
        <v>0.20445337364587035</v>
      </c>
      <c r="R75" s="191"/>
      <c r="T75" s="64"/>
      <c r="U75" s="65"/>
      <c r="V75" s="65"/>
      <c r="W75" s="176">
        <f>SUBTOTAL(9,W76:W82)</f>
        <v>419437.6</v>
      </c>
    </row>
    <row r="76" spans="2:23" s="150" customFormat="1" ht="15" customHeight="1" x14ac:dyDescent="0.25">
      <c r="B76" s="161" t="s">
        <v>151</v>
      </c>
      <c r="C76" s="195" t="s">
        <v>152</v>
      </c>
      <c r="D76" s="162"/>
      <c r="E76" s="175" t="s">
        <v>74</v>
      </c>
      <c r="F76" s="164">
        <v>225.86635465418615</v>
      </c>
      <c r="G76" s="304">
        <v>38.46</v>
      </c>
      <c r="H76" s="164">
        <f t="shared" ref="H76:H82" si="16">F76*G76</f>
        <v>8686.82</v>
      </c>
      <c r="I76" s="165">
        <f ca="1">RESUMO!H71</f>
        <v>38.464500000000001</v>
      </c>
      <c r="J76" s="166">
        <f ca="1">RESUMO!M71</f>
        <v>8687.836398595944</v>
      </c>
      <c r="K76" s="167">
        <f ca="1">RESUMO!I71</f>
        <v>0</v>
      </c>
      <c r="L76" s="167">
        <f ca="1">RESUMO!N71</f>
        <v>0</v>
      </c>
      <c r="M76" s="168">
        <f ca="1">RESUMO!J71</f>
        <v>38.464500000000001</v>
      </c>
      <c r="N76" s="169">
        <f ca="1">RESUMO!O71</f>
        <v>8687.836398595944</v>
      </c>
      <c r="O76" s="185">
        <f ca="1">RESUMO!R71</f>
        <v>1.0001170046801873</v>
      </c>
      <c r="P76" s="168">
        <f ca="1">RESUMO!K71</f>
        <v>-4.5000000000001705E-3</v>
      </c>
      <c r="Q76" s="169">
        <f ca="1">RESUMO!P71</f>
        <v>-1.0163985959438762</v>
      </c>
      <c r="R76" s="189">
        <f t="shared" ref="R76:R82" ca="1" si="17">1-O76</f>
        <v>-1.170046801872715E-4</v>
      </c>
      <c r="S76" s="385"/>
      <c r="T76" s="175" t="s">
        <v>74</v>
      </c>
      <c r="U76" s="164">
        <v>225.84</v>
      </c>
      <c r="V76" s="175">
        <v>75</v>
      </c>
      <c r="W76" s="164">
        <f t="shared" ref="W76:W82" si="18">ROUND(V76*U76,2)</f>
        <v>16938</v>
      </c>
    </row>
    <row r="77" spans="2:23" s="150" customFormat="1" ht="15" customHeight="1" x14ac:dyDescent="0.25">
      <c r="B77" s="156" t="s">
        <v>153</v>
      </c>
      <c r="C77" s="196" t="s">
        <v>116</v>
      </c>
      <c r="D77" s="157"/>
      <c r="E77" s="160" t="s">
        <v>102</v>
      </c>
      <c r="F77" s="164">
        <v>4.290001472537182</v>
      </c>
      <c r="G77" s="304">
        <v>1018.65</v>
      </c>
      <c r="H77" s="164">
        <f t="shared" si="16"/>
        <v>4370.01</v>
      </c>
      <c r="I77" s="165">
        <f ca="1">RESUMO!H72</f>
        <v>1018.6510000000001</v>
      </c>
      <c r="J77" s="166">
        <f ca="1">RESUMO!M72</f>
        <v>4370.0142900014735</v>
      </c>
      <c r="K77" s="167">
        <f ca="1">RESUMO!I72</f>
        <v>0</v>
      </c>
      <c r="L77" s="167">
        <f ca="1">RESUMO!N72</f>
        <v>0</v>
      </c>
      <c r="M77" s="168">
        <f ca="1">RESUMO!J72</f>
        <v>1018.6510000000001</v>
      </c>
      <c r="N77" s="169">
        <f ca="1">RESUMO!O72</f>
        <v>4370.0142900014735</v>
      </c>
      <c r="O77" s="185">
        <f ca="1">RESUMO!R72</f>
        <v>1.0000009816914546</v>
      </c>
      <c r="P77" s="168">
        <f ca="1">RESUMO!K72</f>
        <v>-1.00000000009004E-3</v>
      </c>
      <c r="Q77" s="169">
        <f ca="1">RESUMO!P72</f>
        <v>-4.2900014729234538E-3</v>
      </c>
      <c r="R77" s="189">
        <f t="shared" ca="1" si="17"/>
        <v>-9.8169145457127627E-7</v>
      </c>
      <c r="S77" s="385"/>
      <c r="T77" s="160" t="s">
        <v>102</v>
      </c>
      <c r="U77" s="159">
        <v>4.29</v>
      </c>
      <c r="V77" s="160">
        <v>2000</v>
      </c>
      <c r="W77" s="159">
        <f t="shared" si="18"/>
        <v>8580</v>
      </c>
    </row>
    <row r="78" spans="2:23" s="150" customFormat="1" ht="15" customHeight="1" x14ac:dyDescent="0.25">
      <c r="B78" s="156" t="s">
        <v>154</v>
      </c>
      <c r="C78" s="196" t="s">
        <v>118</v>
      </c>
      <c r="D78" s="157"/>
      <c r="E78" s="160" t="s">
        <v>74</v>
      </c>
      <c r="F78" s="164">
        <v>153.91863821098306</v>
      </c>
      <c r="G78" s="304">
        <v>509.33</v>
      </c>
      <c r="H78" s="164">
        <f t="shared" si="16"/>
        <v>78395.38</v>
      </c>
      <c r="I78" s="165">
        <f ca="1">RESUMO!H73</f>
        <v>509.32550000000003</v>
      </c>
      <c r="J78" s="166">
        <f ca="1">RESUMO!M73</f>
        <v>78394.687366128055</v>
      </c>
      <c r="K78" s="167">
        <f ca="1">RESUMO!I73</f>
        <v>0</v>
      </c>
      <c r="L78" s="167">
        <f ca="1">RESUMO!N73</f>
        <v>0</v>
      </c>
      <c r="M78" s="168">
        <f ca="1">RESUMO!J73</f>
        <v>509.32550000000003</v>
      </c>
      <c r="N78" s="169">
        <f ca="1">RESUMO!O73</f>
        <v>78394.687366128055</v>
      </c>
      <c r="O78" s="185">
        <f ca="1">RESUMO!R73</f>
        <v>0.99999116486364448</v>
      </c>
      <c r="P78" s="168">
        <f ca="1">RESUMO!K73</f>
        <v>4.4999999999504325E-3</v>
      </c>
      <c r="Q78" s="169">
        <f ca="1">RESUMO!P73</f>
        <v>0.69263387194179438</v>
      </c>
      <c r="R78" s="189">
        <f t="shared" ca="1" si="17"/>
        <v>8.8351363555227991E-6</v>
      </c>
      <c r="S78" s="385"/>
      <c r="T78" s="160" t="s">
        <v>74</v>
      </c>
      <c r="U78" s="159">
        <v>153.91999999999999</v>
      </c>
      <c r="V78" s="160">
        <v>1000</v>
      </c>
      <c r="W78" s="159">
        <f t="shared" si="18"/>
        <v>153920</v>
      </c>
    </row>
    <row r="79" spans="2:23" s="150" customFormat="1" ht="15" customHeight="1" x14ac:dyDescent="0.25">
      <c r="B79" s="156" t="s">
        <v>155</v>
      </c>
      <c r="C79" s="196" t="s">
        <v>120</v>
      </c>
      <c r="D79" s="157"/>
      <c r="E79" s="160" t="s">
        <v>74</v>
      </c>
      <c r="F79" s="164">
        <v>173.55018897560495</v>
      </c>
      <c r="G79" s="304">
        <v>203.73</v>
      </c>
      <c r="H79" s="164">
        <f t="shared" si="16"/>
        <v>35357.379999999997</v>
      </c>
      <c r="I79" s="165">
        <f ca="1">RESUMO!H74</f>
        <v>203.73020000000002</v>
      </c>
      <c r="J79" s="166">
        <f ca="1">RESUMO!M74</f>
        <v>35357.414710037796</v>
      </c>
      <c r="K79" s="167">
        <f ca="1">RESUMO!I74</f>
        <v>0</v>
      </c>
      <c r="L79" s="167">
        <f ca="1">RESUMO!N74</f>
        <v>0</v>
      </c>
      <c r="M79" s="168">
        <f ca="1">RESUMO!J74</f>
        <v>203.73020000000002</v>
      </c>
      <c r="N79" s="169">
        <f ca="1">RESUMO!O74</f>
        <v>35357.414710037796</v>
      </c>
      <c r="O79" s="185">
        <f ca="1">RESUMO!R74</f>
        <v>1.0000009816914546</v>
      </c>
      <c r="P79" s="168">
        <f ca="1">RESUMO!K74</f>
        <v>-2.0000000003506102E-4</v>
      </c>
      <c r="Q79" s="169">
        <f ca="1">RESUMO!P74</f>
        <v>-3.4710037801205837E-2</v>
      </c>
      <c r="R79" s="189">
        <f t="shared" ca="1" si="17"/>
        <v>-9.8169145457127627E-7</v>
      </c>
      <c r="S79" s="385"/>
      <c r="T79" s="160" t="s">
        <v>74</v>
      </c>
      <c r="U79" s="159">
        <v>173.55</v>
      </c>
      <c r="V79" s="160">
        <v>400</v>
      </c>
      <c r="W79" s="159">
        <f t="shared" si="18"/>
        <v>69420</v>
      </c>
    </row>
    <row r="80" spans="2:23" s="150" customFormat="1" ht="15" customHeight="1" x14ac:dyDescent="0.25">
      <c r="B80" s="156" t="s">
        <v>156</v>
      </c>
      <c r="C80" s="196" t="s">
        <v>122</v>
      </c>
      <c r="D80" s="157"/>
      <c r="E80" s="160" t="s">
        <v>102</v>
      </c>
      <c r="F80" s="164">
        <v>0.87000441761154468</v>
      </c>
      <c r="G80" s="304">
        <v>1018.65</v>
      </c>
      <c r="H80" s="164">
        <f t="shared" si="16"/>
        <v>886.23</v>
      </c>
      <c r="I80" s="165">
        <f ca="1">RESUMO!H75</f>
        <v>1018.6510000000001</v>
      </c>
      <c r="J80" s="166">
        <f ca="1">RESUMO!M75</f>
        <v>886.23087000441762</v>
      </c>
      <c r="K80" s="167">
        <f ca="1">RESUMO!I75</f>
        <v>0</v>
      </c>
      <c r="L80" s="167">
        <f ca="1">RESUMO!N75</f>
        <v>0</v>
      </c>
      <c r="M80" s="168">
        <f ca="1">RESUMO!J75</f>
        <v>1018.6510000000001</v>
      </c>
      <c r="N80" s="169">
        <f ca="1">RESUMO!O75</f>
        <v>886.23087000441762</v>
      </c>
      <c r="O80" s="185">
        <f ca="1">RESUMO!R75</f>
        <v>1.0000009816914546</v>
      </c>
      <c r="P80" s="168">
        <f ca="1">RESUMO!K75</f>
        <v>-1.00000000009004E-3</v>
      </c>
      <c r="Q80" s="169">
        <f ca="1">RESUMO!P75</f>
        <v>-8.7000441768987982E-4</v>
      </c>
      <c r="R80" s="189">
        <f t="shared" ca="1" si="17"/>
        <v>-9.8169145457127627E-7</v>
      </c>
      <c r="S80" s="385"/>
      <c r="T80" s="160" t="s">
        <v>102</v>
      </c>
      <c r="U80" s="159">
        <v>0.87</v>
      </c>
      <c r="V80" s="160">
        <v>2000</v>
      </c>
      <c r="W80" s="159">
        <f t="shared" si="18"/>
        <v>1740</v>
      </c>
    </row>
    <row r="81" spans="2:23" s="150" customFormat="1" ht="15" customHeight="1" x14ac:dyDescent="0.25">
      <c r="B81" s="156" t="s">
        <v>157</v>
      </c>
      <c r="C81" s="196" t="s">
        <v>124</v>
      </c>
      <c r="D81" s="157"/>
      <c r="E81" s="160" t="s">
        <v>102</v>
      </c>
      <c r="F81" s="164">
        <v>0.52999980411489322</v>
      </c>
      <c r="G81" s="304">
        <v>3063.02</v>
      </c>
      <c r="H81" s="164">
        <f t="shared" si="16"/>
        <v>1623.4000000000003</v>
      </c>
      <c r="I81" s="165">
        <f ca="1">RESUMO!H76</f>
        <v>3063.0240000000003</v>
      </c>
      <c r="J81" s="166">
        <f ca="1">RESUMO!M76</f>
        <v>1623.4021199992169</v>
      </c>
      <c r="K81" s="167">
        <f ca="1">RESUMO!I76</f>
        <v>0</v>
      </c>
      <c r="L81" s="167">
        <f ca="1">RESUMO!N76</f>
        <v>0</v>
      </c>
      <c r="M81" s="168">
        <f ca="1">RESUMO!J76</f>
        <v>3063.0240000000003</v>
      </c>
      <c r="N81" s="169">
        <f ca="1">RESUMO!O76</f>
        <v>1623.4021199992169</v>
      </c>
      <c r="O81" s="185">
        <f ca="1">RESUMO!R76</f>
        <v>1.0000013059007125</v>
      </c>
      <c r="P81" s="168">
        <f ca="1">RESUMO!K76</f>
        <v>-4.0000000003601599E-3</v>
      </c>
      <c r="Q81" s="169">
        <f ca="1">RESUMO!P76</f>
        <v>-2.1199992166504576E-3</v>
      </c>
      <c r="R81" s="189">
        <f t="shared" ca="1" si="17"/>
        <v>-1.3059007124560651E-6</v>
      </c>
      <c r="S81" s="385"/>
      <c r="T81" s="160" t="s">
        <v>102</v>
      </c>
      <c r="U81" s="159">
        <v>0.53</v>
      </c>
      <c r="V81" s="160">
        <v>4000</v>
      </c>
      <c r="W81" s="159">
        <f t="shared" si="18"/>
        <v>2120</v>
      </c>
    </row>
    <row r="82" spans="2:23" s="150" customFormat="1" ht="15" customHeight="1" x14ac:dyDescent="0.25">
      <c r="B82" s="171" t="s">
        <v>158</v>
      </c>
      <c r="C82" s="197" t="s">
        <v>126</v>
      </c>
      <c r="D82" s="172"/>
      <c r="E82" s="177" t="s">
        <v>127</v>
      </c>
      <c r="F82" s="164">
        <v>308.7379612033418</v>
      </c>
      <c r="G82" s="304">
        <v>278.89</v>
      </c>
      <c r="H82" s="164">
        <f t="shared" si="16"/>
        <v>86103.93</v>
      </c>
      <c r="I82" s="165">
        <f ca="1">RESUMO!H77</f>
        <v>278.88815309999995</v>
      </c>
      <c r="J82" s="166">
        <f ca="1">RESUMO!M77</f>
        <v>86103.359791859431</v>
      </c>
      <c r="K82" s="167">
        <f ca="1">RESUMO!I77</f>
        <v>0</v>
      </c>
      <c r="L82" s="167">
        <f ca="1">RESUMO!N77</f>
        <v>0</v>
      </c>
      <c r="M82" s="168">
        <f ca="1">RESUMO!J77</f>
        <v>278.88815309999995</v>
      </c>
      <c r="N82" s="169">
        <f ca="1">RESUMO!O77</f>
        <v>86103.359791859431</v>
      </c>
      <c r="O82" s="185">
        <f ca="1">RESUMO!R77</f>
        <v>0.999993377675786</v>
      </c>
      <c r="P82" s="168">
        <f ca="1">RESUMO!K77</f>
        <v>1.8469000000322922E-3</v>
      </c>
      <c r="Q82" s="169">
        <f ca="1">RESUMO!P77</f>
        <v>0.57020814055642177</v>
      </c>
      <c r="R82" s="189">
        <f t="shared" ca="1" si="17"/>
        <v>6.6223242140006633E-6</v>
      </c>
      <c r="S82" s="385"/>
      <c r="T82" s="177" t="s">
        <v>127</v>
      </c>
      <c r="U82" s="174">
        <v>308.74</v>
      </c>
      <c r="V82" s="177">
        <v>540</v>
      </c>
      <c r="W82" s="174">
        <f t="shared" si="18"/>
        <v>166719.6</v>
      </c>
    </row>
    <row r="83" spans="2:23" ht="15" customHeight="1" x14ac:dyDescent="0.25">
      <c r="B83" s="62" t="s">
        <v>159</v>
      </c>
      <c r="C83" s="199" t="s">
        <v>129</v>
      </c>
      <c r="D83" s="63"/>
      <c r="E83" s="64"/>
      <c r="F83" s="65"/>
      <c r="G83" s="292"/>
      <c r="H83" s="176">
        <f>SUBTOTAL(9,H84:H89)</f>
        <v>160588.69</v>
      </c>
      <c r="I83" s="65"/>
      <c r="J83" s="176">
        <f ca="1">SUBTOTAL(9,J84:J89)</f>
        <v>160619.98802150911</v>
      </c>
      <c r="K83" s="65"/>
      <c r="L83" s="176">
        <f ca="1">SUBTOTAL(9,L84:L89)</f>
        <v>0</v>
      </c>
      <c r="M83" s="65"/>
      <c r="N83" s="176">
        <f ca="1">SUBTOTAL(9,N84:N89)</f>
        <v>160619.98802150911</v>
      </c>
      <c r="O83" s="187"/>
      <c r="P83" s="65"/>
      <c r="Q83" s="176">
        <f ca="1">SUBTOTAL(9,Q84:Q89)</f>
        <v>-31.298021509105194</v>
      </c>
      <c r="R83" s="191"/>
      <c r="T83" s="64"/>
      <c r="U83" s="65"/>
      <c r="V83" s="65"/>
      <c r="W83" s="176">
        <f>SUBTOTAL(9,W84:W89)</f>
        <v>351929.9376</v>
      </c>
    </row>
    <row r="84" spans="2:23" s="150" customFormat="1" ht="15" customHeight="1" x14ac:dyDescent="0.25">
      <c r="B84" s="161" t="s">
        <v>160</v>
      </c>
      <c r="C84" s="195" t="s">
        <v>135</v>
      </c>
      <c r="D84" s="162"/>
      <c r="E84" s="175" t="s">
        <v>127</v>
      </c>
      <c r="F84" s="164">
        <v>6078.7587904360053</v>
      </c>
      <c r="G84" s="304">
        <v>14.22</v>
      </c>
      <c r="H84" s="164">
        <f t="shared" ref="H84:H89" si="19">F84*G84</f>
        <v>86439.95</v>
      </c>
      <c r="I84" s="165">
        <f ca="1">RESUMO!H79</f>
        <v>14.223295808099998</v>
      </c>
      <c r="J84" s="166">
        <f ca="1">RESUMO!M79</f>
        <v>86459.984422459442</v>
      </c>
      <c r="K84" s="167">
        <f ca="1">RESUMO!I79</f>
        <v>0</v>
      </c>
      <c r="L84" s="167">
        <f ca="1">RESUMO!N79</f>
        <v>0</v>
      </c>
      <c r="M84" s="168">
        <f ca="1">RESUMO!J79</f>
        <v>14.223295808099998</v>
      </c>
      <c r="N84" s="169">
        <f ca="1">RESUMO!O79</f>
        <v>86459.984422459442</v>
      </c>
      <c r="O84" s="185">
        <f ca="1">RESUMO!R79</f>
        <v>1.0002317727215189</v>
      </c>
      <c r="P84" s="168">
        <f ca="1">RESUMO!K79</f>
        <v>-3.2958080999971884E-3</v>
      </c>
      <c r="Q84" s="169">
        <f ca="1">RESUMO!P79</f>
        <v>-20.034422459448098</v>
      </c>
      <c r="R84" s="189">
        <f t="shared" ref="R84:R89" ca="1" si="20">1-O84</f>
        <v>-2.3177272151886363E-4</v>
      </c>
      <c r="S84" s="385"/>
      <c r="T84" s="175" t="s">
        <v>127</v>
      </c>
      <c r="U84" s="164">
        <v>6077.35</v>
      </c>
      <c r="V84" s="175">
        <v>26.46</v>
      </c>
      <c r="W84" s="164">
        <f>ROUND(V84*U84,2)</f>
        <v>160806.68</v>
      </c>
    </row>
    <row r="85" spans="2:23" s="150" customFormat="1" ht="15" customHeight="1" x14ac:dyDescent="0.25">
      <c r="B85" s="156" t="s">
        <v>161</v>
      </c>
      <c r="C85" s="196" t="s">
        <v>133</v>
      </c>
      <c r="D85" s="157"/>
      <c r="E85" s="160" t="s">
        <v>127</v>
      </c>
      <c r="F85" s="164">
        <v>3461.6375838926174</v>
      </c>
      <c r="G85" s="304">
        <v>1.49</v>
      </c>
      <c r="H85" s="164">
        <f t="shared" si="19"/>
        <v>5157.84</v>
      </c>
      <c r="I85" s="165">
        <f ca="1">RESUMO!H80</f>
        <v>1.4928490101902399</v>
      </c>
      <c r="J85" s="166">
        <f ca="1">RESUMO!M80</f>
        <v>5167.7022407514269</v>
      </c>
      <c r="K85" s="167">
        <f ca="1">RESUMO!I80</f>
        <v>0</v>
      </c>
      <c r="L85" s="167">
        <f ca="1">RESUMO!N80</f>
        <v>0</v>
      </c>
      <c r="M85" s="168">
        <f ca="1">RESUMO!J80</f>
        <v>1.4928490101902399</v>
      </c>
      <c r="N85" s="169">
        <f ca="1">RESUMO!O80</f>
        <v>5167.7022407514269</v>
      </c>
      <c r="O85" s="185">
        <f ca="1">RESUMO!R80</f>
        <v>1.0019120873759999</v>
      </c>
      <c r="P85" s="168">
        <f ca="1">RESUMO!K80</f>
        <v>-2.8490101902398646E-3</v>
      </c>
      <c r="Q85" s="169">
        <f ca="1">RESUMO!P80</f>
        <v>-9.8622407514273718</v>
      </c>
      <c r="R85" s="189">
        <f t="shared" ca="1" si="20"/>
        <v>-1.9120873759999046E-3</v>
      </c>
      <c r="S85" s="385"/>
      <c r="T85" s="160" t="s">
        <v>127</v>
      </c>
      <c r="U85" s="159">
        <v>3455.03</v>
      </c>
      <c r="V85" s="160">
        <v>1.8</v>
      </c>
      <c r="W85" s="159">
        <f>V85*U85</f>
        <v>6219.0540000000001</v>
      </c>
    </row>
    <row r="86" spans="2:23" s="150" customFormat="1" ht="15" customHeight="1" x14ac:dyDescent="0.25">
      <c r="B86" s="156" t="s">
        <v>162</v>
      </c>
      <c r="C86" s="196" t="s">
        <v>131</v>
      </c>
      <c r="D86" s="157"/>
      <c r="E86" s="160" t="s">
        <v>127</v>
      </c>
      <c r="F86" s="164">
        <v>3053.9280575539569</v>
      </c>
      <c r="G86" s="304">
        <v>1.39</v>
      </c>
      <c r="H86" s="164">
        <f t="shared" si="19"/>
        <v>4244.96</v>
      </c>
      <c r="I86" s="165">
        <f ca="1">RESUMO!H81</f>
        <v>1.3904586150000005</v>
      </c>
      <c r="J86" s="166">
        <f ca="1">RESUMO!M81</f>
        <v>4246.3605772161163</v>
      </c>
      <c r="K86" s="167">
        <f ca="1">RESUMO!I81</f>
        <v>0</v>
      </c>
      <c r="L86" s="167">
        <f ca="1">RESUMO!N81</f>
        <v>0</v>
      </c>
      <c r="M86" s="168">
        <f ca="1">RESUMO!J81</f>
        <v>1.3904586150000005</v>
      </c>
      <c r="N86" s="169">
        <f ca="1">RESUMO!O81</f>
        <v>4246.3605772161163</v>
      </c>
      <c r="O86" s="185">
        <f ca="1">RESUMO!R81</f>
        <v>1.0003299388489213</v>
      </c>
      <c r="P86" s="168">
        <f ca="1">RESUMO!K81</f>
        <v>-4.5861500000055067E-4</v>
      </c>
      <c r="Q86" s="169">
        <f ca="1">RESUMO!P81</f>
        <v>-1.4005772161167898</v>
      </c>
      <c r="R86" s="189">
        <f t="shared" ca="1" si="20"/>
        <v>-3.2993884892129621E-4</v>
      </c>
      <c r="S86" s="385"/>
      <c r="T86" s="160" t="s">
        <v>127</v>
      </c>
      <c r="U86" s="159">
        <v>3052.92</v>
      </c>
      <c r="V86" s="160">
        <v>2.6</v>
      </c>
      <c r="W86" s="159">
        <f>V86*U86</f>
        <v>7937.5920000000006</v>
      </c>
    </row>
    <row r="87" spans="2:23" s="150" customFormat="1" ht="15" customHeight="1" x14ac:dyDescent="0.25">
      <c r="B87" s="156" t="s">
        <v>163</v>
      </c>
      <c r="C87" s="196" t="s">
        <v>137</v>
      </c>
      <c r="D87" s="157"/>
      <c r="E87" s="160" t="s">
        <v>79</v>
      </c>
      <c r="F87" s="164">
        <v>1.0600001278403988</v>
      </c>
      <c r="G87" s="304">
        <v>45369.07</v>
      </c>
      <c r="H87" s="164">
        <f t="shared" si="19"/>
        <v>48091.22</v>
      </c>
      <c r="I87" s="165">
        <f ca="1">RESUMO!H82</f>
        <v>45369.073156375147</v>
      </c>
      <c r="J87" s="166">
        <f ca="1">RESUMO!M82</f>
        <v>48091.223345758059</v>
      </c>
      <c r="K87" s="167">
        <f ca="1">RESUMO!I82</f>
        <v>0</v>
      </c>
      <c r="L87" s="167">
        <f ca="1">RESUMO!N82</f>
        <v>0</v>
      </c>
      <c r="M87" s="168">
        <f ca="1">RESUMO!J82</f>
        <v>45369.073156375147</v>
      </c>
      <c r="N87" s="169">
        <f ca="1">RESUMO!O82</f>
        <v>48091.223345758059</v>
      </c>
      <c r="O87" s="185">
        <f ca="1">RESUMO!R82</f>
        <v>1.0000000695710789</v>
      </c>
      <c r="P87" s="168">
        <f ca="1">RESUMO!K82</f>
        <v>-3.1563751472276635E-3</v>
      </c>
      <c r="Q87" s="169">
        <f ca="1">RESUMO!P82</f>
        <v>-3.3457580595735808E-3</v>
      </c>
      <c r="R87" s="189">
        <f t="shared" ca="1" si="20"/>
        <v>-6.9571078897823213E-8</v>
      </c>
      <c r="S87" s="385"/>
      <c r="T87" s="160" t="s">
        <v>79</v>
      </c>
      <c r="U87" s="159">
        <v>1.06</v>
      </c>
      <c r="V87" s="160">
        <v>133718.06</v>
      </c>
      <c r="W87" s="159">
        <f>V87*U87</f>
        <v>141741.14360000001</v>
      </c>
    </row>
    <row r="88" spans="2:23" s="150" customFormat="1" ht="15" customHeight="1" x14ac:dyDescent="0.25">
      <c r="B88" s="156" t="s">
        <v>164</v>
      </c>
      <c r="C88" s="196" t="s">
        <v>139</v>
      </c>
      <c r="D88" s="157"/>
      <c r="E88" s="160" t="s">
        <v>79</v>
      </c>
      <c r="F88" s="164">
        <v>0.78999997653237719</v>
      </c>
      <c r="G88" s="304">
        <v>17044.759999999998</v>
      </c>
      <c r="H88" s="164">
        <f t="shared" si="19"/>
        <v>13465.36</v>
      </c>
      <c r="I88" s="165">
        <f ca="1">RESUMO!H83</f>
        <v>17044.758343319998</v>
      </c>
      <c r="J88" s="166">
        <f ca="1">RESUMO!M83</f>
        <v>13465.358691222838</v>
      </c>
      <c r="K88" s="167">
        <f ca="1">RESUMO!I83</f>
        <v>0</v>
      </c>
      <c r="L88" s="167">
        <f ca="1">RESUMO!N83</f>
        <v>0</v>
      </c>
      <c r="M88" s="168">
        <f ca="1">RESUMO!J83</f>
        <v>17044.758343319998</v>
      </c>
      <c r="N88" s="169">
        <f ca="1">RESUMO!O83</f>
        <v>13465.358691222838</v>
      </c>
      <c r="O88" s="185">
        <f ca="1">RESUMO!R83</f>
        <v>0.99999990280414619</v>
      </c>
      <c r="P88" s="168">
        <f ca="1">RESUMO!K83</f>
        <v>1.6566800004511606E-3</v>
      </c>
      <c r="Q88" s="169">
        <f ca="1">RESUMO!P83</f>
        <v>1.3087771614780756E-3</v>
      </c>
      <c r="R88" s="189">
        <f t="shared" ca="1" si="20"/>
        <v>9.7195853809850519E-8</v>
      </c>
      <c r="S88" s="385"/>
      <c r="T88" s="160" t="s">
        <v>79</v>
      </c>
      <c r="U88" s="159">
        <v>0.79</v>
      </c>
      <c r="V88" s="160">
        <v>37800</v>
      </c>
      <c r="W88" s="159">
        <f>V88*U88</f>
        <v>29862</v>
      </c>
    </row>
    <row r="89" spans="2:23" s="150" customFormat="1" ht="15" customHeight="1" x14ac:dyDescent="0.25">
      <c r="B89" s="171" t="s">
        <v>165</v>
      </c>
      <c r="C89" s="197" t="s">
        <v>141</v>
      </c>
      <c r="D89" s="172"/>
      <c r="E89" s="177" t="s">
        <v>79</v>
      </c>
      <c r="F89" s="164">
        <v>0.79000089171595878</v>
      </c>
      <c r="G89" s="304">
        <v>4037.16</v>
      </c>
      <c r="H89" s="164">
        <f t="shared" si="19"/>
        <v>3189.36</v>
      </c>
      <c r="I89" s="165">
        <f ca="1">RESUMO!H84</f>
        <v>4037.1584102564966</v>
      </c>
      <c r="J89" s="166">
        <f ca="1">RESUMO!M84</f>
        <v>3189.3587441012151</v>
      </c>
      <c r="K89" s="167">
        <f ca="1">RESUMO!I84</f>
        <v>0</v>
      </c>
      <c r="L89" s="167">
        <f ca="1">RESUMO!N84</f>
        <v>0</v>
      </c>
      <c r="M89" s="168">
        <f ca="1">RESUMO!J84</f>
        <v>4037.1584102564966</v>
      </c>
      <c r="N89" s="169">
        <f ca="1">RESUMO!O84</f>
        <v>3189.3587441012151</v>
      </c>
      <c r="O89" s="185">
        <f ca="1">RESUMO!R84</f>
        <v>0.99999960622231887</v>
      </c>
      <c r="P89" s="168">
        <f ca="1">RESUMO!K84</f>
        <v>1.5897435032456997E-3</v>
      </c>
      <c r="Q89" s="169">
        <f ca="1">RESUMO!P84</f>
        <v>1.2558987851637551E-3</v>
      </c>
      <c r="R89" s="189">
        <f t="shared" ca="1" si="20"/>
        <v>3.9377768112913714E-7</v>
      </c>
      <c r="S89" s="385"/>
      <c r="T89" s="177" t="s">
        <v>79</v>
      </c>
      <c r="U89" s="174">
        <v>0.79</v>
      </c>
      <c r="V89" s="177">
        <v>6789.2</v>
      </c>
      <c r="W89" s="174">
        <f>U89*V89</f>
        <v>5363.4679999999998</v>
      </c>
    </row>
    <row r="90" spans="2:23" ht="15" customHeight="1" x14ac:dyDescent="0.25">
      <c r="B90" s="62" t="s">
        <v>418</v>
      </c>
      <c r="C90" s="199" t="s">
        <v>85</v>
      </c>
      <c r="D90" s="63"/>
      <c r="E90" s="64"/>
      <c r="F90" s="65"/>
      <c r="G90" s="292"/>
      <c r="H90" s="176">
        <f>SUBTOTAL(9,H91:H92)</f>
        <v>22979.200000000001</v>
      </c>
      <c r="I90" s="65"/>
      <c r="J90" s="176">
        <f ca="1">SUBTOTAL(9,J91:J92)</f>
        <v>0</v>
      </c>
      <c r="K90" s="65"/>
      <c r="L90" s="176">
        <f ca="1">SUBTOTAL(9,L91:L92)</f>
        <v>8340.4000000000015</v>
      </c>
      <c r="M90" s="65"/>
      <c r="N90" s="176">
        <f ca="1">SUBTOTAL(9,N91:N92)</f>
        <v>8340.4000000000015</v>
      </c>
      <c r="O90" s="187"/>
      <c r="P90" s="65"/>
      <c r="Q90" s="176">
        <f ca="1">SUBTOTAL(9,Q91:Q92)</f>
        <v>14638.8</v>
      </c>
      <c r="R90" s="191"/>
      <c r="T90" s="64"/>
      <c r="U90" s="65"/>
      <c r="V90" s="65"/>
      <c r="W90" s="176">
        <f>SUBTOTAL(9,W91:W107)</f>
        <v>1146379.5295999998</v>
      </c>
    </row>
    <row r="91" spans="2:23" s="150" customFormat="1" ht="15" customHeight="1" x14ac:dyDescent="0.25">
      <c r="B91" s="161" t="s">
        <v>256</v>
      </c>
      <c r="C91" s="195" t="s">
        <v>246</v>
      </c>
      <c r="D91" s="162"/>
      <c r="E91" s="175" t="s">
        <v>90</v>
      </c>
      <c r="F91" s="164">
        <v>58</v>
      </c>
      <c r="G91" s="304">
        <v>313.5</v>
      </c>
      <c r="H91" s="164">
        <f t="shared" ref="H91:H92" si="21">F91*G91</f>
        <v>18183</v>
      </c>
      <c r="I91" s="165">
        <f ca="1">RESUMO!H86</f>
        <v>0</v>
      </c>
      <c r="J91" s="166">
        <f ca="1">RESUMO!M86</f>
        <v>0</v>
      </c>
      <c r="K91" s="167">
        <f ca="1">RESUMO!I86</f>
        <v>143.80000000000001</v>
      </c>
      <c r="L91" s="167">
        <f ca="1">RESUMO!N86</f>
        <v>8340.4000000000015</v>
      </c>
      <c r="M91" s="168">
        <f ca="1">RESUMO!J86</f>
        <v>143.80000000000001</v>
      </c>
      <c r="N91" s="169">
        <f ca="1">RESUMO!O86</f>
        <v>8340.4000000000015</v>
      </c>
      <c r="O91" s="185">
        <f ca="1">RESUMO!R86</f>
        <v>0.45869218500797454</v>
      </c>
      <c r="P91" s="168">
        <f ca="1">RESUMO!K86</f>
        <v>169.7</v>
      </c>
      <c r="Q91" s="169">
        <f ca="1">RESUMO!P86</f>
        <v>9842.5999999999985</v>
      </c>
      <c r="R91" s="189">
        <f t="shared" ref="R91:R92" ca="1" si="22">1-O91</f>
        <v>0.5413078149920254</v>
      </c>
      <c r="S91" s="385"/>
      <c r="T91" s="175" t="s">
        <v>127</v>
      </c>
      <c r="U91" s="164">
        <v>6077.35</v>
      </c>
      <c r="V91" s="175">
        <v>26.46</v>
      </c>
      <c r="W91" s="164">
        <f>ROUND(V91*U91,2)</f>
        <v>160806.68</v>
      </c>
    </row>
    <row r="92" spans="2:23" s="150" customFormat="1" ht="15" customHeight="1" x14ac:dyDescent="0.25">
      <c r="B92" s="156" t="s">
        <v>257</v>
      </c>
      <c r="C92" s="196" t="s">
        <v>249</v>
      </c>
      <c r="D92" s="157"/>
      <c r="E92" s="177" t="s">
        <v>95</v>
      </c>
      <c r="F92" s="164">
        <v>959.24</v>
      </c>
      <c r="G92" s="304">
        <v>5</v>
      </c>
      <c r="H92" s="164">
        <f t="shared" si="21"/>
        <v>4796.2</v>
      </c>
      <c r="I92" s="165">
        <f ca="1">RESUMO!H87</f>
        <v>0</v>
      </c>
      <c r="J92" s="166">
        <f ca="1">RESUMO!M87</f>
        <v>0</v>
      </c>
      <c r="K92" s="167">
        <f ca="1">RESUMO!I87</f>
        <v>0</v>
      </c>
      <c r="L92" s="167">
        <f ca="1">RESUMO!N87</f>
        <v>0</v>
      </c>
      <c r="M92" s="168">
        <f ca="1">RESUMO!J87</f>
        <v>0</v>
      </c>
      <c r="N92" s="169">
        <f ca="1">RESUMO!O87</f>
        <v>0</v>
      </c>
      <c r="O92" s="185">
        <f ca="1">RESUMO!R87</f>
        <v>0</v>
      </c>
      <c r="P92" s="168">
        <f ca="1">RESUMO!K87</f>
        <v>5</v>
      </c>
      <c r="Q92" s="169">
        <f ca="1">RESUMO!P87</f>
        <v>4796.2</v>
      </c>
      <c r="R92" s="189">
        <f t="shared" ca="1" si="22"/>
        <v>1</v>
      </c>
      <c r="S92" s="385"/>
      <c r="T92" s="160" t="s">
        <v>127</v>
      </c>
      <c r="U92" s="159">
        <v>3455.03</v>
      </c>
      <c r="V92" s="160">
        <v>1.8</v>
      </c>
      <c r="W92" s="159">
        <f>V92*U92</f>
        <v>6219.0540000000001</v>
      </c>
    </row>
    <row r="93" spans="2:23" ht="15" customHeight="1" x14ac:dyDescent="0.25">
      <c r="B93" s="58" t="s">
        <v>166</v>
      </c>
      <c r="C93" s="198" t="s">
        <v>167</v>
      </c>
      <c r="D93" s="59"/>
      <c r="E93" s="60"/>
      <c r="F93" s="61"/>
      <c r="G93" s="305"/>
      <c r="H93" s="61">
        <f>SUBTOTAL(9,H94:H94)</f>
        <v>138991.07</v>
      </c>
      <c r="I93" s="61"/>
      <c r="J93" s="61">
        <f ca="1">SUBTOTAL(9,J94:J94)</f>
        <v>19282.616328449087</v>
      </c>
      <c r="K93" s="61"/>
      <c r="L93" s="61">
        <f ca="1">SUBTOTAL(9,L94:L94)</f>
        <v>0</v>
      </c>
      <c r="M93" s="61"/>
      <c r="N93" s="61">
        <f ca="1">SUBTOTAL(9,N94:N94)</f>
        <v>19282.616328449087</v>
      </c>
      <c r="O93" s="186"/>
      <c r="P93" s="61"/>
      <c r="Q93" s="61">
        <f ca="1">SUBTOTAL(9,Q94:Q94)</f>
        <v>119708.45367155092</v>
      </c>
      <c r="R93" s="190"/>
      <c r="S93" s="386"/>
      <c r="T93" s="60"/>
      <c r="U93" s="61"/>
      <c r="V93" s="61"/>
      <c r="W93" s="61">
        <f>SUBTOTAL(9,W94:W94)</f>
        <v>457824</v>
      </c>
    </row>
    <row r="94" spans="2:23" s="150" customFormat="1" ht="15" customHeight="1" thickBot="1" x14ac:dyDescent="0.3">
      <c r="B94" s="178" t="s">
        <v>168</v>
      </c>
      <c r="C94" s="200" t="s">
        <v>169</v>
      </c>
      <c r="D94" s="179"/>
      <c r="E94" s="180" t="s">
        <v>102</v>
      </c>
      <c r="F94" s="164">
        <v>47.689998524603105</v>
      </c>
      <c r="G94" s="306">
        <v>2914.47</v>
      </c>
      <c r="H94" s="164">
        <f t="shared" ref="H94" si="23">F94*G94</f>
        <v>138991.07</v>
      </c>
      <c r="I94" s="165">
        <f ca="1">RESUMO!H89</f>
        <v>404.33250000000004</v>
      </c>
      <c r="J94" s="166">
        <f ca="1">RESUMO!M89</f>
        <v>19282.616328449087</v>
      </c>
      <c r="K94" s="167">
        <f ca="1">RESUMO!I89</f>
        <v>0</v>
      </c>
      <c r="L94" s="167">
        <f ca="1">RESUMO!N89</f>
        <v>0</v>
      </c>
      <c r="M94" s="168">
        <f ca="1">RESUMO!J89</f>
        <v>404.33250000000004</v>
      </c>
      <c r="N94" s="169">
        <f ca="1">RESUMO!O89</f>
        <v>19282.616328449087</v>
      </c>
      <c r="O94" s="185">
        <f ca="1">RESUMO!R89</f>
        <v>0.13873277131004955</v>
      </c>
      <c r="P94" s="168">
        <f ca="1">RESUMO!K89</f>
        <v>2510.1374999999998</v>
      </c>
      <c r="Q94" s="169">
        <f ca="1">RESUMO!P89</f>
        <v>119708.45367155092</v>
      </c>
      <c r="R94" s="189">
        <f ca="1">1-O94</f>
        <v>0.86126722868995043</v>
      </c>
      <c r="S94" s="385"/>
      <c r="T94" s="182" t="s">
        <v>102</v>
      </c>
      <c r="U94" s="183">
        <v>47.69</v>
      </c>
      <c r="V94" s="182">
        <v>9600</v>
      </c>
      <c r="W94" s="183">
        <f>V94*U94</f>
        <v>457824</v>
      </c>
    </row>
    <row r="95" spans="2:23" ht="15" customHeight="1" thickTop="1" x14ac:dyDescent="0.25">
      <c r="B95" s="58" t="s">
        <v>420</v>
      </c>
      <c r="C95" s="198" t="s">
        <v>406</v>
      </c>
      <c r="D95" s="59"/>
      <c r="E95" s="60"/>
      <c r="F95" s="61"/>
      <c r="G95" s="291"/>
      <c r="H95" s="273">
        <f>SUBTOTAL(9,H96:H105)</f>
        <v>229092.43999999997</v>
      </c>
      <c r="I95" s="61"/>
      <c r="J95" s="273">
        <f ca="1">SUBTOTAL(9,J96:J105)</f>
        <v>0</v>
      </c>
      <c r="K95" s="61"/>
      <c r="L95" s="273">
        <f ca="1">SUBTOTAL(9,L96:L105)</f>
        <v>102841.20535349999</v>
      </c>
      <c r="M95" s="61"/>
      <c r="N95" s="273">
        <f ca="1">SUBTOTAL(9,N96:N105)</f>
        <v>102841.20535349999</v>
      </c>
      <c r="O95" s="186"/>
      <c r="P95" s="61"/>
      <c r="Q95" s="273">
        <f ca="1">SUBTOTAL(9,Q96:Q105)</f>
        <v>126251.23464649997</v>
      </c>
      <c r="R95" s="190"/>
      <c r="S95" s="386"/>
      <c r="T95" s="60"/>
      <c r="U95" s="61"/>
      <c r="V95" s="61"/>
      <c r="W95" s="61">
        <f>SUBTOTAL(9,W106:W106)</f>
        <v>0</v>
      </c>
    </row>
    <row r="96" spans="2:23" ht="15" customHeight="1" x14ac:dyDescent="0.25">
      <c r="B96" s="236" t="s">
        <v>421</v>
      </c>
      <c r="C96" s="237" t="s">
        <v>397</v>
      </c>
      <c r="D96" s="238"/>
      <c r="E96" s="239"/>
      <c r="F96" s="240"/>
      <c r="G96" s="307"/>
      <c r="H96" s="176">
        <f>SUBTOTAL(9,H97:H99)</f>
        <v>19454.22</v>
      </c>
      <c r="I96" s="240"/>
      <c r="J96" s="176">
        <f ca="1">SUBTOTAL(9,J97:J99)</f>
        <v>0</v>
      </c>
      <c r="K96" s="240"/>
      <c r="L96" s="176">
        <f ca="1">SUBTOTAL(9,L97:L99)</f>
        <v>12969.48</v>
      </c>
      <c r="M96" s="240"/>
      <c r="N96" s="176">
        <f ca="1">SUBTOTAL(9,N97:N99)</f>
        <v>12969.48</v>
      </c>
      <c r="O96" s="308"/>
      <c r="P96" s="240"/>
      <c r="Q96" s="176">
        <f ca="1">SUBTOTAL(9,Q97:Q99)</f>
        <v>6484.74</v>
      </c>
      <c r="R96" s="309"/>
      <c r="T96" s="64"/>
      <c r="U96" s="65"/>
      <c r="V96" s="65"/>
      <c r="W96" s="176">
        <f>SUBTOTAL(9,W106:W113)</f>
        <v>0</v>
      </c>
    </row>
    <row r="97" spans="2:23" s="150" customFormat="1" ht="15" customHeight="1" x14ac:dyDescent="0.25">
      <c r="B97" s="161" t="s">
        <v>428</v>
      </c>
      <c r="C97" s="195" t="s">
        <v>423</v>
      </c>
      <c r="D97" s="162"/>
      <c r="E97" s="175" t="s">
        <v>400</v>
      </c>
      <c r="F97" s="164">
        <v>70.817037037037039</v>
      </c>
      <c r="G97" s="304">
        <v>54</v>
      </c>
      <c r="H97" s="164">
        <f t="shared" ref="H97:H99" si="24">F97*G97</f>
        <v>3824.12</v>
      </c>
      <c r="I97" s="165">
        <f ca="1">RESUMO!H92</f>
        <v>0</v>
      </c>
      <c r="J97" s="166">
        <f ca="1">RESUMO!M92</f>
        <v>0</v>
      </c>
      <c r="K97" s="167">
        <f ca="1">RESUMO!I92</f>
        <v>36</v>
      </c>
      <c r="L97" s="167">
        <f ca="1">RESUMO!N92</f>
        <v>2549.4133333333334</v>
      </c>
      <c r="M97" s="168">
        <f ca="1">RESUMO!J92</f>
        <v>36</v>
      </c>
      <c r="N97" s="169">
        <f ca="1">RESUMO!O92</f>
        <v>2549.4133333333334</v>
      </c>
      <c r="O97" s="185">
        <f ca="1">RESUMO!R92</f>
        <v>0.66666666666666663</v>
      </c>
      <c r="P97" s="168">
        <f ca="1">RESUMO!K92</f>
        <v>18</v>
      </c>
      <c r="Q97" s="169">
        <f ca="1">RESUMO!P92</f>
        <v>1274.7066666666667</v>
      </c>
      <c r="R97" s="189">
        <f t="shared" ref="R97:R99" ca="1" si="25">1-O97</f>
        <v>0.33333333333333337</v>
      </c>
      <c r="S97" s="385"/>
      <c r="T97" s="175" t="s">
        <v>127</v>
      </c>
      <c r="U97" s="164">
        <v>6077.35</v>
      </c>
      <c r="V97" s="175">
        <v>26.46</v>
      </c>
      <c r="W97" s="164">
        <f>ROUND(V97*U97,2)</f>
        <v>160806.68</v>
      </c>
    </row>
    <row r="98" spans="2:23" s="150" customFormat="1" ht="15" customHeight="1" x14ac:dyDescent="0.25">
      <c r="B98" s="161" t="s">
        <v>429</v>
      </c>
      <c r="C98" s="196" t="s">
        <v>424</v>
      </c>
      <c r="D98" s="157"/>
      <c r="E98" s="160" t="s">
        <v>400</v>
      </c>
      <c r="F98" s="164">
        <v>40.883209876543212</v>
      </c>
      <c r="G98" s="304">
        <v>162</v>
      </c>
      <c r="H98" s="164">
        <f t="shared" si="24"/>
        <v>6623.08</v>
      </c>
      <c r="I98" s="165">
        <f ca="1">RESUMO!H93</f>
        <v>0</v>
      </c>
      <c r="J98" s="166">
        <f ca="1">RESUMO!M93</f>
        <v>0</v>
      </c>
      <c r="K98" s="167">
        <f ca="1">RESUMO!I93</f>
        <v>108</v>
      </c>
      <c r="L98" s="167">
        <f ca="1">RESUMO!N93</f>
        <v>4415.3866666666672</v>
      </c>
      <c r="M98" s="168">
        <f ca="1">RESUMO!J93</f>
        <v>108</v>
      </c>
      <c r="N98" s="169">
        <f ca="1">RESUMO!O93</f>
        <v>4415.3866666666672</v>
      </c>
      <c r="O98" s="185">
        <f ca="1">RESUMO!R93</f>
        <v>0.66666666666666663</v>
      </c>
      <c r="P98" s="168">
        <f ca="1">RESUMO!K93</f>
        <v>54</v>
      </c>
      <c r="Q98" s="169">
        <f ca="1">RESUMO!P93</f>
        <v>2207.6933333333336</v>
      </c>
      <c r="R98" s="189">
        <f t="shared" ca="1" si="25"/>
        <v>0.33333333333333337</v>
      </c>
      <c r="S98" s="385"/>
      <c r="T98" s="160" t="s">
        <v>127</v>
      </c>
      <c r="U98" s="159">
        <v>3455.03</v>
      </c>
      <c r="V98" s="160">
        <v>1.8</v>
      </c>
      <c r="W98" s="159">
        <f>V98*U98</f>
        <v>6219.0540000000001</v>
      </c>
    </row>
    <row r="99" spans="2:23" s="150" customFormat="1" ht="15" customHeight="1" x14ac:dyDescent="0.25">
      <c r="B99" s="161" t="s">
        <v>430</v>
      </c>
      <c r="C99" s="196" t="s">
        <v>407</v>
      </c>
      <c r="D99" s="157"/>
      <c r="E99" s="160" t="s">
        <v>400</v>
      </c>
      <c r="F99" s="164">
        <v>33.359333333333332</v>
      </c>
      <c r="G99" s="304">
        <v>270</v>
      </c>
      <c r="H99" s="164">
        <f t="shared" si="24"/>
        <v>9007.02</v>
      </c>
      <c r="I99" s="165">
        <f ca="1">RESUMO!H94</f>
        <v>0</v>
      </c>
      <c r="J99" s="166">
        <f ca="1">RESUMO!M94</f>
        <v>0</v>
      </c>
      <c r="K99" s="167">
        <f ca="1">RESUMO!I94</f>
        <v>180</v>
      </c>
      <c r="L99" s="167">
        <f ca="1">RESUMO!N94</f>
        <v>6004.6799999999994</v>
      </c>
      <c r="M99" s="168">
        <f ca="1">RESUMO!J94</f>
        <v>180</v>
      </c>
      <c r="N99" s="169">
        <f ca="1">RESUMO!O94</f>
        <v>6004.6799999999994</v>
      </c>
      <c r="O99" s="185">
        <f ca="1">RESUMO!R94</f>
        <v>0.66666666666666663</v>
      </c>
      <c r="P99" s="168">
        <f ca="1">RESUMO!K94</f>
        <v>90</v>
      </c>
      <c r="Q99" s="169">
        <f ca="1">RESUMO!P94</f>
        <v>3002.3399999999997</v>
      </c>
      <c r="R99" s="189">
        <f t="shared" ca="1" si="25"/>
        <v>0.33333333333333337</v>
      </c>
      <c r="S99" s="385"/>
      <c r="T99" s="160" t="s">
        <v>127</v>
      </c>
      <c r="U99" s="159">
        <v>3052.92</v>
      </c>
      <c r="V99" s="160">
        <v>2.6</v>
      </c>
      <c r="W99" s="159">
        <f>V99*U99</f>
        <v>7937.5920000000006</v>
      </c>
    </row>
    <row r="100" spans="2:23" ht="15" customHeight="1" x14ac:dyDescent="0.25">
      <c r="B100" s="62" t="s">
        <v>422</v>
      </c>
      <c r="C100" s="199" t="s">
        <v>408</v>
      </c>
      <c r="D100" s="63"/>
      <c r="E100" s="64"/>
      <c r="F100" s="65"/>
      <c r="G100" s="292"/>
      <c r="H100" s="176">
        <f>SUBTOTAL(9,H101:H105)</f>
        <v>209638.21999999997</v>
      </c>
      <c r="I100" s="65"/>
      <c r="J100" s="176">
        <f ca="1">SUBTOTAL(9,J101:J105)</f>
        <v>0</v>
      </c>
      <c r="K100" s="65"/>
      <c r="L100" s="176">
        <f ca="1">SUBTOTAL(9,L101:L105)</f>
        <v>89871.725353499991</v>
      </c>
      <c r="M100" s="65"/>
      <c r="N100" s="176">
        <f ca="1">SUBTOTAL(9,N101:N105)</f>
        <v>89871.725353499991</v>
      </c>
      <c r="O100" s="187"/>
      <c r="P100" s="65"/>
      <c r="Q100" s="176">
        <f ca="1">SUBTOTAL(9,Q101:Q105)</f>
        <v>119766.49464649998</v>
      </c>
      <c r="R100" s="191"/>
      <c r="T100" s="64"/>
      <c r="U100" s="65"/>
      <c r="V100" s="65"/>
      <c r="W100" s="176">
        <f>SUBTOTAL(9,W106:W117)</f>
        <v>0</v>
      </c>
    </row>
    <row r="101" spans="2:23" s="150" customFormat="1" ht="15" customHeight="1" x14ac:dyDescent="0.25">
      <c r="B101" s="296" t="s">
        <v>431</v>
      </c>
      <c r="C101" s="297" t="s">
        <v>409</v>
      </c>
      <c r="D101" s="298"/>
      <c r="E101" s="299" t="s">
        <v>400</v>
      </c>
      <c r="F101" s="164">
        <v>272.35345679012346</v>
      </c>
      <c r="G101" s="310">
        <v>81</v>
      </c>
      <c r="H101" s="164">
        <f t="shared" ref="H101:H105" si="26">F101*G101</f>
        <v>22060.63</v>
      </c>
      <c r="I101" s="165">
        <f ca="1">RESUMO!H96</f>
        <v>0</v>
      </c>
      <c r="J101" s="166">
        <f ca="1">RESUMO!M96</f>
        <v>0</v>
      </c>
      <c r="K101" s="167">
        <f ca="1">RESUMO!I96</f>
        <v>21.705353459330038</v>
      </c>
      <c r="L101" s="167">
        <f ca="1">RESUMO!N96</f>
        <v>5911.5280455000002</v>
      </c>
      <c r="M101" s="168">
        <f ca="1">RESUMO!J96</f>
        <v>21.705353459330038</v>
      </c>
      <c r="N101" s="169">
        <f ca="1">RESUMO!O96</f>
        <v>5911.5280455000002</v>
      </c>
      <c r="O101" s="185">
        <f ca="1">RESUMO!R96</f>
        <v>0.26796732665839551</v>
      </c>
      <c r="P101" s="168">
        <f ca="1">RESUMO!K96</f>
        <v>59.294646540669959</v>
      </c>
      <c r="Q101" s="169">
        <f ca="1">RESUMO!P96</f>
        <v>16149.1019545</v>
      </c>
      <c r="R101" s="189">
        <f t="shared" ref="R101:R105" ca="1" si="27">1-O101</f>
        <v>0.73203267334160449</v>
      </c>
      <c r="S101" s="385"/>
      <c r="T101" s="175" t="s">
        <v>127</v>
      </c>
      <c r="U101" s="164">
        <v>6077.35</v>
      </c>
      <c r="V101" s="175">
        <v>26.46</v>
      </c>
      <c r="W101" s="164">
        <f>ROUND(V101*U101,2)</f>
        <v>160806.68</v>
      </c>
    </row>
    <row r="102" spans="2:23" s="150" customFormat="1" ht="15" customHeight="1" x14ac:dyDescent="0.25">
      <c r="B102" s="156" t="s">
        <v>432</v>
      </c>
      <c r="C102" s="196" t="s">
        <v>399</v>
      </c>
      <c r="D102" s="157"/>
      <c r="E102" s="160" t="s">
        <v>400</v>
      </c>
      <c r="F102" s="164">
        <v>282.33581196581196</v>
      </c>
      <c r="G102" s="304">
        <v>117</v>
      </c>
      <c r="H102" s="164">
        <f t="shared" si="26"/>
        <v>33033.29</v>
      </c>
      <c r="I102" s="165">
        <f ca="1">RESUMO!H97</f>
        <v>0</v>
      </c>
      <c r="J102" s="166">
        <f ca="1">RESUMO!M97</f>
        <v>0</v>
      </c>
      <c r="K102" s="167">
        <f ca="1">RESUMO!I97</f>
        <v>38.822239738851323</v>
      </c>
      <c r="L102" s="167">
        <f ca="1">RESUMO!N97</f>
        <v>10960.908578999999</v>
      </c>
      <c r="M102" s="168">
        <f ca="1">RESUMO!J97</f>
        <v>38.822239738851323</v>
      </c>
      <c r="N102" s="169">
        <f ca="1">RESUMO!O97</f>
        <v>10960.908578999999</v>
      </c>
      <c r="O102" s="185">
        <f ca="1">RESUMO!R97</f>
        <v>0.33181401486197715</v>
      </c>
      <c r="P102" s="168">
        <f ca="1">RESUMO!K97</f>
        <v>78.177760261148677</v>
      </c>
      <c r="Q102" s="169">
        <f ca="1">RESUMO!P97</f>
        <v>22072.381420999998</v>
      </c>
      <c r="R102" s="189">
        <f t="shared" ca="1" si="27"/>
        <v>0.66818598513802285</v>
      </c>
      <c r="S102" s="385"/>
      <c r="T102" s="160" t="s">
        <v>127</v>
      </c>
      <c r="U102" s="159">
        <v>3455.03</v>
      </c>
      <c r="V102" s="160">
        <v>1.8</v>
      </c>
      <c r="W102" s="159">
        <f>V102*U102</f>
        <v>6219.0540000000001</v>
      </c>
    </row>
    <row r="103" spans="2:23" s="150" customFormat="1" ht="15" customHeight="1" x14ac:dyDescent="0.25">
      <c r="B103" s="156" t="s">
        <v>433</v>
      </c>
      <c r="C103" s="196" t="s">
        <v>401</v>
      </c>
      <c r="D103" s="157"/>
      <c r="E103" s="160" t="s">
        <v>400</v>
      </c>
      <c r="F103" s="164">
        <v>230.76025925925924</v>
      </c>
      <c r="G103" s="304">
        <v>540</v>
      </c>
      <c r="H103" s="164">
        <f t="shared" si="26"/>
        <v>124610.54</v>
      </c>
      <c r="I103" s="165">
        <f ca="1">RESUMO!H98</f>
        <v>0</v>
      </c>
      <c r="J103" s="166">
        <f ca="1">RESUMO!M98</f>
        <v>0</v>
      </c>
      <c r="K103" s="167">
        <f ca="1">RESUMO!I98</f>
        <v>257.52762423981153</v>
      </c>
      <c r="L103" s="167">
        <f ca="1">RESUMO!N98</f>
        <v>59427.141336000001</v>
      </c>
      <c r="M103" s="168">
        <f ca="1">RESUMO!J98</f>
        <v>257.52762423981153</v>
      </c>
      <c r="N103" s="169">
        <f ca="1">RESUMO!O98</f>
        <v>59427.141336000001</v>
      </c>
      <c r="O103" s="185">
        <f ca="1">RESUMO!R98</f>
        <v>0.47690300785150286</v>
      </c>
      <c r="P103" s="168">
        <f ca="1">RESUMO!K98</f>
        <v>282.47237576018847</v>
      </c>
      <c r="Q103" s="169">
        <f ca="1">RESUMO!P98</f>
        <v>65183.398663999986</v>
      </c>
      <c r="R103" s="189">
        <f t="shared" ca="1" si="27"/>
        <v>0.52309699214849714</v>
      </c>
      <c r="S103" s="385"/>
      <c r="T103" s="160" t="s">
        <v>127</v>
      </c>
      <c r="U103" s="159">
        <v>3052.92</v>
      </c>
      <c r="V103" s="160">
        <v>2.6</v>
      </c>
      <c r="W103" s="159">
        <f>V103*U103</f>
        <v>7937.5920000000006</v>
      </c>
    </row>
    <row r="104" spans="2:23" s="150" customFormat="1" ht="15" customHeight="1" x14ac:dyDescent="0.25">
      <c r="B104" s="156" t="s">
        <v>434</v>
      </c>
      <c r="C104" s="196" t="s">
        <v>425</v>
      </c>
      <c r="D104" s="157"/>
      <c r="E104" s="160" t="s">
        <v>400</v>
      </c>
      <c r="F104" s="164">
        <v>225.93851851851852</v>
      </c>
      <c r="G104" s="304">
        <v>81</v>
      </c>
      <c r="H104" s="164">
        <f t="shared" si="26"/>
        <v>18301.02</v>
      </c>
      <c r="I104" s="165">
        <f ca="1">RESUMO!H99</f>
        <v>0</v>
      </c>
      <c r="J104" s="166">
        <f ca="1">RESUMO!M99</f>
        <v>0</v>
      </c>
      <c r="K104" s="167">
        <f ca="1">RESUMO!I99</f>
        <v>46.029113592455502</v>
      </c>
      <c r="L104" s="167">
        <f ca="1">RESUMO!N99</f>
        <v>10399.749733799999</v>
      </c>
      <c r="M104" s="168">
        <f ca="1">RESUMO!J99</f>
        <v>46.029113592455502</v>
      </c>
      <c r="N104" s="169">
        <f ca="1">RESUMO!O99</f>
        <v>10399.749733799999</v>
      </c>
      <c r="O104" s="185">
        <f ca="1">RESUMO!R99</f>
        <v>0.56826066163525313</v>
      </c>
      <c r="P104" s="168">
        <f ca="1">RESUMO!K99</f>
        <v>34.970886407544498</v>
      </c>
      <c r="Q104" s="169">
        <f ca="1">RESUMO!P99</f>
        <v>7901.2702662000002</v>
      </c>
      <c r="R104" s="189">
        <f t="shared" ca="1" si="27"/>
        <v>0.43173933836474687</v>
      </c>
      <c r="S104" s="385"/>
      <c r="T104" s="160" t="s">
        <v>79</v>
      </c>
      <c r="U104" s="159">
        <v>1.06</v>
      </c>
      <c r="V104" s="160">
        <v>133718.06</v>
      </c>
      <c r="W104" s="159">
        <f>V104*U104</f>
        <v>141741.14360000001</v>
      </c>
    </row>
    <row r="105" spans="2:23" s="150" customFormat="1" ht="15" customHeight="1" thickBot="1" x14ac:dyDescent="0.3">
      <c r="B105" s="311" t="s">
        <v>435</v>
      </c>
      <c r="C105" s="312" t="s">
        <v>410</v>
      </c>
      <c r="D105" s="313"/>
      <c r="E105" s="314" t="s">
        <v>400</v>
      </c>
      <c r="F105" s="274">
        <v>430.84222222222223</v>
      </c>
      <c r="G105" s="331">
        <v>27</v>
      </c>
      <c r="H105" s="274">
        <f t="shared" si="26"/>
        <v>11632.74</v>
      </c>
      <c r="I105" s="378">
        <f ca="1">RESUMO!H100</f>
        <v>0</v>
      </c>
      <c r="J105" s="379">
        <f ca="1">RESUMO!M100</f>
        <v>0</v>
      </c>
      <c r="K105" s="380">
        <f ca="1">RESUMO!I100</f>
        <v>7.3632469047189213</v>
      </c>
      <c r="L105" s="380">
        <f ca="1">RESUMO!N100</f>
        <v>3172.3976591999995</v>
      </c>
      <c r="M105" s="381">
        <f ca="1">RESUMO!J100</f>
        <v>7.3632469047189213</v>
      </c>
      <c r="N105" s="382">
        <f ca="1">RESUMO!O100</f>
        <v>3172.3976591999995</v>
      </c>
      <c r="O105" s="383">
        <f ca="1">RESUMO!R100</f>
        <v>0.27271284832292303</v>
      </c>
      <c r="P105" s="381">
        <f ca="1">RESUMO!K100</f>
        <v>19.63675309528108</v>
      </c>
      <c r="Q105" s="382">
        <f ca="1">RESUMO!P100</f>
        <v>8460.3423408000017</v>
      </c>
      <c r="R105" s="384">
        <f t="shared" ca="1" si="27"/>
        <v>0.72728715167707692</v>
      </c>
      <c r="S105" s="385"/>
      <c r="T105" s="160" t="s">
        <v>79</v>
      </c>
      <c r="U105" s="159">
        <v>0.79</v>
      </c>
      <c r="V105" s="160">
        <v>37800</v>
      </c>
      <c r="W105" s="159">
        <f>V105*U105</f>
        <v>29862</v>
      </c>
    </row>
    <row r="106" spans="2:23" ht="15" customHeight="1" thickTop="1" thickBot="1" x14ac:dyDescent="0.3">
      <c r="J106" s="69"/>
      <c r="L106" s="69"/>
      <c r="N106" s="69"/>
      <c r="S106" s="387"/>
    </row>
    <row r="107" spans="2:23" s="150" customFormat="1" ht="15" customHeight="1" thickTop="1" x14ac:dyDescent="0.25">
      <c r="B107" s="471" t="s">
        <v>170</v>
      </c>
      <c r="C107" s="472"/>
      <c r="D107" s="472"/>
      <c r="E107" s="472"/>
      <c r="F107" s="472"/>
      <c r="G107" s="472"/>
      <c r="H107" s="472"/>
      <c r="I107" s="472"/>
      <c r="J107" s="472"/>
      <c r="K107" s="473"/>
      <c r="L107" s="192">
        <f ca="1">SUM(L13,L17,L41,L68,L93,L95)</f>
        <v>1990219.6506260568</v>
      </c>
      <c r="M107" s="468" t="s">
        <v>171</v>
      </c>
      <c r="N107" s="469"/>
      <c r="O107" s="469"/>
      <c r="P107" s="469"/>
      <c r="Q107" s="469"/>
      <c r="R107" s="470"/>
      <c r="S107" s="151"/>
      <c r="T107" s="151"/>
      <c r="U107" s="151"/>
      <c r="V107" s="151"/>
      <c r="W107" s="151"/>
    </row>
    <row r="108" spans="2:23" s="150" customFormat="1" ht="15" customHeight="1" x14ac:dyDescent="0.25">
      <c r="B108" s="474"/>
      <c r="C108" s="475"/>
      <c r="D108" s="475"/>
      <c r="E108" s="475"/>
      <c r="F108" s="475"/>
      <c r="G108" s="475"/>
      <c r="H108" s="475"/>
      <c r="I108" s="475"/>
      <c r="J108" s="475"/>
      <c r="K108" s="476"/>
      <c r="L108" s="54">
        <f ca="1">L107*1.182</f>
        <v>2352439.6270399992</v>
      </c>
      <c r="M108" s="452" t="s">
        <v>172</v>
      </c>
      <c r="N108" s="453"/>
      <c r="O108" s="453"/>
      <c r="P108" s="453"/>
      <c r="Q108" s="453"/>
      <c r="R108" s="454"/>
      <c r="S108" s="151"/>
      <c r="T108" s="151"/>
      <c r="U108" s="151"/>
      <c r="V108" s="151"/>
      <c r="W108" s="151"/>
    </row>
    <row r="109" spans="2:23" s="150" customFormat="1" ht="15" customHeight="1" x14ac:dyDescent="0.25">
      <c r="B109" s="474"/>
      <c r="C109" s="475"/>
      <c r="D109" s="475"/>
      <c r="E109" s="475"/>
      <c r="F109" s="475"/>
      <c r="G109" s="475"/>
      <c r="H109" s="475"/>
      <c r="I109" s="475"/>
      <c r="J109" s="475"/>
      <c r="K109" s="476"/>
      <c r="L109" s="54"/>
      <c r="M109" s="452" t="s">
        <v>173</v>
      </c>
      <c r="N109" s="453"/>
      <c r="O109" s="453"/>
      <c r="P109" s="453"/>
      <c r="Q109" s="453"/>
      <c r="R109" s="454"/>
      <c r="S109" s="151"/>
      <c r="T109" s="151"/>
      <c r="U109" s="151"/>
      <c r="V109" s="151"/>
      <c r="W109" s="151"/>
    </row>
    <row r="110" spans="2:23" s="150" customFormat="1" ht="15" customHeight="1" x14ac:dyDescent="0.25">
      <c r="B110" s="474"/>
      <c r="C110" s="475"/>
      <c r="D110" s="475"/>
      <c r="E110" s="475"/>
      <c r="F110" s="475"/>
      <c r="G110" s="475"/>
      <c r="H110" s="475"/>
      <c r="I110" s="475"/>
      <c r="J110" s="475"/>
      <c r="K110" s="476"/>
      <c r="L110" s="54"/>
      <c r="M110" s="452" t="s">
        <v>174</v>
      </c>
      <c r="N110" s="453"/>
      <c r="O110" s="453"/>
      <c r="P110" s="453"/>
      <c r="Q110" s="453"/>
      <c r="R110" s="454"/>
      <c r="S110" s="151"/>
      <c r="T110" s="151"/>
      <c r="U110" s="151"/>
      <c r="V110" s="151"/>
      <c r="W110" s="151"/>
    </row>
    <row r="111" spans="2:23" s="150" customFormat="1" ht="15" customHeight="1" x14ac:dyDescent="0.25">
      <c r="B111" s="474"/>
      <c r="C111" s="475"/>
      <c r="D111" s="475"/>
      <c r="E111" s="475"/>
      <c r="F111" s="475"/>
      <c r="G111" s="475"/>
      <c r="H111" s="475"/>
      <c r="I111" s="475"/>
      <c r="J111" s="475"/>
      <c r="K111" s="476"/>
      <c r="L111" s="54"/>
      <c r="M111" s="452" t="s">
        <v>175</v>
      </c>
      <c r="N111" s="453"/>
      <c r="O111" s="453"/>
      <c r="P111" s="453"/>
      <c r="Q111" s="453"/>
      <c r="R111" s="454"/>
      <c r="S111" s="151"/>
      <c r="T111" s="151"/>
      <c r="U111" s="151"/>
      <c r="V111" s="151"/>
      <c r="W111" s="151"/>
    </row>
    <row r="112" spans="2:23" s="150" customFormat="1" ht="15" customHeight="1" thickBot="1" x14ac:dyDescent="0.3">
      <c r="B112" s="477"/>
      <c r="C112" s="478"/>
      <c r="D112" s="478"/>
      <c r="E112" s="478"/>
      <c r="F112" s="478"/>
      <c r="G112" s="478"/>
      <c r="H112" s="478"/>
      <c r="I112" s="478"/>
      <c r="J112" s="478"/>
      <c r="K112" s="479"/>
      <c r="L112" s="130">
        <f ca="1">SUM(L108,L111)-SUM(L109:L110)</f>
        <v>2352439.6270399992</v>
      </c>
      <c r="M112" s="485" t="s">
        <v>176</v>
      </c>
      <c r="N112" s="486"/>
      <c r="O112" s="486"/>
      <c r="P112" s="486"/>
      <c r="Q112" s="486"/>
      <c r="R112" s="487"/>
      <c r="S112" s="151"/>
      <c r="T112" s="151"/>
      <c r="U112" s="151"/>
      <c r="V112" s="151"/>
      <c r="W112" s="151"/>
    </row>
    <row r="113" spans="2:18" s="150" customFormat="1" ht="15" customHeight="1" thickTop="1" x14ac:dyDescent="0.25">
      <c r="B113" s="455" t="s">
        <v>177</v>
      </c>
      <c r="C113" s="456"/>
      <c r="D113" s="456"/>
      <c r="E113" s="456"/>
      <c r="F113" s="456"/>
      <c r="G113" s="456"/>
      <c r="H113" s="456"/>
      <c r="I113" s="456"/>
      <c r="J113" s="457"/>
      <c r="K113" s="203" t="s">
        <v>178</v>
      </c>
      <c r="L113" s="192"/>
      <c r="M113" s="468" t="s">
        <v>179</v>
      </c>
      <c r="N113" s="469"/>
      <c r="O113" s="469"/>
      <c r="P113" s="469"/>
      <c r="Q113" s="469"/>
      <c r="R113" s="470"/>
    </row>
    <row r="114" spans="2:18" s="150" customFormat="1" ht="15" customHeight="1" x14ac:dyDescent="0.25">
      <c r="B114" s="458"/>
      <c r="C114" s="459"/>
      <c r="D114" s="459"/>
      <c r="E114" s="459"/>
      <c r="F114" s="459"/>
      <c r="G114" s="459"/>
      <c r="H114" s="459"/>
      <c r="I114" s="459"/>
      <c r="J114" s="460"/>
      <c r="K114" s="158" t="s">
        <v>180</v>
      </c>
      <c r="L114" s="193"/>
      <c r="M114" s="452" t="s">
        <v>181</v>
      </c>
      <c r="N114" s="453"/>
      <c r="O114" s="453"/>
      <c r="P114" s="453"/>
      <c r="Q114" s="453"/>
      <c r="R114" s="454"/>
    </row>
    <row r="115" spans="2:18" s="150" customFormat="1" ht="15" customHeight="1" x14ac:dyDescent="0.25">
      <c r="B115" s="458"/>
      <c r="C115" s="459"/>
      <c r="D115" s="459"/>
      <c r="E115" s="459"/>
      <c r="F115" s="459"/>
      <c r="G115" s="459"/>
      <c r="H115" s="459"/>
      <c r="I115" s="459"/>
      <c r="J115" s="460"/>
      <c r="K115" s="158" t="s">
        <v>182</v>
      </c>
      <c r="L115" s="193"/>
      <c r="M115" s="452" t="s">
        <v>183</v>
      </c>
      <c r="N115" s="453"/>
      <c r="O115" s="453"/>
      <c r="P115" s="453"/>
      <c r="Q115" s="453"/>
      <c r="R115" s="454"/>
    </row>
    <row r="116" spans="2:18" s="150" customFormat="1" ht="15" customHeight="1" x14ac:dyDescent="0.25">
      <c r="B116" s="458"/>
      <c r="C116" s="459"/>
      <c r="D116" s="459"/>
      <c r="E116" s="459"/>
      <c r="F116" s="459"/>
      <c r="G116" s="459"/>
      <c r="H116" s="459"/>
      <c r="I116" s="459"/>
      <c r="J116" s="460"/>
      <c r="K116" s="158" t="s">
        <v>184</v>
      </c>
      <c r="L116" s="193"/>
      <c r="M116" s="452" t="s">
        <v>185</v>
      </c>
      <c r="N116" s="453"/>
      <c r="O116" s="453"/>
      <c r="P116" s="453"/>
      <c r="Q116" s="453"/>
      <c r="R116" s="454"/>
    </row>
    <row r="117" spans="2:18" s="150" customFormat="1" ht="15" customHeight="1" x14ac:dyDescent="0.25">
      <c r="B117" s="458"/>
      <c r="C117" s="459"/>
      <c r="D117" s="459"/>
      <c r="E117" s="459"/>
      <c r="F117" s="459"/>
      <c r="G117" s="459"/>
      <c r="H117" s="459"/>
      <c r="I117" s="459"/>
      <c r="J117" s="460"/>
      <c r="K117" s="158" t="s">
        <v>184</v>
      </c>
      <c r="L117" s="193"/>
      <c r="M117" s="452" t="s">
        <v>186</v>
      </c>
      <c r="N117" s="453"/>
      <c r="O117" s="453"/>
      <c r="P117" s="453"/>
      <c r="Q117" s="453"/>
      <c r="R117" s="454"/>
    </row>
    <row r="118" spans="2:18" s="150" customFormat="1" ht="15" customHeight="1" x14ac:dyDescent="0.25">
      <c r="B118" s="458"/>
      <c r="C118" s="459"/>
      <c r="D118" s="459"/>
      <c r="E118" s="459"/>
      <c r="F118" s="459"/>
      <c r="G118" s="459"/>
      <c r="H118" s="459"/>
      <c r="I118" s="459"/>
      <c r="J118" s="460"/>
      <c r="K118" s="158" t="s">
        <v>187</v>
      </c>
      <c r="L118" s="193"/>
      <c r="M118" s="452" t="s">
        <v>188</v>
      </c>
      <c r="N118" s="453"/>
      <c r="O118" s="453"/>
      <c r="P118" s="453"/>
      <c r="Q118" s="453"/>
      <c r="R118" s="454"/>
    </row>
    <row r="119" spans="2:18" s="150" customFormat="1" ht="15" customHeight="1" x14ac:dyDescent="0.25">
      <c r="B119" s="458"/>
      <c r="C119" s="459"/>
      <c r="D119" s="459"/>
      <c r="E119" s="459"/>
      <c r="F119" s="459"/>
      <c r="G119" s="459"/>
      <c r="H119" s="459"/>
      <c r="I119" s="459"/>
      <c r="J119" s="460"/>
      <c r="K119" s="158" t="s">
        <v>178</v>
      </c>
      <c r="L119" s="193"/>
      <c r="M119" s="452" t="s">
        <v>189</v>
      </c>
      <c r="N119" s="453"/>
      <c r="O119" s="453"/>
      <c r="P119" s="453"/>
      <c r="Q119" s="453"/>
      <c r="R119" s="454"/>
    </row>
    <row r="120" spans="2:18" s="150" customFormat="1" ht="15" customHeight="1" x14ac:dyDescent="0.25">
      <c r="B120" s="458"/>
      <c r="C120" s="459"/>
      <c r="D120" s="459"/>
      <c r="E120" s="459"/>
      <c r="F120" s="459"/>
      <c r="G120" s="459"/>
      <c r="H120" s="459"/>
      <c r="I120" s="459"/>
      <c r="J120" s="460"/>
      <c r="K120" s="158" t="s">
        <v>178</v>
      </c>
      <c r="L120" s="193"/>
      <c r="M120" s="452" t="s">
        <v>190</v>
      </c>
      <c r="N120" s="453"/>
      <c r="O120" s="453"/>
      <c r="P120" s="453"/>
      <c r="Q120" s="453"/>
      <c r="R120" s="454"/>
    </row>
    <row r="121" spans="2:18" s="150" customFormat="1" ht="15" customHeight="1" x14ac:dyDescent="0.25">
      <c r="B121" s="458"/>
      <c r="C121" s="459"/>
      <c r="D121" s="459"/>
      <c r="E121" s="459"/>
      <c r="F121" s="459"/>
      <c r="G121" s="459"/>
      <c r="H121" s="459"/>
      <c r="I121" s="459"/>
      <c r="J121" s="460"/>
      <c r="K121" s="158" t="s">
        <v>178</v>
      </c>
      <c r="L121" s="193"/>
      <c r="M121" s="452" t="s">
        <v>191</v>
      </c>
      <c r="N121" s="453"/>
      <c r="O121" s="453"/>
      <c r="P121" s="453"/>
      <c r="Q121" s="453"/>
      <c r="R121" s="454"/>
    </row>
    <row r="122" spans="2:18" s="150" customFormat="1" ht="15" customHeight="1" x14ac:dyDescent="0.25">
      <c r="B122" s="458"/>
      <c r="C122" s="459"/>
      <c r="D122" s="459"/>
      <c r="E122" s="459"/>
      <c r="F122" s="459"/>
      <c r="G122" s="459"/>
      <c r="H122" s="459"/>
      <c r="I122" s="459"/>
      <c r="J122" s="460"/>
      <c r="K122" s="158" t="s">
        <v>178</v>
      </c>
      <c r="L122" s="193"/>
      <c r="M122" s="452" t="s">
        <v>192</v>
      </c>
      <c r="N122" s="453"/>
      <c r="O122" s="453"/>
      <c r="P122" s="453"/>
      <c r="Q122" s="453"/>
      <c r="R122" s="454"/>
    </row>
    <row r="123" spans="2:18" s="150" customFormat="1" ht="15" customHeight="1" x14ac:dyDescent="0.25">
      <c r="B123" s="458"/>
      <c r="C123" s="459"/>
      <c r="D123" s="459"/>
      <c r="E123" s="459"/>
      <c r="F123" s="459"/>
      <c r="G123" s="459"/>
      <c r="H123" s="459"/>
      <c r="I123" s="459"/>
      <c r="J123" s="460"/>
      <c r="K123" s="158" t="s">
        <v>178</v>
      </c>
      <c r="L123" s="193"/>
      <c r="M123" s="452" t="s">
        <v>193</v>
      </c>
      <c r="N123" s="453"/>
      <c r="O123" s="453"/>
      <c r="P123" s="453"/>
      <c r="Q123" s="453"/>
      <c r="R123" s="454"/>
    </row>
    <row r="124" spans="2:18" s="150" customFormat="1" ht="15" customHeight="1" x14ac:dyDescent="0.25">
      <c r="B124" s="458"/>
      <c r="C124" s="459"/>
      <c r="D124" s="459"/>
      <c r="E124" s="459"/>
      <c r="F124" s="459"/>
      <c r="G124" s="459"/>
      <c r="H124" s="459"/>
      <c r="I124" s="459"/>
      <c r="J124" s="460"/>
      <c r="K124" s="158" t="s">
        <v>178</v>
      </c>
      <c r="L124" s="193"/>
      <c r="M124" s="452" t="s">
        <v>194</v>
      </c>
      <c r="N124" s="453"/>
      <c r="O124" s="453"/>
      <c r="P124" s="453"/>
      <c r="Q124" s="453"/>
      <c r="R124" s="454"/>
    </row>
    <row r="125" spans="2:18" s="150" customFormat="1" ht="15" customHeight="1" x14ac:dyDescent="0.25">
      <c r="B125" s="458"/>
      <c r="C125" s="459"/>
      <c r="D125" s="459"/>
      <c r="E125" s="459"/>
      <c r="F125" s="459"/>
      <c r="G125" s="459"/>
      <c r="H125" s="459"/>
      <c r="I125" s="459"/>
      <c r="J125" s="460"/>
      <c r="K125" s="158" t="s">
        <v>178</v>
      </c>
      <c r="L125" s="193"/>
      <c r="M125" s="452" t="s">
        <v>195</v>
      </c>
      <c r="N125" s="453"/>
      <c r="O125" s="453"/>
      <c r="P125" s="453"/>
      <c r="Q125" s="453"/>
      <c r="R125" s="454"/>
    </row>
    <row r="126" spans="2:18" s="150" customFormat="1" ht="15" customHeight="1" x14ac:dyDescent="0.25">
      <c r="B126" s="458"/>
      <c r="C126" s="459"/>
      <c r="D126" s="459"/>
      <c r="E126" s="459"/>
      <c r="F126" s="459"/>
      <c r="G126" s="459"/>
      <c r="H126" s="459"/>
      <c r="I126" s="459"/>
      <c r="J126" s="460"/>
      <c r="K126" s="158" t="s">
        <v>196</v>
      </c>
      <c r="L126" s="193"/>
      <c r="M126" s="452" t="s">
        <v>197</v>
      </c>
      <c r="N126" s="453"/>
      <c r="O126" s="453"/>
      <c r="P126" s="453"/>
      <c r="Q126" s="453"/>
      <c r="R126" s="454"/>
    </row>
    <row r="127" spans="2:18" s="150" customFormat="1" ht="15" customHeight="1" x14ac:dyDescent="0.25">
      <c r="B127" s="458"/>
      <c r="C127" s="459"/>
      <c r="D127" s="459"/>
      <c r="E127" s="459"/>
      <c r="F127" s="459"/>
      <c r="G127" s="459"/>
      <c r="H127" s="459"/>
      <c r="I127" s="459"/>
      <c r="J127" s="460"/>
      <c r="K127" s="158" t="s">
        <v>198</v>
      </c>
      <c r="L127" s="193"/>
      <c r="M127" s="452" t="s">
        <v>199</v>
      </c>
      <c r="N127" s="453"/>
      <c r="O127" s="453"/>
      <c r="P127" s="453"/>
      <c r="Q127" s="453"/>
      <c r="R127" s="454"/>
    </row>
    <row r="128" spans="2:18" s="150" customFormat="1" ht="15" customHeight="1" x14ac:dyDescent="0.25">
      <c r="B128" s="458"/>
      <c r="C128" s="459"/>
      <c r="D128" s="459"/>
      <c r="E128" s="459"/>
      <c r="F128" s="459"/>
      <c r="G128" s="459"/>
      <c r="H128" s="459"/>
      <c r="I128" s="459"/>
      <c r="J128" s="460"/>
      <c r="K128" s="158" t="s">
        <v>198</v>
      </c>
      <c r="L128" s="193"/>
      <c r="M128" s="452" t="s">
        <v>200</v>
      </c>
      <c r="N128" s="453"/>
      <c r="O128" s="453"/>
      <c r="P128" s="453"/>
      <c r="Q128" s="453"/>
      <c r="R128" s="454"/>
    </row>
    <row r="129" spans="2:18" s="150" customFormat="1" ht="15" customHeight="1" x14ac:dyDescent="0.25">
      <c r="B129" s="458"/>
      <c r="C129" s="459"/>
      <c r="D129" s="459"/>
      <c r="E129" s="459"/>
      <c r="F129" s="459"/>
      <c r="G129" s="459"/>
      <c r="H129" s="459"/>
      <c r="I129" s="459"/>
      <c r="J129" s="460"/>
      <c r="K129" s="158" t="s">
        <v>198</v>
      </c>
      <c r="L129" s="193"/>
      <c r="M129" s="452" t="s">
        <v>201</v>
      </c>
      <c r="N129" s="453"/>
      <c r="O129" s="453"/>
      <c r="P129" s="453"/>
      <c r="Q129" s="453"/>
      <c r="R129" s="454"/>
    </row>
    <row r="130" spans="2:18" s="150" customFormat="1" ht="15" customHeight="1" x14ac:dyDescent="0.25">
      <c r="B130" s="458"/>
      <c r="C130" s="459"/>
      <c r="D130" s="459"/>
      <c r="E130" s="459"/>
      <c r="F130" s="459"/>
      <c r="G130" s="459"/>
      <c r="H130" s="459"/>
      <c r="I130" s="459"/>
      <c r="J130" s="460"/>
      <c r="K130" s="158" t="s">
        <v>198</v>
      </c>
      <c r="L130" s="193"/>
      <c r="M130" s="452" t="s">
        <v>202</v>
      </c>
      <c r="N130" s="453"/>
      <c r="O130" s="453"/>
      <c r="P130" s="453"/>
      <c r="Q130" s="453"/>
      <c r="R130" s="454"/>
    </row>
    <row r="131" spans="2:18" s="150" customFormat="1" ht="15" customHeight="1" x14ac:dyDescent="0.25">
      <c r="B131" s="458"/>
      <c r="C131" s="459"/>
      <c r="D131" s="459"/>
      <c r="E131" s="459"/>
      <c r="F131" s="459"/>
      <c r="G131" s="459"/>
      <c r="H131" s="459"/>
      <c r="I131" s="459"/>
      <c r="J131" s="460"/>
      <c r="K131" s="173" t="s">
        <v>203</v>
      </c>
      <c r="L131" s="231"/>
      <c r="M131" s="452" t="s">
        <v>204</v>
      </c>
      <c r="N131" s="453"/>
      <c r="O131" s="453"/>
      <c r="P131" s="453"/>
      <c r="Q131" s="453"/>
      <c r="R131" s="454"/>
    </row>
    <row r="132" spans="2:18" s="150" customFormat="1" ht="15" customHeight="1" x14ac:dyDescent="0.25">
      <c r="B132" s="461"/>
      <c r="C132" s="462"/>
      <c r="D132" s="462"/>
      <c r="E132" s="462"/>
      <c r="F132" s="462"/>
      <c r="G132" s="462"/>
      <c r="H132" s="462"/>
      <c r="I132" s="462"/>
      <c r="J132" s="462"/>
      <c r="K132" s="462"/>
      <c r="L132" s="462"/>
      <c r="M132" s="462"/>
      <c r="N132" s="462"/>
      <c r="O132" s="462"/>
      <c r="P132" s="462"/>
      <c r="Q132" s="462"/>
      <c r="R132" s="463"/>
    </row>
    <row r="133" spans="2:18" s="1" customFormat="1" ht="19.899999999999999" customHeight="1" x14ac:dyDescent="0.25">
      <c r="B133" s="204"/>
      <c r="C133" s="205"/>
      <c r="D133" s="206"/>
      <c r="E133" s="207"/>
      <c r="F133" s="206"/>
      <c r="G133" s="206"/>
      <c r="H133" s="206"/>
      <c r="I133" s="206"/>
      <c r="J133" s="206"/>
      <c r="K133" s="205"/>
      <c r="L133" s="206"/>
      <c r="M133" s="208"/>
      <c r="N133" s="208"/>
      <c r="O133" s="208"/>
      <c r="P133" s="208"/>
      <c r="Q133" s="208"/>
      <c r="R133" s="209"/>
    </row>
    <row r="134" spans="2:18" s="1" customFormat="1" ht="19.899999999999999" customHeight="1" x14ac:dyDescent="0.25">
      <c r="B134" s="204"/>
      <c r="C134" s="205"/>
      <c r="D134" s="206"/>
      <c r="E134" s="207"/>
      <c r="F134" s="206"/>
      <c r="G134" s="206"/>
      <c r="H134" s="206"/>
      <c r="I134" s="206"/>
      <c r="J134" s="206"/>
      <c r="K134" s="205"/>
      <c r="L134" s="205"/>
      <c r="M134" s="210"/>
      <c r="N134" s="210"/>
      <c r="O134" s="210"/>
      <c r="P134" s="210"/>
      <c r="Q134" s="210"/>
      <c r="R134" s="211"/>
    </row>
    <row r="135" spans="2:18" s="1" customFormat="1" ht="19.899999999999999" customHeight="1" x14ac:dyDescent="0.25">
      <c r="B135" s="204"/>
      <c r="C135" s="205"/>
      <c r="D135" s="206"/>
      <c r="E135" s="207"/>
      <c r="F135" s="206"/>
      <c r="G135" s="206"/>
      <c r="H135" s="206"/>
      <c r="I135" s="206"/>
      <c r="J135" s="206"/>
      <c r="K135" s="205"/>
      <c r="L135" s="205"/>
      <c r="M135" s="210"/>
      <c r="N135" s="210"/>
      <c r="O135" s="210"/>
      <c r="P135" s="210"/>
      <c r="Q135" s="210"/>
      <c r="R135" s="211"/>
    </row>
    <row r="136" spans="2:18" s="1" customFormat="1" ht="19.899999999999999" customHeight="1" x14ac:dyDescent="0.25">
      <c r="B136" s="204"/>
      <c r="C136" s="205"/>
      <c r="D136" s="206"/>
      <c r="E136" s="207"/>
      <c r="F136" s="206"/>
      <c r="G136" s="206"/>
      <c r="H136" s="206"/>
      <c r="I136" s="206"/>
      <c r="J136" s="206"/>
      <c r="K136" s="205"/>
      <c r="L136" s="205"/>
      <c r="M136" s="210"/>
      <c r="N136" s="210"/>
      <c r="O136" s="210"/>
      <c r="P136" s="210"/>
      <c r="Q136" s="210"/>
      <c r="R136" s="211"/>
    </row>
    <row r="137" spans="2:18" s="1" customFormat="1" ht="19.899999999999999" customHeight="1" x14ac:dyDescent="0.25">
      <c r="B137" s="212"/>
      <c r="C137" s="213"/>
      <c r="D137" s="214"/>
      <c r="E137" s="215"/>
      <c r="F137" s="214"/>
      <c r="G137" s="214"/>
      <c r="H137" s="214"/>
      <c r="I137" s="214"/>
      <c r="J137" s="214"/>
      <c r="K137" s="216"/>
      <c r="L137" s="217"/>
      <c r="M137" s="208"/>
      <c r="N137" s="208"/>
      <c r="O137" s="208"/>
      <c r="P137" s="208"/>
      <c r="Q137" s="208"/>
      <c r="R137" s="209"/>
    </row>
    <row r="138" spans="2:18" s="1" customFormat="1" ht="19.899999999999999" customHeight="1" x14ac:dyDescent="0.25">
      <c r="B138" s="204"/>
      <c r="C138" s="205"/>
      <c r="D138" s="206"/>
      <c r="E138" s="207"/>
      <c r="F138" s="206"/>
      <c r="G138" s="206"/>
      <c r="H138" s="206"/>
      <c r="I138" s="206"/>
      <c r="J138" s="206"/>
      <c r="K138" s="205"/>
      <c r="L138" s="205"/>
      <c r="M138" s="210"/>
      <c r="N138" s="210"/>
      <c r="O138" s="210"/>
      <c r="P138" s="210"/>
      <c r="Q138" s="210"/>
      <c r="R138" s="211"/>
    </row>
    <row r="139" spans="2:18" s="1" customFormat="1" ht="19.899999999999999" customHeight="1" x14ac:dyDescent="0.25">
      <c r="B139" s="204"/>
      <c r="C139" s="205"/>
      <c r="D139" s="206"/>
      <c r="E139" s="207"/>
      <c r="F139" s="206"/>
      <c r="G139" s="206"/>
      <c r="H139" s="206"/>
      <c r="I139" s="206"/>
      <c r="J139" s="206"/>
      <c r="K139" s="205"/>
      <c r="L139" s="205"/>
      <c r="M139" s="210"/>
      <c r="N139" s="210"/>
      <c r="O139" s="210"/>
      <c r="P139" s="210"/>
      <c r="Q139" s="210"/>
      <c r="R139" s="211"/>
    </row>
    <row r="140" spans="2:18" s="1" customFormat="1" ht="19.899999999999999" customHeight="1" x14ac:dyDescent="0.25">
      <c r="B140" s="464" t="s">
        <v>205</v>
      </c>
      <c r="C140" s="465"/>
      <c r="D140" s="465"/>
      <c r="E140" s="466">
        <f>SUM(H13,H17,H41,H68,H93,H95)*1.182</f>
        <v>6891850.4270399995</v>
      </c>
      <c r="F140" s="466"/>
      <c r="G140" s="218" t="s">
        <v>206</v>
      </c>
      <c r="H140" s="219">
        <v>1976499.55</v>
      </c>
      <c r="I140" s="218" t="s">
        <v>207</v>
      </c>
      <c r="J140" s="220"/>
      <c r="K140" s="221" t="s">
        <v>208</v>
      </c>
      <c r="L140" s="222"/>
      <c r="M140" s="221" t="s">
        <v>209</v>
      </c>
      <c r="N140" s="221"/>
      <c r="O140" s="221" t="s">
        <v>210</v>
      </c>
      <c r="P140" s="223"/>
      <c r="Q140" s="221" t="s">
        <v>211</v>
      </c>
      <c r="R140" s="224"/>
    </row>
    <row r="141" spans="2:18" s="1" customFormat="1" ht="19.899999999999999" customHeight="1" x14ac:dyDescent="0.25">
      <c r="B141" s="464" t="s">
        <v>212</v>
      </c>
      <c r="C141" s="465"/>
      <c r="D141" s="465"/>
      <c r="E141" s="467">
        <f ca="1">SUM(H140:H143,J140:J143,L140:L143,N140:N143,P140:P143,R140:R143)</f>
        <v>6891850.4270399995</v>
      </c>
      <c r="F141" s="467"/>
      <c r="G141" s="218" t="s">
        <v>213</v>
      </c>
      <c r="H141" s="219">
        <v>2562911.25</v>
      </c>
      <c r="I141" s="218" t="s">
        <v>214</v>
      </c>
      <c r="J141" s="220"/>
      <c r="K141" s="221" t="s">
        <v>215</v>
      </c>
      <c r="L141" s="222"/>
      <c r="M141" s="221" t="s">
        <v>216</v>
      </c>
      <c r="N141" s="221"/>
      <c r="O141" s="221" t="s">
        <v>217</v>
      </c>
      <c r="P141" s="223"/>
      <c r="Q141" s="221" t="s">
        <v>218</v>
      </c>
      <c r="R141" s="224"/>
    </row>
    <row r="142" spans="2:18" s="1" customFormat="1" ht="19.899999999999999" customHeight="1" x14ac:dyDescent="0.25">
      <c r="B142" s="464" t="s">
        <v>219</v>
      </c>
      <c r="C142" s="465"/>
      <c r="D142" s="465"/>
      <c r="E142" s="467">
        <f ca="1">E140-E141</f>
        <v>0</v>
      </c>
      <c r="F142" s="467"/>
      <c r="G142" s="218" t="s">
        <v>220</v>
      </c>
      <c r="H142" s="219">
        <f ca="1">L112</f>
        <v>2352439.6270399992</v>
      </c>
      <c r="I142" s="218" t="s">
        <v>221</v>
      </c>
      <c r="J142" s="220"/>
      <c r="K142" s="221" t="s">
        <v>222</v>
      </c>
      <c r="L142" s="222"/>
      <c r="M142" s="221" t="s">
        <v>223</v>
      </c>
      <c r="N142" s="221"/>
      <c r="O142" s="221" t="s">
        <v>224</v>
      </c>
      <c r="P142" s="223"/>
      <c r="Q142" s="221" t="s">
        <v>225</v>
      </c>
      <c r="R142" s="224"/>
    </row>
    <row r="143" spans="2:18" s="1" customFormat="1" ht="19.899999999999999" customHeight="1" thickBot="1" x14ac:dyDescent="0.3">
      <c r="B143" s="449" t="s">
        <v>226</v>
      </c>
      <c r="C143" s="450"/>
      <c r="D143" s="450"/>
      <c r="E143" s="450"/>
      <c r="F143" s="451"/>
      <c r="G143" s="225" t="s">
        <v>227</v>
      </c>
      <c r="H143" s="226"/>
      <c r="I143" s="225" t="s">
        <v>228</v>
      </c>
      <c r="J143" s="227"/>
      <c r="K143" s="228" t="s">
        <v>229</v>
      </c>
      <c r="L143" s="227"/>
      <c r="M143" s="228" t="s">
        <v>230</v>
      </c>
      <c r="N143" s="228"/>
      <c r="O143" s="228" t="s">
        <v>231</v>
      </c>
      <c r="P143" s="229"/>
      <c r="Q143" s="228" t="s">
        <v>232</v>
      </c>
      <c r="R143" s="230"/>
    </row>
    <row r="144" spans="2:18" ht="15" customHeight="1" thickTop="1" x14ac:dyDescent="0.25"/>
  </sheetData>
  <mergeCells count="73">
    <mergeCell ref="T10:W10"/>
    <mergeCell ref="T11:T12"/>
    <mergeCell ref="U11:U12"/>
    <mergeCell ref="V11:V12"/>
    <mergeCell ref="W11:W12"/>
    <mergeCell ref="I10:O10"/>
    <mergeCell ref="P10:R10"/>
    <mergeCell ref="P11:R11"/>
    <mergeCell ref="E10:H10"/>
    <mergeCell ref="B10:B12"/>
    <mergeCell ref="C10:C12"/>
    <mergeCell ref="D10:D12"/>
    <mergeCell ref="E11:E12"/>
    <mergeCell ref="F11:F12"/>
    <mergeCell ref="G11:G12"/>
    <mergeCell ref="H11:H12"/>
    <mergeCell ref="I6:O6"/>
    <mergeCell ref="P6:R6"/>
    <mergeCell ref="C7:H7"/>
    <mergeCell ref="I7:O9"/>
    <mergeCell ref="P7:R9"/>
    <mergeCell ref="C8:H8"/>
    <mergeCell ref="E9:H9"/>
    <mergeCell ref="C6:H6"/>
    <mergeCell ref="B2:H5"/>
    <mergeCell ref="I2:K2"/>
    <mergeCell ref="L2:M3"/>
    <mergeCell ref="N2:O2"/>
    <mergeCell ref="P2:R2"/>
    <mergeCell ref="I3:K3"/>
    <mergeCell ref="P3:R3"/>
    <mergeCell ref="I4:K4"/>
    <mergeCell ref="P4:R4"/>
    <mergeCell ref="I5:K5"/>
    <mergeCell ref="P5:R5"/>
    <mergeCell ref="M126:R126"/>
    <mergeCell ref="M127:R127"/>
    <mergeCell ref="M108:R108"/>
    <mergeCell ref="M109:R109"/>
    <mergeCell ref="M110:R110"/>
    <mergeCell ref="M111:R111"/>
    <mergeCell ref="M112:R112"/>
    <mergeCell ref="M121:R121"/>
    <mergeCell ref="M122:R122"/>
    <mergeCell ref="M123:R123"/>
    <mergeCell ref="M124:R124"/>
    <mergeCell ref="M125:R125"/>
    <mergeCell ref="M116:R116"/>
    <mergeCell ref="M117:R117"/>
    <mergeCell ref="M118:R118"/>
    <mergeCell ref="M119:R119"/>
    <mergeCell ref="M120:R120"/>
    <mergeCell ref="B107:K112"/>
    <mergeCell ref="K11:L11"/>
    <mergeCell ref="I11:J11"/>
    <mergeCell ref="M11:O11"/>
    <mergeCell ref="M107:R107"/>
    <mergeCell ref="B143:F143"/>
    <mergeCell ref="M131:R131"/>
    <mergeCell ref="B113:J131"/>
    <mergeCell ref="B132:R132"/>
    <mergeCell ref="B140:D140"/>
    <mergeCell ref="E140:F140"/>
    <mergeCell ref="B141:D141"/>
    <mergeCell ref="E141:F141"/>
    <mergeCell ref="B142:D142"/>
    <mergeCell ref="E142:F142"/>
    <mergeCell ref="M128:R128"/>
    <mergeCell ref="M129:R129"/>
    <mergeCell ref="M130:R130"/>
    <mergeCell ref="M113:R113"/>
    <mergeCell ref="M114:R114"/>
    <mergeCell ref="M115:R115"/>
  </mergeCells>
  <phoneticPr fontId="16" type="noConversion"/>
  <hyperlinks>
    <hyperlink ref="E9" r:id="rId1" xr:uid="{7D4E61CE-7D9F-46B8-85FF-834A6FCDC53B}"/>
  </hyperlinks>
  <printOptions horizontalCentered="1"/>
  <pageMargins left="0.39370078740157483" right="0.39370078740157483" top="0.39370078740157483" bottom="0.39370078740157483" header="0.39370078740157483" footer="0.39370078740157483"/>
  <pageSetup paperSize="9" scale="20" orientation="landscape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5" name="Caixa de seleção 2">
              <controlPr locked="0" defaultSize="0" autoFill="0" autoLine="0" autoPict="0">
                <anchor moveWithCells="1">
                  <from>
                    <xdr:col>13</xdr:col>
                    <xdr:colOff>57150</xdr:colOff>
                    <xdr:row>2</xdr:row>
                    <xdr:rowOff>142875</xdr:rowOff>
                  </from>
                  <to>
                    <xdr:col>14</xdr:col>
                    <xdr:colOff>590550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aixa de seleção 3">
              <controlPr defaultSize="0" autoFill="0" autoLine="0" autoPict="0">
                <anchor moveWithCells="1">
                  <from>
                    <xdr:col>13</xdr:col>
                    <xdr:colOff>57150</xdr:colOff>
                    <xdr:row>3</xdr:row>
                    <xdr:rowOff>133350</xdr:rowOff>
                  </from>
                  <to>
                    <xdr:col>14</xdr:col>
                    <xdr:colOff>581025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aixa de seleção 1">
              <controlPr defaultSize="0" autoFill="0" autoLine="0" autoPict="0">
                <anchor moveWithCells="1">
                  <from>
                    <xdr:col>13</xdr:col>
                    <xdr:colOff>57150</xdr:colOff>
                    <xdr:row>1</xdr:row>
                    <xdr:rowOff>133350</xdr:rowOff>
                  </from>
                  <to>
                    <xdr:col>14</xdr:col>
                    <xdr:colOff>609600</xdr:colOff>
                    <xdr:row>3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3895-6347-46BA-96D4-EEAA8BEF7E46}">
  <sheetPr>
    <pageSetUpPr fitToPage="1"/>
  </sheetPr>
  <dimension ref="B1:U106"/>
  <sheetViews>
    <sheetView topLeftCell="A14" workbookViewId="0">
      <selection activeCell="B34" sqref="B34"/>
    </sheetView>
  </sheetViews>
  <sheetFormatPr defaultColWidth="10.7109375" defaultRowHeight="19.899999999999999" customHeight="1" x14ac:dyDescent="0.25"/>
  <cols>
    <col min="1" max="1" width="12.42578125" style="2" bestFit="1" customWidth="1"/>
    <col min="2" max="2" width="10.7109375" style="2"/>
    <col min="3" max="3" width="10.7109375" style="37"/>
    <col min="4" max="4" width="60.7109375" style="37" customWidth="1"/>
    <col min="5" max="5" width="12.7109375" style="37" customWidth="1"/>
    <col min="6" max="7" width="12.7109375" style="69" customWidth="1"/>
    <col min="8" max="12" width="12.7109375" style="2" customWidth="1"/>
    <col min="13" max="19" width="15.7109375" style="2" customWidth="1"/>
    <col min="20" max="20" width="10.7109375" style="2"/>
    <col min="21" max="21" width="14.42578125" style="2" bestFit="1" customWidth="1"/>
    <col min="22" max="16384" width="10.7109375" style="2"/>
  </cols>
  <sheetData>
    <row r="1" spans="2:21" ht="19.899999999999999" customHeight="1" thickTop="1" x14ac:dyDescent="0.25">
      <c r="B1" s="116" t="s">
        <v>258</v>
      </c>
      <c r="C1" s="565" t="str">
        <f>"CONTRATO: "&amp;CAPA!B4</f>
        <v>CONTRATO: 381/188/2025</v>
      </c>
      <c r="D1" s="565"/>
      <c r="E1" s="565"/>
      <c r="F1" s="566"/>
      <c r="G1" s="570" t="str">
        <f>CAPA!B5</f>
        <v>RECOMPOSIÇÃO DE TALUDES - SINISTRO 297+500 - OESTE</v>
      </c>
      <c r="H1" s="571"/>
      <c r="I1" s="571"/>
      <c r="J1" s="571"/>
      <c r="K1" s="571"/>
      <c r="L1" s="571"/>
      <c r="M1" s="571"/>
      <c r="N1" s="560" t="s">
        <v>259</v>
      </c>
      <c r="O1" s="560"/>
      <c r="P1" s="560" t="s">
        <v>260</v>
      </c>
      <c r="Q1" s="560"/>
      <c r="R1" s="444" t="s">
        <v>261</v>
      </c>
      <c r="S1" s="445"/>
    </row>
    <row r="2" spans="2:21" ht="19.899999999999999" customHeight="1" thickBot="1" x14ac:dyDescent="0.3">
      <c r="B2" s="117"/>
      <c r="C2" s="567"/>
      <c r="D2" s="567"/>
      <c r="E2" s="567"/>
      <c r="F2" s="568"/>
      <c r="G2" s="572"/>
      <c r="H2" s="573"/>
      <c r="I2" s="573"/>
      <c r="J2" s="573"/>
      <c r="K2" s="573"/>
      <c r="L2" s="573"/>
      <c r="M2" s="573"/>
      <c r="N2" s="561">
        <f ca="1">SUBTOTAL(9,N8:N100)</f>
        <v>1990219.6506260568</v>
      </c>
      <c r="O2" s="561"/>
      <c r="P2" s="561">
        <f ca="1">N2*(18.2/100)</f>
        <v>362219.97641394235</v>
      </c>
      <c r="Q2" s="441"/>
      <c r="R2" s="430">
        <f ca="1">SUM(L2:Q2)</f>
        <v>2352439.6270399992</v>
      </c>
      <c r="S2" s="559"/>
    </row>
    <row r="3" spans="2:21" ht="10.15" customHeight="1" thickTop="1" thickBot="1" x14ac:dyDescent="0.3">
      <c r="C3" s="38"/>
      <c r="D3" s="38"/>
      <c r="E3" s="38"/>
      <c r="F3" s="38"/>
      <c r="G3" s="38"/>
    </row>
    <row r="4" spans="2:21" ht="19.899999999999999" customHeight="1" thickTop="1" x14ac:dyDescent="0.25">
      <c r="B4" s="539" t="s">
        <v>415</v>
      </c>
      <c r="C4" s="540" t="str">
        <f>UPPER(IF(PQ!B10="","",PQ!B10))</f>
        <v>ITEM</v>
      </c>
      <c r="D4" s="575" t="str">
        <f>UPPER(IF(PQ!C10="","",PQ!C10))</f>
        <v>DESCRIÇÃO</v>
      </c>
      <c r="E4" s="577" t="str">
        <f>UPPER(IF(PQ!E11="","",PQ!E11))</f>
        <v>UNID.</v>
      </c>
      <c r="F4" s="541" t="str">
        <f>UPPER(IF(PQ!F11="","",PQ!F11))</f>
        <v>P. UNITÁRIO (R$ / UNID.)</v>
      </c>
      <c r="G4" s="539" t="s">
        <v>262</v>
      </c>
      <c r="H4" s="540"/>
      <c r="I4" s="540"/>
      <c r="J4" s="540"/>
      <c r="K4" s="540"/>
      <c r="L4" s="541"/>
      <c r="M4" s="545" t="s">
        <v>263</v>
      </c>
      <c r="N4" s="546"/>
      <c r="O4" s="546"/>
      <c r="P4" s="546"/>
      <c r="Q4" s="547"/>
      <c r="R4" s="562" t="s">
        <v>264</v>
      </c>
      <c r="S4" s="557" t="s">
        <v>265</v>
      </c>
    </row>
    <row r="5" spans="2:21" ht="19.899999999999999" customHeight="1" thickBot="1" x14ac:dyDescent="0.3">
      <c r="B5" s="569"/>
      <c r="C5" s="574"/>
      <c r="D5" s="576"/>
      <c r="E5" s="578"/>
      <c r="F5" s="564"/>
      <c r="G5" s="39" t="s">
        <v>266</v>
      </c>
      <c r="H5" s="40" t="s">
        <v>20</v>
      </c>
      <c r="I5" s="40" t="s">
        <v>22</v>
      </c>
      <c r="J5" s="40" t="s">
        <v>23</v>
      </c>
      <c r="K5" s="40" t="s">
        <v>56</v>
      </c>
      <c r="L5" s="41" t="s">
        <v>267</v>
      </c>
      <c r="M5" s="42" t="s">
        <v>20</v>
      </c>
      <c r="N5" s="40" t="s">
        <v>22</v>
      </c>
      <c r="O5" s="40" t="s">
        <v>23</v>
      </c>
      <c r="P5" s="40" t="s">
        <v>56</v>
      </c>
      <c r="Q5" s="41" t="s">
        <v>267</v>
      </c>
      <c r="R5" s="563"/>
      <c r="S5" s="558"/>
    </row>
    <row r="6" spans="2:21" ht="10.15" customHeight="1" thickTop="1" thickBot="1" x14ac:dyDescent="0.3">
      <c r="C6" s="43"/>
      <c r="D6" s="43"/>
      <c r="E6" s="43"/>
      <c r="F6" s="43"/>
      <c r="G6" s="43"/>
    </row>
    <row r="7" spans="2:21" ht="19.899999999999999" customHeight="1" thickTop="1" thickBot="1" x14ac:dyDescent="0.3">
      <c r="B7" s="279"/>
      <c r="C7" s="280"/>
      <c r="D7" s="232"/>
      <c r="E7" s="232"/>
      <c r="F7" s="232"/>
      <c r="G7" s="232"/>
      <c r="H7" s="233"/>
      <c r="I7" s="233"/>
      <c r="J7" s="233"/>
      <c r="K7" s="233"/>
      <c r="L7" s="233"/>
      <c r="M7" s="235">
        <f ca="1">SUM(M8,M12,M36,M63,M88,M90)</f>
        <v>3745492.2091835598</v>
      </c>
      <c r="N7" s="235">
        <f t="shared" ref="N7:Q7" ca="1" si="0">SUM(N8,N12,N36,N63,N88,N90)</f>
        <v>1990219.6506260568</v>
      </c>
      <c r="O7" s="235">
        <f ca="1">SUM(O8,O12,O36,O63,O88,O90)</f>
        <v>5735711.8598096175</v>
      </c>
      <c r="P7" s="235">
        <f ca="1">SUM(P8,P12,P36,P63,P88,P90)</f>
        <v>94956.860190383144</v>
      </c>
      <c r="Q7" s="235">
        <f t="shared" ca="1" si="0"/>
        <v>217212.10714954004</v>
      </c>
      <c r="R7" s="233"/>
      <c r="S7" s="234"/>
      <c r="U7" s="363"/>
    </row>
    <row r="8" spans="2:21" ht="19.899999999999999" customHeight="1" thickTop="1" x14ac:dyDescent="0.25">
      <c r="B8" s="113"/>
      <c r="C8" s="275" t="str">
        <f>IF(PQ!B13="","",PQ!B13)</f>
        <v>A.</v>
      </c>
      <c r="D8" s="44" t="str">
        <f>IF(PQ!C13="","",PQ!C13)</f>
        <v>Custos Indiretos</v>
      </c>
      <c r="E8" s="45" t="str">
        <f>IF(PQ!E13="","",PQ!E13)</f>
        <v/>
      </c>
      <c r="F8" s="46" t="str">
        <f>IF(PQ!F13="","",PQ!F13)</f>
        <v/>
      </c>
      <c r="G8" s="46" t="str">
        <f>IF(PQ!G13="","",PQ!G13)</f>
        <v/>
      </c>
      <c r="H8" s="46"/>
      <c r="I8" s="46"/>
      <c r="J8" s="46"/>
      <c r="K8" s="46"/>
      <c r="L8" s="46"/>
      <c r="M8" s="47">
        <f ca="1">SUBTOTAL(9,M9:M11)</f>
        <v>550507.65999999992</v>
      </c>
      <c r="N8" s="47">
        <f t="shared" ref="N8:Q8" ca="1" si="1">SUBTOTAL(9,N9:N11)</f>
        <v>0</v>
      </c>
      <c r="O8" s="47">
        <f t="shared" ca="1" si="1"/>
        <v>550507.65999999992</v>
      </c>
      <c r="P8" s="47">
        <f t="shared" ca="1" si="1"/>
        <v>0</v>
      </c>
      <c r="Q8" s="47">
        <f t="shared" ca="1" si="1"/>
        <v>0</v>
      </c>
      <c r="R8" s="125"/>
      <c r="S8" s="126"/>
    </row>
    <row r="9" spans="2:21" ht="19.899999999999999" customHeight="1" x14ac:dyDescent="0.25">
      <c r="B9" s="281" t="str">
        <f>HYPERLINK("#"&amp;"'"&amp;C9&amp;"'"&amp;"!A1","LINK")</f>
        <v>LINK</v>
      </c>
      <c r="C9" s="284" t="str">
        <f>IF(PQ!B14="","",PQ!B14)</f>
        <v>A.1</v>
      </c>
      <c r="D9" s="48" t="str">
        <f>IF(PQ!C14="","",PQ!C14)</f>
        <v>Mobilização e desmobilização</v>
      </c>
      <c r="E9" s="49" t="str">
        <f>IF(PQ!E14="","",PQ!E14)</f>
        <v>vb.</v>
      </c>
      <c r="F9" s="50">
        <f>IF(PQ!F14="","",PQ!F14)</f>
        <v>22570.81</v>
      </c>
      <c r="G9" s="367">
        <f>IF(PQ!G14="","",PQ!G14)</f>
        <v>1</v>
      </c>
      <c r="H9" s="293" cm="1">
        <f t="array" aca="1" ref="H9" ca="1">INDIRECT($C9&amp;"!E6")</f>
        <v>1</v>
      </c>
      <c r="I9" s="293" cm="1">
        <f t="array" aca="1" ref="I9" ca="1">INDIRECT($C9&amp;"!E9")</f>
        <v>0</v>
      </c>
      <c r="J9" s="293" cm="1">
        <f t="array" aca="1" ref="J9" ca="1">INDIRECT($C9&amp;"!E5")</f>
        <v>1</v>
      </c>
      <c r="K9" s="293" cm="1">
        <f t="array" aca="1" ref="K9" ca="1">INDIRECT($C9&amp;"!E7")</f>
        <v>0</v>
      </c>
      <c r="L9" s="293" cm="1">
        <f t="array" aca="1" ref="L9" ca="1">INDIRECT($C9&amp;"!E8")</f>
        <v>0</v>
      </c>
      <c r="M9" s="123" cm="1">
        <f t="array" aca="1" ref="M9" ca="1">INDIRECT($C9&amp;"!G6")</f>
        <v>22570.81</v>
      </c>
      <c r="N9" s="123" cm="1">
        <f t="array" aca="1" ref="N9" ca="1">INDIRECT($C9&amp;"!G9")</f>
        <v>0</v>
      </c>
      <c r="O9" s="123" cm="1">
        <f t="array" aca="1" ref="O9" ca="1">INDIRECT($C9&amp;"!G5")</f>
        <v>22570.81</v>
      </c>
      <c r="P9" s="123" cm="1">
        <f t="array" aca="1" ref="P9" ca="1">INDIRECT($C9&amp;"!G7")</f>
        <v>0</v>
      </c>
      <c r="Q9" s="123" cm="1">
        <f t="array" aca="1" ref="Q9" ca="1">INDIRECT($C9&amp;"!G8")</f>
        <v>0</v>
      </c>
      <c r="R9" s="368">
        <f ca="1">IF(ISERROR(J9/G9),0,J9/G9)</f>
        <v>1</v>
      </c>
      <c r="S9" s="369">
        <f ca="1">IF(R9&gt;1,R9-1,0)</f>
        <v>0</v>
      </c>
    </row>
    <row r="10" spans="2:21" ht="19.899999999999999" customHeight="1" x14ac:dyDescent="0.25">
      <c r="B10" s="282" t="str">
        <f>HYPERLINK("#"&amp;"'"&amp;C10&amp;"'"&amp;"!A1","LINK")</f>
        <v>LINK</v>
      </c>
      <c r="C10" s="285" t="str">
        <f>IF(PQ!B15="","",PQ!B15)</f>
        <v>A.2</v>
      </c>
      <c r="D10" s="51" t="str">
        <f>IF(PQ!C15="","",PQ!C15)</f>
        <v>Sinalização e desvio de tráfego</v>
      </c>
      <c r="E10" s="52" t="str">
        <f>IF(PQ!E15="","",PQ!E15)</f>
        <v>vb.</v>
      </c>
      <c r="F10" s="53">
        <f>IF(PQ!F15="","",PQ!F15)</f>
        <v>45141.63</v>
      </c>
      <c r="G10" s="290">
        <f>IF(PQ!G15="","",PQ!G15)</f>
        <v>1</v>
      </c>
      <c r="H10" s="294" cm="1">
        <f t="array" aca="1" ref="H10" ca="1">INDIRECT($C10&amp;"!E6")</f>
        <v>1</v>
      </c>
      <c r="I10" s="294" cm="1">
        <f t="array" aca="1" ref="I10" ca="1">INDIRECT($C10&amp;"!E9")</f>
        <v>0</v>
      </c>
      <c r="J10" s="294" cm="1">
        <f t="array" aca="1" ref="J10" ca="1">INDIRECT($C10&amp;"!E5")</f>
        <v>1</v>
      </c>
      <c r="K10" s="294" cm="1">
        <f t="array" aca="1" ref="K10" ca="1">INDIRECT($C10&amp;"!E7")</f>
        <v>0</v>
      </c>
      <c r="L10" s="294" cm="1">
        <f t="array" aca="1" ref="L10" ca="1">INDIRECT($C10&amp;"!E8")</f>
        <v>0</v>
      </c>
      <c r="M10" s="70" cm="1">
        <f t="array" aca="1" ref="M10" ca="1">INDIRECT($C10&amp;"!G6")</f>
        <v>45141.63</v>
      </c>
      <c r="N10" s="70" cm="1">
        <f t="array" aca="1" ref="N10" ca="1">INDIRECT($C10&amp;"!G9")</f>
        <v>0</v>
      </c>
      <c r="O10" s="70" cm="1">
        <f t="array" aca="1" ref="O10" ca="1">INDIRECT($C10&amp;"!G5")</f>
        <v>45141.63</v>
      </c>
      <c r="P10" s="70" cm="1">
        <f t="array" aca="1" ref="P10" ca="1">INDIRECT($C10&amp;"!G7")</f>
        <v>0</v>
      </c>
      <c r="Q10" s="70" cm="1">
        <f t="array" aca="1" ref="Q10" ca="1">INDIRECT($C10&amp;"!G8")</f>
        <v>0</v>
      </c>
      <c r="R10" s="370">
        <f ca="1">IF(ISERROR(J10/G10),0,J10/G10)</f>
        <v>1</v>
      </c>
      <c r="S10" s="128">
        <f ca="1">IF(R10&gt;1,R10-1,0)</f>
        <v>0</v>
      </c>
    </row>
    <row r="11" spans="2:21" ht="19.899999999999999" customHeight="1" x14ac:dyDescent="0.25">
      <c r="B11" s="283" t="str">
        <f>HYPERLINK("#"&amp;"'"&amp;C11&amp;"'"&amp;"!A1","LINK")</f>
        <v>LINK</v>
      </c>
      <c r="C11" s="286" t="str">
        <f>IF(PQ!B16="","",PQ!B16)</f>
        <v>A.3</v>
      </c>
      <c r="D11" s="55" t="str">
        <f>IF(PQ!C16="","",PQ!C16)</f>
        <v>Administração local</v>
      </c>
      <c r="E11" s="56" t="str">
        <f>IF(PQ!E16="","",PQ!E16)</f>
        <v>vb.</v>
      </c>
      <c r="F11" s="57">
        <f>IF(PQ!F16="","",PQ!F16)</f>
        <v>482795.22</v>
      </c>
      <c r="G11" s="371">
        <f>IF(PQ!G16="","",PQ!G16)</f>
        <v>1</v>
      </c>
      <c r="H11" s="295" cm="1">
        <f t="array" aca="1" ref="H11" ca="1">INDIRECT($C11&amp;"!E6")</f>
        <v>1</v>
      </c>
      <c r="I11" s="295" cm="1">
        <f t="array" aca="1" ref="I11" ca="1">INDIRECT($C11&amp;"!E9")</f>
        <v>0</v>
      </c>
      <c r="J11" s="295" cm="1">
        <f t="array" aca="1" ref="J11" ca="1">INDIRECT($C11&amp;"!E5")</f>
        <v>1</v>
      </c>
      <c r="K11" s="295" cm="1">
        <f t="array" aca="1" ref="K11" ca="1">INDIRECT($C11&amp;"!E7")</f>
        <v>0</v>
      </c>
      <c r="L11" s="295" cm="1">
        <f t="array" aca="1" ref="L11" ca="1">INDIRECT($C11&amp;"!E8")</f>
        <v>0</v>
      </c>
      <c r="M11" s="124" cm="1">
        <f t="array" aca="1" ref="M11" ca="1">INDIRECT($C11&amp;"!G6")</f>
        <v>482795.22</v>
      </c>
      <c r="N11" s="124" cm="1">
        <f t="array" aca="1" ref="N11" ca="1">INDIRECT($C11&amp;"!G9")</f>
        <v>0</v>
      </c>
      <c r="O11" s="124" cm="1">
        <f t="array" aca="1" ref="O11" ca="1">INDIRECT($C11&amp;"!G5")</f>
        <v>482795.22</v>
      </c>
      <c r="P11" s="124" cm="1">
        <f t="array" aca="1" ref="P11" ca="1">INDIRECT($C11&amp;"!G7")</f>
        <v>0</v>
      </c>
      <c r="Q11" s="124" cm="1">
        <f t="array" aca="1" ref="Q11" ca="1">INDIRECT($C11&amp;"!G8")</f>
        <v>0</v>
      </c>
      <c r="R11" s="372">
        <f ca="1">IF(ISERROR(J11/G11),0,J11/G11)</f>
        <v>1</v>
      </c>
      <c r="S11" s="316">
        <f ca="1">IF(R11&gt;1,R11-1,0)</f>
        <v>0</v>
      </c>
    </row>
    <row r="12" spans="2:21" ht="19.899999999999999" customHeight="1" x14ac:dyDescent="0.25">
      <c r="B12" s="114"/>
      <c r="C12" s="276" t="str">
        <f>IF(PQ!B17="","",PQ!B17)</f>
        <v>B.</v>
      </c>
      <c r="D12" s="59" t="str">
        <f>IF(PQ!C17="","",PQ!C17)</f>
        <v>Estabilização de Talude</v>
      </c>
      <c r="E12" s="60" t="str">
        <f>IF(PQ!E17="","",PQ!E17)</f>
        <v/>
      </c>
      <c r="F12" s="61" t="str">
        <f>IF(PQ!F17="","",PQ!F17)</f>
        <v/>
      </c>
      <c r="G12" s="291" t="str">
        <f>IF(PQ!G17="","",PQ!G17)</f>
        <v/>
      </c>
      <c r="H12" s="291"/>
      <c r="I12" s="291"/>
      <c r="J12" s="291"/>
      <c r="K12" s="291"/>
      <c r="L12" s="291"/>
      <c r="M12" s="73">
        <f ca="1">SUBTOTAL(9,M13:M35)</f>
        <v>1998206.6162941041</v>
      </c>
      <c r="N12" s="73">
        <f t="shared" ref="N12:Q12" ca="1" si="2">SUBTOTAL(9,N13:N35)</f>
        <v>1870605.7726725701</v>
      </c>
      <c r="O12" s="73">
        <f t="shared" ca="1" si="2"/>
        <v>3868812.388966674</v>
      </c>
      <c r="P12" s="73">
        <f t="shared" ca="1" si="2"/>
        <v>-193535.01896667428</v>
      </c>
      <c r="Q12" s="73">
        <f t="shared" ca="1" si="2"/>
        <v>171481.91647774004</v>
      </c>
      <c r="R12" s="73"/>
      <c r="S12" s="74"/>
    </row>
    <row r="13" spans="2:21" ht="19.899999999999999" customHeight="1" x14ac:dyDescent="0.25">
      <c r="B13" s="115"/>
      <c r="C13" s="277" t="str">
        <f>IF(PQ!B18="","",PQ!B18)</f>
        <v>B.1</v>
      </c>
      <c r="D13" s="63" t="str">
        <f>IF(PQ!C18="","",PQ!C18)</f>
        <v>Terraplenagem</v>
      </c>
      <c r="E13" s="64" t="str">
        <f>IF(PQ!E18="","",PQ!E18)</f>
        <v/>
      </c>
      <c r="F13" s="65" t="str">
        <f>IF(PQ!F18="","",PQ!F18)</f>
        <v/>
      </c>
      <c r="G13" s="292" t="str">
        <f>IF(PQ!G18="","",PQ!G18)</f>
        <v/>
      </c>
      <c r="H13" s="292"/>
      <c r="I13" s="292"/>
      <c r="J13" s="292"/>
      <c r="K13" s="292"/>
      <c r="L13" s="292"/>
      <c r="M13" s="72">
        <f ca="1">SUBTOTAL(9,M14:M22)</f>
        <v>1764483.6982941041</v>
      </c>
      <c r="N13" s="72">
        <f t="shared" ref="N13:Q13" ca="1" si="3">SUBTOTAL(9,N14:N22)</f>
        <v>877293.30895031011</v>
      </c>
      <c r="O13" s="72">
        <f t="shared" ca="1" si="3"/>
        <v>2641777.0072444142</v>
      </c>
      <c r="P13" s="72">
        <f t="shared" ca="1" si="3"/>
        <v>84576.262755585747</v>
      </c>
      <c r="Q13" s="72">
        <f t="shared" ca="1" si="3"/>
        <v>0</v>
      </c>
      <c r="R13" s="127"/>
      <c r="S13" s="75"/>
    </row>
    <row r="14" spans="2:21" ht="19.899999999999999" customHeight="1" x14ac:dyDescent="0.25">
      <c r="B14" s="281" t="str">
        <f t="shared" ref="B14:B22" si="4">HYPERLINK("#"&amp;"'"&amp;C14&amp;"'"&amp;"!A1","LINK")</f>
        <v>LINK</v>
      </c>
      <c r="C14" s="284" t="str">
        <f>IF(PQ!B19="","",PQ!B19)</f>
        <v>B.1.1</v>
      </c>
      <c r="D14" s="51" t="str">
        <f>IF(PQ!C19="","",PQ!C19)</f>
        <v>Escavação, carga e transporte de material de 1ª categoria - DMT de 800 a 1.000 m - caminho de serviço pavimentado - com escavadeira e caminhão basculante de 14 m³</v>
      </c>
      <c r="E14" s="66" t="str">
        <f>IF(PQ!E19="","",PQ!E19)</f>
        <v>m³</v>
      </c>
      <c r="F14" s="53">
        <f>IF(PQ!F19="","",PQ!F19)</f>
        <v>0</v>
      </c>
      <c r="G14" s="367">
        <f>IF(PQ!G19="","",PQ!G19)</f>
        <v>0</v>
      </c>
      <c r="H14" s="293" cm="1">
        <f t="array" aca="1" ref="H14" ca="1">INDIRECT($C14&amp;"!E6")</f>
        <v>0</v>
      </c>
      <c r="I14" s="293" cm="1">
        <f t="array" aca="1" ref="I14" ca="1">INDIRECT($C14&amp;"!E9")</f>
        <v>0</v>
      </c>
      <c r="J14" s="293" cm="1">
        <f t="array" aca="1" ref="J14" ca="1">INDIRECT($C14&amp;"!E5")</f>
        <v>0</v>
      </c>
      <c r="K14" s="293" cm="1">
        <f t="array" aca="1" ref="K14" ca="1">INDIRECT($C14&amp;"!E7")</f>
        <v>0</v>
      </c>
      <c r="L14" s="293" cm="1">
        <f t="array" aca="1" ref="L14" ca="1">INDIRECT($C14&amp;"!E8")</f>
        <v>0</v>
      </c>
      <c r="M14" s="123" cm="1">
        <f t="array" aca="1" ref="M14" ca="1">INDIRECT($C14&amp;"!G6")</f>
        <v>0</v>
      </c>
      <c r="N14" s="123" cm="1">
        <f t="array" aca="1" ref="N14" ca="1">INDIRECT($C14&amp;"!G9")</f>
        <v>0</v>
      </c>
      <c r="O14" s="123" cm="1">
        <f t="array" aca="1" ref="O14" ca="1">INDIRECT($C14&amp;"!G5")</f>
        <v>0</v>
      </c>
      <c r="P14" s="123" cm="1">
        <f t="array" aca="1" ref="P14" ca="1">INDIRECT($C14&amp;"!G7")</f>
        <v>0</v>
      </c>
      <c r="Q14" s="123" cm="1">
        <f t="array" aca="1" ref="Q14" ca="1">INDIRECT($C14&amp;"!G8")</f>
        <v>0</v>
      </c>
      <c r="R14" s="368">
        <f t="shared" ref="R14:R22" ca="1" si="5">IF(ISERROR(J14/G14),0,J14/G14)</f>
        <v>0</v>
      </c>
      <c r="S14" s="369">
        <f t="shared" ref="S14:S22" ca="1" si="6">IF(R14&gt;1,R14-1,0)</f>
        <v>0</v>
      </c>
    </row>
    <row r="15" spans="2:21" ht="19.899999999999999" customHeight="1" x14ac:dyDescent="0.25">
      <c r="B15" s="282" t="str">
        <f t="shared" si="4"/>
        <v>LINK</v>
      </c>
      <c r="C15" s="285" t="str">
        <f>IF(PQ!B20="","",PQ!B20)</f>
        <v>B.1.2</v>
      </c>
      <c r="D15" s="51" t="str">
        <f>IF(PQ!C20="","",PQ!C20)</f>
        <v>Escavação e carga de material de 1ª categoria - DMT acima de 3.000 m</v>
      </c>
      <c r="E15" s="66" t="str">
        <f>IF(PQ!E20="","",PQ!E20)</f>
        <v>m³</v>
      </c>
      <c r="F15" s="53">
        <f>IF(PQ!F20="","",PQ!F20)</f>
        <v>15.863259847492401</v>
      </c>
      <c r="G15" s="290">
        <f>IF(PQ!G20="","",PQ!G20)</f>
        <v>72616.710000000006</v>
      </c>
      <c r="H15" s="294" cm="1">
        <f t="array" aca="1" ref="H15" ca="1">INDIRECT($C15&amp;"!E6")</f>
        <v>62616.71</v>
      </c>
      <c r="I15" s="294" cm="1">
        <f t="array" aca="1" ref="I15" ca="1">INDIRECT($C15&amp;"!E9")</f>
        <v>6145.8159999999989</v>
      </c>
      <c r="J15" s="294" cm="1">
        <f t="array" aca="1" ref="J15" ca="1">INDIRECT($C15&amp;"!E5")</f>
        <v>68762.525999999998</v>
      </c>
      <c r="K15" s="294" cm="1">
        <f t="array" aca="1" ref="K15" ca="1">INDIRECT($C15&amp;"!E7")</f>
        <v>3854.1840000000084</v>
      </c>
      <c r="L15" s="294" cm="1">
        <f t="array" aca="1" ref="L15" ca="1">INDIRECT($C15&amp;"!E8")</f>
        <v>0</v>
      </c>
      <c r="M15" s="70" cm="1">
        <f t="array" aca="1" ref="M15" ca="1">INDIRECT($C15&amp;"!G6")</f>
        <v>993305.14152507589</v>
      </c>
      <c r="N15" s="70" cm="1">
        <f t="array" aca="1" ref="N15" ca="1">INDIRECT($C15&amp;"!G9")</f>
        <v>97492.676182876341</v>
      </c>
      <c r="O15" s="70" cm="1">
        <f t="array" aca="1" ref="O15" ca="1">INDIRECT($C15&amp;"!G5")</f>
        <v>1090797.8177079521</v>
      </c>
      <c r="P15" s="70" cm="1">
        <f t="array" aca="1" ref="P15" ca="1">INDIRECT($C15&amp;"!G7")</f>
        <v>61139.922292047784</v>
      </c>
      <c r="Q15" s="70" cm="1">
        <f t="array" aca="1" ref="Q15" ca="1">INDIRECT($C15&amp;"!G8")</f>
        <v>0</v>
      </c>
      <c r="R15" s="370">
        <f t="shared" ca="1" si="5"/>
        <v>0.94692428230361847</v>
      </c>
      <c r="S15" s="128">
        <f t="shared" ca="1" si="6"/>
        <v>0</v>
      </c>
    </row>
    <row r="16" spans="2:21" ht="19.899999999999999" customHeight="1" x14ac:dyDescent="0.25">
      <c r="B16" s="282" t="str">
        <f t="shared" si="4"/>
        <v>LINK</v>
      </c>
      <c r="C16" s="285" t="str">
        <f>IF(PQ!B21="","",PQ!B21)</f>
        <v>B.1.3</v>
      </c>
      <c r="D16" s="51" t="str">
        <f>IF(PQ!C21="","",PQ!C21)</f>
        <v>Transporte com caminhão basculante de 10 m³ - rodovia pavimentada (DMT 5 Km)</v>
      </c>
      <c r="E16" s="66" t="str">
        <f>IF(PQ!E21="","",PQ!E21)</f>
        <v>T x Km</v>
      </c>
      <c r="F16" s="53">
        <f>IF(PQ!F21="","",PQ!F21)</f>
        <v>1.0278798988812379</v>
      </c>
      <c r="G16" s="290">
        <f>IF(PQ!G21="","",PQ!G21)</f>
        <v>543194.93999999994</v>
      </c>
      <c r="H16" s="294" cm="1">
        <f t="array" aca="1" ref="H16" ca="1">INDIRECT($C16&amp;"!E6")</f>
        <v>483457.85717268003</v>
      </c>
      <c r="I16" s="294" cm="1">
        <f t="array" aca="1" ref="I16" ca="1">INDIRECT($C16&amp;"!E9")</f>
        <v>47451.279920927998</v>
      </c>
      <c r="J16" s="294" cm="1">
        <f t="array" aca="1" ref="J16" ca="1">INDIRECT($C16&amp;"!E5")</f>
        <v>530909.13709360803</v>
      </c>
      <c r="K16" s="294" cm="1">
        <f t="array" aca="1" ref="K16" ca="1">INDIRECT($C16&amp;"!E7")</f>
        <v>12285.802906391909</v>
      </c>
      <c r="L16" s="294" cm="1">
        <f t="array" aca="1" ref="L16" ca="1">INDIRECT($C16&amp;"!E8")</f>
        <v>0</v>
      </c>
      <c r="M16" s="70" cm="1">
        <f t="array" aca="1" ref="M16" ca="1">INDIRECT($C16&amp;"!G6")</f>
        <v>496936.61334399431</v>
      </c>
      <c r="N16" s="70" cm="1">
        <f t="array" aca="1" ref="N16" ca="1">INDIRECT($C16&amp;"!G9")</f>
        <v>48774.216806908786</v>
      </c>
      <c r="O16" s="70" cm="1">
        <f t="array" aca="1" ref="O16" ca="1">INDIRECT($C16&amp;"!G5")</f>
        <v>545710.83015090309</v>
      </c>
      <c r="P16" s="70" cm="1">
        <f t="array" aca="1" ref="P16" ca="1">INDIRECT($C16&amp;"!G7")</f>
        <v>12628.329849096934</v>
      </c>
      <c r="Q16" s="70" cm="1">
        <f t="array" aca="1" ref="Q16" ca="1">INDIRECT($C16&amp;"!G8")</f>
        <v>0</v>
      </c>
      <c r="R16" s="370">
        <f t="shared" ca="1" si="5"/>
        <v>0.9773823318265964</v>
      </c>
      <c r="S16" s="128">
        <f t="shared" ca="1" si="6"/>
        <v>0</v>
      </c>
    </row>
    <row r="17" spans="2:19" ht="19.899999999999999" customHeight="1" x14ac:dyDescent="0.25">
      <c r="B17" s="282" t="str">
        <f t="shared" si="4"/>
        <v>LINK</v>
      </c>
      <c r="C17" s="285" t="str">
        <f>IF(PQ!B22="","",PQ!B22)</f>
        <v>B.1.4</v>
      </c>
      <c r="D17" s="51" t="str">
        <f>IF(PQ!C22="","",PQ!C22)</f>
        <v>Regularização de bota-fora com espalhamento e execução de hidrossemeadura</v>
      </c>
      <c r="E17" s="66" t="str">
        <f>IF(PQ!E22="","",PQ!E22)</f>
        <v>m³</v>
      </c>
      <c r="F17" s="53">
        <f>IF(PQ!F22="","",PQ!F22)</f>
        <v>0</v>
      </c>
      <c r="G17" s="290">
        <f>IF(PQ!G22="","",PQ!G22)</f>
        <v>0</v>
      </c>
      <c r="H17" s="294" cm="1">
        <f t="array" aca="1" ref="H17" ca="1">INDIRECT($C17&amp;"!E6")</f>
        <v>0</v>
      </c>
      <c r="I17" s="294" cm="1">
        <f t="array" aca="1" ref="I17" ca="1">INDIRECT($C17&amp;"!E9")</f>
        <v>0</v>
      </c>
      <c r="J17" s="294" cm="1">
        <f t="array" aca="1" ref="J17" ca="1">INDIRECT($C17&amp;"!E5")</f>
        <v>0</v>
      </c>
      <c r="K17" s="294" cm="1">
        <f t="array" aca="1" ref="K17" ca="1">INDIRECT($C17&amp;"!E7")</f>
        <v>0</v>
      </c>
      <c r="L17" s="294" cm="1">
        <f t="array" aca="1" ref="L17" ca="1">INDIRECT($C17&amp;"!E8")</f>
        <v>0</v>
      </c>
      <c r="M17" s="70" cm="1">
        <f t="array" aca="1" ref="M17" ca="1">INDIRECT($C17&amp;"!G6")</f>
        <v>0</v>
      </c>
      <c r="N17" s="70" cm="1">
        <f t="array" aca="1" ref="N17" ca="1">INDIRECT($C17&amp;"!G9")</f>
        <v>0</v>
      </c>
      <c r="O17" s="70" cm="1">
        <f t="array" aca="1" ref="O17" ca="1">INDIRECT($C17&amp;"!G5")</f>
        <v>0</v>
      </c>
      <c r="P17" s="70" cm="1">
        <f t="array" aca="1" ref="P17" ca="1">INDIRECT($C17&amp;"!G7")</f>
        <v>0</v>
      </c>
      <c r="Q17" s="70" cm="1">
        <f t="array" aca="1" ref="Q17" ca="1">INDIRECT($C17&amp;"!G8")</f>
        <v>0</v>
      </c>
      <c r="R17" s="370">
        <f t="shared" ca="1" si="5"/>
        <v>0</v>
      </c>
      <c r="S17" s="128">
        <f t="shared" ca="1" si="6"/>
        <v>0</v>
      </c>
    </row>
    <row r="18" spans="2:19" ht="19.899999999999999" customHeight="1" x14ac:dyDescent="0.25">
      <c r="B18" s="282" t="str">
        <f t="shared" si="4"/>
        <v>LINK</v>
      </c>
      <c r="C18" s="285" t="str">
        <f>IF(PQ!B23="","",PQ!B23)</f>
        <v>B.1.5</v>
      </c>
      <c r="D18" s="51" t="str">
        <f>IF(PQ!C23="","",PQ!C23)</f>
        <v>Royaltie de bota-fora</v>
      </c>
      <c r="E18" s="66" t="str">
        <f>IF(PQ!E23="","",PQ!E23)</f>
        <v>m³</v>
      </c>
      <c r="F18" s="53">
        <f>IF(PQ!F23="","",PQ!F23)</f>
        <v>0</v>
      </c>
      <c r="G18" s="290">
        <f>IF(PQ!G23="","",PQ!G23)</f>
        <v>0</v>
      </c>
      <c r="H18" s="294" cm="1">
        <f t="array" aca="1" ref="H18" ca="1">INDIRECT($C18&amp;"!E6")</f>
        <v>0</v>
      </c>
      <c r="I18" s="294" cm="1">
        <f t="array" aca="1" ref="I18" ca="1">INDIRECT($C18&amp;"!E9")</f>
        <v>0</v>
      </c>
      <c r="J18" s="294" cm="1">
        <f t="array" aca="1" ref="J18" ca="1">INDIRECT($C18&amp;"!E5")</f>
        <v>0</v>
      </c>
      <c r="K18" s="294" cm="1">
        <f t="array" aca="1" ref="K18" ca="1">INDIRECT($C18&amp;"!E7")</f>
        <v>0</v>
      </c>
      <c r="L18" s="294" cm="1">
        <f t="array" aca="1" ref="L18" ca="1">INDIRECT($C18&amp;"!E8")</f>
        <v>0</v>
      </c>
      <c r="M18" s="70" cm="1">
        <f t="array" aca="1" ref="M18" ca="1">INDIRECT($C18&amp;"!G6")</f>
        <v>0</v>
      </c>
      <c r="N18" s="70" cm="1">
        <f t="array" aca="1" ref="N18" ca="1">INDIRECT($C18&amp;"!G9")</f>
        <v>0</v>
      </c>
      <c r="O18" s="70" cm="1">
        <f t="array" aca="1" ref="O18" ca="1">INDIRECT($C18&amp;"!G5")</f>
        <v>0</v>
      </c>
      <c r="P18" s="70" cm="1">
        <f t="array" aca="1" ref="P18" ca="1">INDIRECT($C18&amp;"!G7")</f>
        <v>0</v>
      </c>
      <c r="Q18" s="70" cm="1">
        <f t="array" aca="1" ref="Q18" ca="1">INDIRECT($C18&amp;"!G8")</f>
        <v>0</v>
      </c>
      <c r="R18" s="370">
        <f t="shared" ca="1" si="5"/>
        <v>0</v>
      </c>
      <c r="S18" s="128">
        <f t="shared" ca="1" si="6"/>
        <v>0</v>
      </c>
    </row>
    <row r="19" spans="2:19" ht="19.899999999999999" customHeight="1" x14ac:dyDescent="0.25">
      <c r="B19" s="282" t="str">
        <f t="shared" si="4"/>
        <v>LINK</v>
      </c>
      <c r="C19" s="285" t="str">
        <f>IF(PQ!B24="","",PQ!B24)</f>
        <v>B.1.6</v>
      </c>
      <c r="D19" s="51" t="str">
        <f>IF(PQ!C24="","",PQ!C24)</f>
        <v>Desmatamento, destocamento, limpeza de área e estocagem do material de limpeza com árvores de diâmetro até 0,15 m</v>
      </c>
      <c r="E19" s="66" t="str">
        <f>IF(PQ!E24="","",PQ!E24)</f>
        <v>m²</v>
      </c>
      <c r="F19" s="53">
        <f>IF(PQ!F24="","",PQ!F24)</f>
        <v>0.85999993155829779</v>
      </c>
      <c r="G19" s="290">
        <f>IF(PQ!G24="","",PQ!G24)</f>
        <v>23377.56</v>
      </c>
      <c r="H19" s="294" cm="1">
        <f t="array" aca="1" ref="H19" ca="1">INDIRECT($C19&amp;"!E6")</f>
        <v>0</v>
      </c>
      <c r="I19" s="294" cm="1">
        <f t="array" aca="1" ref="I19" ca="1">INDIRECT($C19&amp;"!E9")</f>
        <v>21252.33</v>
      </c>
      <c r="J19" s="294" cm="1">
        <f t="array" aca="1" ref="J19" ca="1">INDIRECT($C19&amp;"!E5")</f>
        <v>21252.33</v>
      </c>
      <c r="K19" s="294" cm="1">
        <f t="array" aca="1" ref="K19" ca="1">INDIRECT($C19&amp;"!E7")</f>
        <v>2125.2299999999996</v>
      </c>
      <c r="L19" s="294" cm="1">
        <f t="array" aca="1" ref="L19" ca="1">INDIRECT($C19&amp;"!E8")</f>
        <v>0</v>
      </c>
      <c r="M19" s="70" cm="1">
        <f t="array" aca="1" ref="M19" ca="1">INDIRECT($C19&amp;"!G6")</f>
        <v>0</v>
      </c>
      <c r="N19" s="70" cm="1">
        <f t="array" aca="1" ref="N19" ca="1">INDIRECT($C19&amp;"!G9")</f>
        <v>18277.002345454359</v>
      </c>
      <c r="O19" s="70" cm="1">
        <f t="array" aca="1" ref="O19" ca="1">INDIRECT($C19&amp;"!G5")</f>
        <v>18277.002345454359</v>
      </c>
      <c r="P19" s="70" cm="1">
        <f t="array" aca="1" ref="P19" ca="1">INDIRECT($C19&amp;"!G7")</f>
        <v>1827.6976545456409</v>
      </c>
      <c r="Q19" s="70" cm="1">
        <f t="array" aca="1" ref="Q19" ca="1">INDIRECT($C19&amp;"!G8")</f>
        <v>0</v>
      </c>
      <c r="R19" s="370">
        <f t="shared" ca="1" si="5"/>
        <v>0.90909102575290157</v>
      </c>
      <c r="S19" s="128">
        <f t="shared" ca="1" si="6"/>
        <v>0</v>
      </c>
    </row>
    <row r="20" spans="2:19" ht="19.899999999999999" customHeight="1" x14ac:dyDescent="0.25">
      <c r="B20" s="282" t="str">
        <f t="shared" si="4"/>
        <v>LINK</v>
      </c>
      <c r="C20" s="285" t="str">
        <f>IF(PQ!B25="","",PQ!B25)</f>
        <v>B.1.7</v>
      </c>
      <c r="D20" s="51" t="str">
        <f>IF(PQ!C25="","",PQ!C25)</f>
        <v>Escavação, carga e transporte de material de 1ª categoria - DMT de 1.400 a 1.600 m - caminho de serviço pavimentado - com escavadeira e caminhão basculante de 14 m³</v>
      </c>
      <c r="E20" s="66" t="str">
        <f>IF(PQ!E25="","",PQ!E25)</f>
        <v>m³</v>
      </c>
      <c r="F20" s="53">
        <f>IF(PQ!F25="","",PQ!F25)</f>
        <v>12.629999255678177</v>
      </c>
      <c r="G20" s="290">
        <f>IF(PQ!G25="","",PQ!G25)</f>
        <v>55083.7</v>
      </c>
      <c r="H20" s="294" cm="1">
        <f t="array" aca="1" ref="H20" ca="1">INDIRECT($C20&amp;"!E6")</f>
        <v>0</v>
      </c>
      <c r="I20" s="294" cm="1">
        <f t="array" aca="1" ref="I20" ca="1">INDIRECT($C20&amp;"!E9")</f>
        <v>55083.697</v>
      </c>
      <c r="J20" s="294" cm="1">
        <f t="array" aca="1" ref="J20" ca="1">INDIRECT($C20&amp;"!E5")</f>
        <v>55083.697</v>
      </c>
      <c r="K20" s="294" cm="1">
        <f t="array" aca="1" ref="K20" ca="1">INDIRECT($C20&amp;"!E7")</f>
        <v>2.9999999969732016E-3</v>
      </c>
      <c r="L20" s="294" cm="1">
        <f t="array" aca="1" ref="L20" ca="1">INDIRECT($C20&amp;"!E8")</f>
        <v>0</v>
      </c>
      <c r="M20" s="70" cm="1">
        <f t="array" aca="1" ref="M20" ca="1">INDIRECT($C20&amp;"!G6")</f>
        <v>0</v>
      </c>
      <c r="N20" s="70" cm="1">
        <f t="array" aca="1" ref="N20" ca="1">INDIRECT($C20&amp;"!G9")</f>
        <v>695707.05211000226</v>
      </c>
      <c r="O20" s="70" cm="1">
        <f t="array" aca="1" ref="O20" ca="1">INDIRECT($C20&amp;"!G5")</f>
        <v>695707.05211000226</v>
      </c>
      <c r="P20" s="70" cm="1">
        <f t="array" aca="1" ref="P20" ca="1">INDIRECT($C20&amp;"!G7")</f>
        <v>3.7889997728806073E-2</v>
      </c>
      <c r="Q20" s="70" cm="1">
        <f t="array" aca="1" ref="Q20" ca="1">INDIRECT($C20&amp;"!G8")</f>
        <v>0</v>
      </c>
      <c r="R20" s="370">
        <f t="shared" ca="1" si="5"/>
        <v>0.99999994553742766</v>
      </c>
      <c r="S20" s="128">
        <f t="shared" ca="1" si="6"/>
        <v>0</v>
      </c>
    </row>
    <row r="21" spans="2:19" ht="19.899999999999999" customHeight="1" x14ac:dyDescent="0.25">
      <c r="B21" s="282" t="str">
        <f t="shared" si="4"/>
        <v>LINK</v>
      </c>
      <c r="C21" s="285" t="str">
        <f>IF(PQ!B26="","",PQ!B26)</f>
        <v>B.1.8</v>
      </c>
      <c r="D21" s="51" t="str">
        <f>IF(PQ!C26="","",PQ!C26)</f>
        <v>Escavação e carga de material de 2ª categoria - DMT acima de 3.000 m</v>
      </c>
      <c r="E21" s="66" t="str">
        <f>IF(PQ!E26="","",PQ!E26)</f>
        <v>m³</v>
      </c>
      <c r="F21" s="53">
        <f>IF(PQ!F26="","",PQ!F26)</f>
        <v>19.519859478061374</v>
      </c>
      <c r="G21" s="290">
        <f>IF(PQ!G26="","",PQ!G26)</f>
        <v>139.47999999999999</v>
      </c>
      <c r="H21" s="294" cm="1">
        <f t="array" aca="1" ref="H21" ca="1">INDIRECT($C21&amp;"!E6")</f>
        <v>0</v>
      </c>
      <c r="I21" s="294" cm="1">
        <f t="array" aca="1" ref="I21" ca="1">INDIRECT($C21&amp;"!E9")</f>
        <v>139.47900000000001</v>
      </c>
      <c r="J21" s="294" cm="1">
        <f t="array" aca="1" ref="J21" ca="1">INDIRECT($C21&amp;"!E5")</f>
        <v>139.47900000000001</v>
      </c>
      <c r="K21" s="294" cm="1">
        <f t="array" aca="1" ref="K21" ca="1">INDIRECT($C21&amp;"!E7")</f>
        <v>9.9999999997635314E-4</v>
      </c>
      <c r="L21" s="294" cm="1">
        <f t="array" aca="1" ref="L21" ca="1">INDIRECT($C21&amp;"!E8")</f>
        <v>0</v>
      </c>
      <c r="M21" s="70" cm="1">
        <f t="array" aca="1" ref="M21" ca="1">INDIRECT($C21&amp;"!G6")</f>
        <v>0</v>
      </c>
      <c r="N21" s="70" cm="1">
        <f t="array" aca="1" ref="N21" ca="1">INDIRECT($C21&amp;"!G9")</f>
        <v>2722.6104801405227</v>
      </c>
      <c r="O21" s="70" cm="1">
        <f t="array" aca="1" ref="O21" ca="1">INDIRECT($C21&amp;"!G5")</f>
        <v>2722.6104801405227</v>
      </c>
      <c r="P21" s="70" cm="1">
        <f t="array" aca="1" ref="P21" ca="1">INDIRECT($C21&amp;"!G7")</f>
        <v>1.951985947759979E-2</v>
      </c>
      <c r="Q21" s="70" cm="1">
        <f t="array" aca="1" ref="Q21" ca="1">INDIRECT($C21&amp;"!G8")</f>
        <v>0</v>
      </c>
      <c r="R21" s="370">
        <f t="shared" ca="1" si="5"/>
        <v>0.99999283051333543</v>
      </c>
      <c r="S21" s="128">
        <f t="shared" ca="1" si="6"/>
        <v>0</v>
      </c>
    </row>
    <row r="22" spans="2:19" ht="19.899999999999999" customHeight="1" x14ac:dyDescent="0.25">
      <c r="B22" s="283" t="str">
        <f t="shared" si="4"/>
        <v>LINK</v>
      </c>
      <c r="C22" s="286" t="str">
        <f>IF(PQ!B27="","",PQ!B27)</f>
        <v>B.1.9</v>
      </c>
      <c r="D22" s="51" t="str">
        <f>IF(PQ!C27="","",PQ!C27)</f>
        <v>Regularização de bota-fora</v>
      </c>
      <c r="E22" s="66" t="str">
        <f>IF(PQ!E27="","",PQ!E27)</f>
        <v>m³</v>
      </c>
      <c r="F22" s="53">
        <f>IF(PQ!F27="","",PQ!F27)</f>
        <v>2.3299999584966096</v>
      </c>
      <c r="G22" s="371">
        <f>IF(PQ!G27="","",PQ!G27)</f>
        <v>127700.41</v>
      </c>
      <c r="H22" s="295" cm="1">
        <f t="array" aca="1" ref="H22" ca="1">INDIRECT($C22&amp;"!E6")</f>
        <v>117700.40700000001</v>
      </c>
      <c r="I22" s="295" cm="1">
        <f t="array" aca="1" ref="I22" ca="1">INDIRECT($C22&amp;"!E9")</f>
        <v>6145.8159999999989</v>
      </c>
      <c r="J22" s="295" cm="1">
        <f t="array" aca="1" ref="J22" ca="1">INDIRECT($C22&amp;"!E5")</f>
        <v>123846.223</v>
      </c>
      <c r="K22" s="295" cm="1">
        <f t="array" aca="1" ref="K22" ca="1">INDIRECT($C22&amp;"!E7")</f>
        <v>3854.1870000000054</v>
      </c>
      <c r="L22" s="295" cm="1">
        <f t="array" aca="1" ref="L22" ca="1">INDIRECT($C22&amp;"!E8")</f>
        <v>0</v>
      </c>
      <c r="M22" s="124" cm="1">
        <f t="array" aca="1" ref="M22" ca="1">INDIRECT($C22&amp;"!G6")</f>
        <v>274241.94342503406</v>
      </c>
      <c r="N22" s="124" cm="1">
        <f t="array" aca="1" ref="N22" ca="1">INDIRECT($C22&amp;"!G9")</f>
        <v>14319.751024927797</v>
      </c>
      <c r="O22" s="124" cm="1">
        <f t="array" aca="1" ref="O22" ca="1">INDIRECT($C22&amp;"!G5")</f>
        <v>288561.69444996183</v>
      </c>
      <c r="P22" s="124" cm="1">
        <f t="array" aca="1" ref="P22" ca="1">INDIRECT($C22&amp;"!G7")</f>
        <v>8980.2555500381841</v>
      </c>
      <c r="Q22" s="124" cm="1">
        <f t="array" aca="1" ref="Q22" ca="1">INDIRECT($C22&amp;"!G8")</f>
        <v>0</v>
      </c>
      <c r="R22" s="372">
        <f t="shared" ca="1" si="5"/>
        <v>0.96981852290059201</v>
      </c>
      <c r="S22" s="316">
        <f t="shared" ca="1" si="6"/>
        <v>0</v>
      </c>
    </row>
    <row r="23" spans="2:19" ht="19.899999999999999" customHeight="1" x14ac:dyDescent="0.25">
      <c r="B23" s="115"/>
      <c r="C23" s="277" t="str">
        <f>IF(PQ!B28="","",PQ!B28)</f>
        <v>B.2</v>
      </c>
      <c r="D23" s="63" t="str">
        <f>IF(PQ!C28="","",PQ!C28)</f>
        <v>Drenagem e OACs</v>
      </c>
      <c r="E23" s="64" t="str">
        <f>IF(PQ!E28="","",PQ!E28)</f>
        <v/>
      </c>
      <c r="F23" s="65" t="str">
        <f>IF(PQ!F28="","",PQ!F28)</f>
        <v/>
      </c>
      <c r="G23" s="292" t="str">
        <f>IF(PQ!G28="","",PQ!G28)</f>
        <v/>
      </c>
      <c r="H23" s="292"/>
      <c r="I23" s="292"/>
      <c r="J23" s="292"/>
      <c r="K23" s="292"/>
      <c r="L23" s="292"/>
      <c r="M23" s="72">
        <f ca="1">SUBTOTAL(9,M24:M32)</f>
        <v>0</v>
      </c>
      <c r="N23" s="72">
        <f t="shared" ref="N23:Q23" ca="1" si="7">SUBTOTAL(9,N24:N32)</f>
        <v>372089.89349999995</v>
      </c>
      <c r="O23" s="72">
        <f t="shared" ca="1" si="7"/>
        <v>372089.89349999995</v>
      </c>
      <c r="P23" s="72">
        <f t="shared" ca="1" si="7"/>
        <v>177834.20650000006</v>
      </c>
      <c r="Q23" s="72">
        <f t="shared" ca="1" si="7"/>
        <v>0</v>
      </c>
      <c r="R23" s="127"/>
      <c r="S23" s="75"/>
    </row>
    <row r="24" spans="2:19" ht="19.899999999999999" customHeight="1" x14ac:dyDescent="0.25">
      <c r="B24" s="281" t="str">
        <f t="shared" ref="B24:B32" si="8">HYPERLINK("#"&amp;"'"&amp;C24&amp;"'"&amp;"!A1","LINK")</f>
        <v>LINK</v>
      </c>
      <c r="C24" s="284" t="str">
        <f>IF(PQ!B29="","",PQ!B29)</f>
        <v>B.2.1</v>
      </c>
      <c r="D24" s="51" t="str">
        <f>IF(PQ!C29="","",PQ!C29)</f>
        <v>Demolição de dispositivos de drenagem</v>
      </c>
      <c r="E24" s="66" t="str">
        <f>IF(PQ!E29="","",PQ!E29)</f>
        <v>m³</v>
      </c>
      <c r="F24" s="53">
        <f>IF(PQ!F29="","",PQ!F29)</f>
        <v>0</v>
      </c>
      <c r="G24" s="367">
        <f>IF(PQ!G29="","",PQ!G29)</f>
        <v>0</v>
      </c>
      <c r="H24" s="293" cm="1">
        <f t="array" aca="1" ref="H24" ca="1">INDIRECT($C24&amp;"!E6")</f>
        <v>0</v>
      </c>
      <c r="I24" s="293" cm="1">
        <f t="array" aca="1" ref="I24" ca="1">INDIRECT($C24&amp;"!E9")</f>
        <v>0</v>
      </c>
      <c r="J24" s="293" cm="1">
        <f t="array" aca="1" ref="J24" ca="1">INDIRECT($C24&amp;"!E5")</f>
        <v>0</v>
      </c>
      <c r="K24" s="293" cm="1">
        <f t="array" aca="1" ref="K24" ca="1">INDIRECT($C24&amp;"!E7")</f>
        <v>0</v>
      </c>
      <c r="L24" s="293" cm="1">
        <f t="array" aca="1" ref="L24" ca="1">INDIRECT($C24&amp;"!E8")</f>
        <v>0</v>
      </c>
      <c r="M24" s="123" cm="1">
        <f t="array" aca="1" ref="M24" ca="1">INDIRECT($C24&amp;"!G6")</f>
        <v>0</v>
      </c>
      <c r="N24" s="123" cm="1">
        <f t="array" aca="1" ref="N24" ca="1">INDIRECT($C24&amp;"!G9")</f>
        <v>0</v>
      </c>
      <c r="O24" s="123" cm="1">
        <f t="array" aca="1" ref="O24" ca="1">INDIRECT($C24&amp;"!G5")</f>
        <v>0</v>
      </c>
      <c r="P24" s="123" cm="1">
        <f t="array" aca="1" ref="P24" ca="1">INDIRECT($C24&amp;"!G7")</f>
        <v>0</v>
      </c>
      <c r="Q24" s="123" cm="1">
        <f t="array" aca="1" ref="Q24" ca="1">INDIRECT($C24&amp;"!G8")</f>
        <v>0</v>
      </c>
      <c r="R24" s="368">
        <f t="shared" ref="R24:R32" ca="1" si="9">IF(ISERROR(J24/G24),0,J24/G24)</f>
        <v>0</v>
      </c>
      <c r="S24" s="369">
        <f t="shared" ref="S24:S32" ca="1" si="10">IF(R24&gt;1,R24-1,0)</f>
        <v>0</v>
      </c>
    </row>
    <row r="25" spans="2:19" ht="19.899999999999999" customHeight="1" x14ac:dyDescent="0.25">
      <c r="B25" s="282" t="str">
        <f t="shared" si="8"/>
        <v>LINK</v>
      </c>
      <c r="C25" s="285" t="str">
        <f>IF(PQ!B30="","",PQ!B30)</f>
        <v>B.2.2</v>
      </c>
      <c r="D25" s="51" t="str">
        <f>IF(PQ!C30="","",PQ!C30)</f>
        <v>Sarjeta triangular de concreto - STC 150-30 - escavação mecânica - areia e brita comerciais</v>
      </c>
      <c r="E25" s="66" t="str">
        <f>IF(PQ!E30="","",PQ!E30)</f>
        <v>m</v>
      </c>
      <c r="F25" s="53">
        <f>IF(PQ!F30="","",PQ!F30)</f>
        <v>0</v>
      </c>
      <c r="G25" s="290">
        <f>IF(PQ!G30="","",PQ!G30)</f>
        <v>0</v>
      </c>
      <c r="H25" s="294" cm="1">
        <f t="array" aca="1" ref="H25" ca="1">INDIRECT($C25&amp;"!E6")</f>
        <v>0</v>
      </c>
      <c r="I25" s="294" cm="1">
        <f t="array" aca="1" ref="I25" ca="1">INDIRECT($C25&amp;"!E9")</f>
        <v>0</v>
      </c>
      <c r="J25" s="294" cm="1">
        <f t="array" aca="1" ref="J25" ca="1">INDIRECT($C25&amp;"!E5")</f>
        <v>0</v>
      </c>
      <c r="K25" s="294" cm="1">
        <f t="array" aca="1" ref="K25" ca="1">INDIRECT($C25&amp;"!E7")</f>
        <v>0</v>
      </c>
      <c r="L25" s="294" cm="1">
        <f t="array" aca="1" ref="L25" ca="1">INDIRECT($C25&amp;"!E8")</f>
        <v>0</v>
      </c>
      <c r="M25" s="70" cm="1">
        <f t="array" aca="1" ref="M25" ca="1">INDIRECT($C25&amp;"!G6")</f>
        <v>0</v>
      </c>
      <c r="N25" s="70" cm="1">
        <f t="array" aca="1" ref="N25" ca="1">INDIRECT($C25&amp;"!G9")</f>
        <v>0</v>
      </c>
      <c r="O25" s="70" cm="1">
        <f t="array" aca="1" ref="O25" ca="1">INDIRECT($C25&amp;"!G5")</f>
        <v>0</v>
      </c>
      <c r="P25" s="70" cm="1">
        <f t="array" aca="1" ref="P25" ca="1">INDIRECT($C25&amp;"!G7")</f>
        <v>0</v>
      </c>
      <c r="Q25" s="70" cm="1">
        <f t="array" aca="1" ref="Q25" ca="1">INDIRECT($C25&amp;"!G8")</f>
        <v>0</v>
      </c>
      <c r="R25" s="370">
        <f t="shared" ca="1" si="9"/>
        <v>0</v>
      </c>
      <c r="S25" s="128">
        <f t="shared" ca="1" si="10"/>
        <v>0</v>
      </c>
    </row>
    <row r="26" spans="2:19" ht="19.899999999999999" customHeight="1" x14ac:dyDescent="0.25">
      <c r="B26" s="282" t="str">
        <f t="shared" si="8"/>
        <v>LINK</v>
      </c>
      <c r="C26" s="285" t="str">
        <f>IF(PQ!B31="","",PQ!B31)</f>
        <v>B.2.3</v>
      </c>
      <c r="D26" s="51" t="str">
        <f>IF(PQ!C31="","",PQ!C31)</f>
        <v>Valeta de proteção de cortes com revestimento de concreto - VPC 04 - areia e brita comerciais</v>
      </c>
      <c r="E26" s="66" t="str">
        <f>IF(PQ!E31="","",PQ!E31)</f>
        <v>m</v>
      </c>
      <c r="F26" s="53">
        <f>IF(PQ!F31="","",PQ!F31)</f>
        <v>0</v>
      </c>
      <c r="G26" s="290">
        <f>IF(PQ!G31="","",PQ!G31)</f>
        <v>0</v>
      </c>
      <c r="H26" s="294" cm="1">
        <f t="array" aca="1" ref="H26" ca="1">INDIRECT($C26&amp;"!E6")</f>
        <v>0</v>
      </c>
      <c r="I26" s="294" cm="1">
        <f t="array" aca="1" ref="I26" ca="1">INDIRECT($C26&amp;"!E9")</f>
        <v>0</v>
      </c>
      <c r="J26" s="294" cm="1">
        <f t="array" aca="1" ref="J26" ca="1">INDIRECT($C26&amp;"!E5")</f>
        <v>0</v>
      </c>
      <c r="K26" s="294" cm="1">
        <f t="array" aca="1" ref="K26" ca="1">INDIRECT($C26&amp;"!E7")</f>
        <v>0</v>
      </c>
      <c r="L26" s="294" cm="1">
        <f t="array" aca="1" ref="L26" ca="1">INDIRECT($C26&amp;"!E8")</f>
        <v>0</v>
      </c>
      <c r="M26" s="70" cm="1">
        <f t="array" aca="1" ref="M26" ca="1">INDIRECT($C26&amp;"!G6")</f>
        <v>0</v>
      </c>
      <c r="N26" s="70" cm="1">
        <f t="array" aca="1" ref="N26" ca="1">INDIRECT($C26&amp;"!G9")</f>
        <v>0</v>
      </c>
      <c r="O26" s="70" cm="1">
        <f t="array" aca="1" ref="O26" ca="1">INDIRECT($C26&amp;"!G5")</f>
        <v>0</v>
      </c>
      <c r="P26" s="70" cm="1">
        <f t="array" aca="1" ref="P26" ca="1">INDIRECT($C26&amp;"!G7")</f>
        <v>0</v>
      </c>
      <c r="Q26" s="70" cm="1">
        <f t="array" aca="1" ref="Q26" ca="1">INDIRECT($C26&amp;"!G8")</f>
        <v>0</v>
      </c>
      <c r="R26" s="370">
        <f t="shared" ca="1" si="9"/>
        <v>0</v>
      </c>
      <c r="S26" s="128">
        <f t="shared" ca="1" si="10"/>
        <v>0</v>
      </c>
    </row>
    <row r="27" spans="2:19" ht="19.899999999999999" customHeight="1" x14ac:dyDescent="0.25">
      <c r="B27" s="282" t="str">
        <f t="shared" si="8"/>
        <v>LINK</v>
      </c>
      <c r="C27" s="285" t="str">
        <f>IF(PQ!B32="","",PQ!B32)</f>
        <v>B.2.4</v>
      </c>
      <c r="D27" s="51" t="str">
        <f>IF(PQ!C32="","",PQ!C32)</f>
        <v>Caixa coletora A6 - CCS 200-60A</v>
      </c>
      <c r="E27" s="66" t="str">
        <f>IF(PQ!E32="","",PQ!E32)</f>
        <v>und.</v>
      </c>
      <c r="F27" s="53">
        <f>IF(PQ!F32="","",PQ!F32)</f>
        <v>0</v>
      </c>
      <c r="G27" s="290">
        <f>IF(PQ!G32="","",PQ!G32)</f>
        <v>0</v>
      </c>
      <c r="H27" s="294" cm="1">
        <f t="array" aca="1" ref="H27" ca="1">INDIRECT($C27&amp;"!E6")</f>
        <v>0</v>
      </c>
      <c r="I27" s="294" cm="1">
        <f t="array" aca="1" ref="I27" ca="1">INDIRECT($C27&amp;"!E9")</f>
        <v>0</v>
      </c>
      <c r="J27" s="294" cm="1">
        <f t="array" aca="1" ref="J27" ca="1">INDIRECT($C27&amp;"!E5")</f>
        <v>0</v>
      </c>
      <c r="K27" s="294" cm="1">
        <f t="array" aca="1" ref="K27" ca="1">INDIRECT($C27&amp;"!E7")</f>
        <v>0</v>
      </c>
      <c r="L27" s="294" cm="1">
        <f t="array" aca="1" ref="L27" ca="1">INDIRECT($C27&amp;"!E8")</f>
        <v>0</v>
      </c>
      <c r="M27" s="70" cm="1">
        <f t="array" aca="1" ref="M27" ca="1">INDIRECT($C27&amp;"!G6")</f>
        <v>0</v>
      </c>
      <c r="N27" s="70" cm="1">
        <f t="array" aca="1" ref="N27" ca="1">INDIRECT($C27&amp;"!G9")</f>
        <v>0</v>
      </c>
      <c r="O27" s="70" cm="1">
        <f t="array" aca="1" ref="O27" ca="1">INDIRECT($C27&amp;"!G5")</f>
        <v>0</v>
      </c>
      <c r="P27" s="70" cm="1">
        <f t="array" aca="1" ref="P27" ca="1">INDIRECT($C27&amp;"!G7")</f>
        <v>0</v>
      </c>
      <c r="Q27" s="70" cm="1">
        <f t="array" aca="1" ref="Q27" ca="1">INDIRECT($C27&amp;"!G8")</f>
        <v>0</v>
      </c>
      <c r="R27" s="370">
        <f t="shared" ca="1" si="9"/>
        <v>0</v>
      </c>
      <c r="S27" s="128">
        <f t="shared" ca="1" si="10"/>
        <v>0</v>
      </c>
    </row>
    <row r="28" spans="2:19" ht="19.899999999999999" customHeight="1" x14ac:dyDescent="0.25">
      <c r="B28" s="282" t="str">
        <f t="shared" si="8"/>
        <v>LINK</v>
      </c>
      <c r="C28" s="285" t="str">
        <f>IF(PQ!B33="","",PQ!B33)</f>
        <v>B.2.5</v>
      </c>
      <c r="D28" s="51" t="str">
        <f>IF(PQ!C33="","",PQ!C33)</f>
        <v>Descida d'água de cortes em degraus - DCD 02 - areia e brita comerciais</v>
      </c>
      <c r="E28" s="66" t="str">
        <f>IF(PQ!E33="","",PQ!E33)</f>
        <v>m</v>
      </c>
      <c r="F28" s="53">
        <f>IF(PQ!F33="","",PQ!F33)</f>
        <v>0</v>
      </c>
      <c r="G28" s="290">
        <f>IF(PQ!G33="","",PQ!G33)</f>
        <v>0</v>
      </c>
      <c r="H28" s="294" cm="1">
        <f t="array" aca="1" ref="H28" ca="1">INDIRECT($C28&amp;"!E6")</f>
        <v>0</v>
      </c>
      <c r="I28" s="294" cm="1">
        <f t="array" aca="1" ref="I28" ca="1">INDIRECT($C28&amp;"!E9")</f>
        <v>0</v>
      </c>
      <c r="J28" s="294" cm="1">
        <f t="array" aca="1" ref="J28" ca="1">INDIRECT($C28&amp;"!E5")</f>
        <v>0</v>
      </c>
      <c r="K28" s="294" cm="1">
        <f t="array" aca="1" ref="K28" ca="1">INDIRECT($C28&amp;"!E7")</f>
        <v>0</v>
      </c>
      <c r="L28" s="294" cm="1">
        <f t="array" aca="1" ref="L28" ca="1">INDIRECT($C28&amp;"!E8")</f>
        <v>0</v>
      </c>
      <c r="M28" s="70" cm="1">
        <f t="array" aca="1" ref="M28" ca="1">INDIRECT($C28&amp;"!G6")</f>
        <v>0</v>
      </c>
      <c r="N28" s="70" cm="1">
        <f t="array" aca="1" ref="N28" ca="1">INDIRECT($C28&amp;"!G9")</f>
        <v>0</v>
      </c>
      <c r="O28" s="70" cm="1">
        <f t="array" aca="1" ref="O28" ca="1">INDIRECT($C28&amp;"!G5")</f>
        <v>0</v>
      </c>
      <c r="P28" s="70" cm="1">
        <f t="array" aca="1" ref="P28" ca="1">INDIRECT($C28&amp;"!G7")</f>
        <v>0</v>
      </c>
      <c r="Q28" s="70" cm="1">
        <f t="array" aca="1" ref="Q28" ca="1">INDIRECT($C28&amp;"!G8")</f>
        <v>0</v>
      </c>
      <c r="R28" s="370">
        <f t="shared" ca="1" si="9"/>
        <v>0</v>
      </c>
      <c r="S28" s="128">
        <f t="shared" ca="1" si="10"/>
        <v>0</v>
      </c>
    </row>
    <row r="29" spans="2:19" ht="19.899999999999999" customHeight="1" x14ac:dyDescent="0.25">
      <c r="B29" s="282" t="str">
        <f t="shared" si="8"/>
        <v>LINK</v>
      </c>
      <c r="C29" s="285" t="str">
        <f>IF(PQ!B34="","",PQ!B34)</f>
        <v>B.2.6</v>
      </c>
      <c r="D29" s="51" t="str">
        <f>IF(PQ!C34="","",PQ!C34)</f>
        <v>Descida d'água de cortes em degraus - DCD 100-50 - areia e brita comerciais</v>
      </c>
      <c r="E29" s="66" t="str">
        <f>IF(PQ!E34="","",PQ!E34)</f>
        <v>m</v>
      </c>
      <c r="F29" s="53">
        <f>IF(PQ!F34="","",PQ!F34)</f>
        <v>1034</v>
      </c>
      <c r="G29" s="290">
        <f>IF(PQ!G34="","",PQ!G34)</f>
        <v>292.60000000000002</v>
      </c>
      <c r="H29" s="294" cm="1">
        <f t="array" aca="1" ref="H29" ca="1">INDIRECT($C29&amp;"!E6")</f>
        <v>0</v>
      </c>
      <c r="I29" s="294" cm="1">
        <f t="array" aca="1" ref="I29" ca="1">INDIRECT($C29&amp;"!E9")</f>
        <v>112.53999999999999</v>
      </c>
      <c r="J29" s="294" cm="1">
        <f t="array" aca="1" ref="J29" ca="1">INDIRECT($C29&amp;"!E5")</f>
        <v>112.53999999999999</v>
      </c>
      <c r="K29" s="294" cm="1">
        <f t="array" aca="1" ref="K29" ca="1">INDIRECT($C29&amp;"!E7")</f>
        <v>180.06000000000003</v>
      </c>
      <c r="L29" s="294" cm="1">
        <f t="array" aca="1" ref="L29" ca="1">INDIRECT($C29&amp;"!E8")</f>
        <v>0</v>
      </c>
      <c r="M29" s="70" cm="1">
        <f t="array" aca="1" ref="M29" ca="1">INDIRECT($C29&amp;"!G6")</f>
        <v>0</v>
      </c>
      <c r="N29" s="70" cm="1">
        <f t="array" aca="1" ref="N29" ca="1">INDIRECT($C29&amp;"!G9")</f>
        <v>116366.35999999999</v>
      </c>
      <c r="O29" s="70" cm="1">
        <f t="array" aca="1" ref="O29" ca="1">INDIRECT($C29&amp;"!G5")</f>
        <v>116366.35999999999</v>
      </c>
      <c r="P29" s="70" cm="1">
        <f t="array" aca="1" ref="P29" ca="1">INDIRECT($C29&amp;"!G7")</f>
        <v>186182.04000000004</v>
      </c>
      <c r="Q29" s="70" cm="1">
        <f t="array" aca="1" ref="Q29" ca="1">INDIRECT($C29&amp;"!G8")</f>
        <v>0</v>
      </c>
      <c r="R29" s="370">
        <f t="shared" ca="1" si="9"/>
        <v>0.38462064251537931</v>
      </c>
      <c r="S29" s="128">
        <f t="shared" ca="1" si="10"/>
        <v>0</v>
      </c>
    </row>
    <row r="30" spans="2:19" ht="19.899999999999999" customHeight="1" x14ac:dyDescent="0.25">
      <c r="B30" s="282" t="str">
        <f t="shared" si="8"/>
        <v>LINK</v>
      </c>
      <c r="C30" s="285" t="str">
        <f>IF(PQ!B35="","",PQ!B35)</f>
        <v>B.2.7</v>
      </c>
      <c r="D30" s="51" t="str">
        <f>IF(PQ!C35="","",PQ!C35)</f>
        <v>Valeta de proteção de cortes com revestimento de concreto - VPCC 120-30 - escavação mecânica - areia e brita comerciais</v>
      </c>
      <c r="E30" s="66" t="str">
        <f>IF(PQ!E35="","",PQ!E35)</f>
        <v>m</v>
      </c>
      <c r="F30" s="53">
        <f>IF(PQ!F35="","",PQ!F35)</f>
        <v>141.79</v>
      </c>
      <c r="G30" s="290">
        <f>IF(PQ!G35="","",PQ!G35)</f>
        <v>1111</v>
      </c>
      <c r="H30" s="294" cm="1">
        <f t="array" aca="1" ref="H30" ca="1">INDIRECT($C30&amp;"!E6")</f>
        <v>0</v>
      </c>
      <c r="I30" s="294" cm="1">
        <f t="array" aca="1" ref="I30" ca="1">INDIRECT($C30&amp;"!E9")</f>
        <v>1513.6499999999999</v>
      </c>
      <c r="J30" s="294" cm="1">
        <f t="array" aca="1" ref="J30" ca="1">INDIRECT($C30&amp;"!E5")</f>
        <v>1513.6499999999999</v>
      </c>
      <c r="K30" s="294" cm="1">
        <f t="array" aca="1" ref="K30" ca="1">INDIRECT($C30&amp;"!E7")</f>
        <v>-402.64999999999986</v>
      </c>
      <c r="L30" s="294" cm="1">
        <f t="array" aca="1" ref="L30" ca="1">INDIRECT($C30&amp;"!E8")</f>
        <v>0</v>
      </c>
      <c r="M30" s="70" cm="1">
        <f t="array" aca="1" ref="M30" ca="1">INDIRECT($C30&amp;"!G6")</f>
        <v>0</v>
      </c>
      <c r="N30" s="70" cm="1">
        <f t="array" aca="1" ref="N30" ca="1">INDIRECT($C30&amp;"!G9")</f>
        <v>214620.43349999996</v>
      </c>
      <c r="O30" s="70" cm="1">
        <f t="array" aca="1" ref="O30" ca="1">INDIRECT($C30&amp;"!G5")</f>
        <v>214620.43349999996</v>
      </c>
      <c r="P30" s="70" cm="1">
        <f t="array" aca="1" ref="P30" ca="1">INDIRECT($C30&amp;"!G7")</f>
        <v>-57091.743499999975</v>
      </c>
      <c r="Q30" s="70" cm="1">
        <f t="array" aca="1" ref="Q30" ca="1">INDIRECT($C30&amp;"!G8")</f>
        <v>0</v>
      </c>
      <c r="R30" s="370">
        <f t="shared" ca="1" si="9"/>
        <v>1.3624212421242123</v>
      </c>
      <c r="S30" s="128">
        <f t="shared" ca="1" si="10"/>
        <v>0.36242124212421234</v>
      </c>
    </row>
    <row r="31" spans="2:19" ht="19.899999999999999" customHeight="1" x14ac:dyDescent="0.25">
      <c r="B31" s="282" t="str">
        <f t="shared" si="8"/>
        <v>LINK</v>
      </c>
      <c r="C31" s="285" t="str">
        <f>IF(PQ!B36="","",PQ!B36)</f>
        <v>B.2.8</v>
      </c>
      <c r="D31" s="51" t="str">
        <f>IF(PQ!C36="","",PQ!C36)</f>
        <v>Caixa coletora de sarjeta - CCS 250-120 A - com grelha de concreto - areia e brita comerciais</v>
      </c>
      <c r="E31" s="66" t="str">
        <f>IF(PQ!E36="","",PQ!E36)</f>
        <v>und.</v>
      </c>
      <c r="F31" s="53">
        <f>IF(PQ!F36="","",PQ!F36)</f>
        <v>7471.91</v>
      </c>
      <c r="G31" s="290">
        <f>IF(PQ!G36="","",PQ!G36)</f>
        <v>11</v>
      </c>
      <c r="H31" s="294" cm="1">
        <f t="array" aca="1" ref="H31" ca="1">INDIRECT($C31&amp;"!E6")</f>
        <v>0</v>
      </c>
      <c r="I31" s="294" cm="1">
        <f t="array" aca="1" ref="I31" ca="1">INDIRECT($C31&amp;"!E9")</f>
        <v>4</v>
      </c>
      <c r="J31" s="294" cm="1">
        <f t="array" aca="1" ref="J31" ca="1">INDIRECT($C31&amp;"!E5")</f>
        <v>4</v>
      </c>
      <c r="K31" s="294" cm="1">
        <f t="array" aca="1" ref="K31" ca="1">INDIRECT($C31&amp;"!E7")</f>
        <v>7</v>
      </c>
      <c r="L31" s="294" cm="1">
        <f t="array" aca="1" ref="L31" ca="1">INDIRECT($C31&amp;"!E8")</f>
        <v>0</v>
      </c>
      <c r="M31" s="70" cm="1">
        <f t="array" aca="1" ref="M31" ca="1">INDIRECT($C31&amp;"!G6")</f>
        <v>0</v>
      </c>
      <c r="N31" s="70" cm="1">
        <f t="array" aca="1" ref="N31" ca="1">INDIRECT($C31&amp;"!G9")</f>
        <v>29887.64</v>
      </c>
      <c r="O31" s="70" cm="1">
        <f t="array" aca="1" ref="O31" ca="1">INDIRECT($C31&amp;"!G5")</f>
        <v>29887.64</v>
      </c>
      <c r="P31" s="70" cm="1">
        <f t="array" aca="1" ref="P31" ca="1">INDIRECT($C31&amp;"!G7")</f>
        <v>52303.369999999995</v>
      </c>
      <c r="Q31" s="70" cm="1">
        <f t="array" aca="1" ref="Q31" ca="1">INDIRECT($C31&amp;"!G8")</f>
        <v>0</v>
      </c>
      <c r="R31" s="370">
        <f t="shared" ca="1" si="9"/>
        <v>0.36363636363636365</v>
      </c>
      <c r="S31" s="128">
        <f t="shared" ca="1" si="10"/>
        <v>0</v>
      </c>
    </row>
    <row r="32" spans="2:19" ht="19.899999999999999" customHeight="1" x14ac:dyDescent="0.25">
      <c r="B32" s="283" t="str">
        <f t="shared" si="8"/>
        <v>LINK</v>
      </c>
      <c r="C32" s="286" t="str">
        <f>IF(PQ!B37="","",PQ!B37)</f>
        <v>B.2.9</v>
      </c>
      <c r="D32" s="51" t="str">
        <f>IF(PQ!C37="","",PQ!C37)</f>
        <v>Sarjeta triangular de concreto - STC 88-20 - escavação mecânica - areia e brita comerciais</v>
      </c>
      <c r="E32" s="66" t="str">
        <f>IF(PQ!E37="","",PQ!E37)</f>
        <v>m</v>
      </c>
      <c r="F32" s="53">
        <f>IF(PQ!F37="","",PQ!F37)</f>
        <v>58</v>
      </c>
      <c r="G32" s="371">
        <f>IF(PQ!G37="","",PQ!G37)</f>
        <v>132</v>
      </c>
      <c r="H32" s="295" cm="1">
        <f t="array" aca="1" ref="H32" ca="1">INDIRECT($C32&amp;"!E6")</f>
        <v>0</v>
      </c>
      <c r="I32" s="295" cm="1">
        <f t="array" aca="1" ref="I32" ca="1">INDIRECT($C32&amp;"!E9")</f>
        <v>193.37</v>
      </c>
      <c r="J32" s="295" cm="1">
        <f t="array" aca="1" ref="J32" ca="1">INDIRECT($C32&amp;"!E5")</f>
        <v>193.37</v>
      </c>
      <c r="K32" s="295" cm="1">
        <f t="array" aca="1" ref="K32" ca="1">INDIRECT($C32&amp;"!E7")</f>
        <v>-61.370000000000005</v>
      </c>
      <c r="L32" s="295" cm="1">
        <f t="array" aca="1" ref="L32" ca="1">INDIRECT($C32&amp;"!E8")</f>
        <v>0</v>
      </c>
      <c r="M32" s="124" cm="1">
        <f t="array" aca="1" ref="M32" ca="1">INDIRECT($C32&amp;"!G6")</f>
        <v>0</v>
      </c>
      <c r="N32" s="124" cm="1">
        <f t="array" aca="1" ref="N32" ca="1">INDIRECT($C32&amp;"!G9")</f>
        <v>11215.460000000001</v>
      </c>
      <c r="O32" s="124" cm="1">
        <f t="array" aca="1" ref="O32" ca="1">INDIRECT($C32&amp;"!G5")</f>
        <v>11215.460000000001</v>
      </c>
      <c r="P32" s="124" cm="1">
        <f t="array" aca="1" ref="P32" ca="1">INDIRECT($C32&amp;"!G7")</f>
        <v>-3559.46</v>
      </c>
      <c r="Q32" s="124" cm="1">
        <f t="array" aca="1" ref="Q32" ca="1">INDIRECT($C32&amp;"!G8")</f>
        <v>0</v>
      </c>
      <c r="R32" s="372">
        <f t="shared" ca="1" si="9"/>
        <v>1.4649242424242424</v>
      </c>
      <c r="S32" s="316">
        <f t="shared" ca="1" si="10"/>
        <v>0.46492424242424235</v>
      </c>
    </row>
    <row r="33" spans="2:19" ht="19.899999999999999" customHeight="1" x14ac:dyDescent="0.25">
      <c r="B33" s="115"/>
      <c r="C33" s="277" t="str">
        <f>IF(PQ!B38="","",PQ!B38)</f>
        <v>B.3</v>
      </c>
      <c r="D33" s="63" t="str">
        <f>IF(PQ!C38="","",PQ!C38)</f>
        <v>Revestimento Vegetal</v>
      </c>
      <c r="E33" s="64" t="str">
        <f>IF(PQ!E38="","",PQ!E38)</f>
        <v/>
      </c>
      <c r="F33" s="65" t="str">
        <f>IF(PQ!F38="","",PQ!F38)</f>
        <v/>
      </c>
      <c r="G33" s="292" t="str">
        <f>IF(PQ!G38="","",PQ!G38)</f>
        <v/>
      </c>
      <c r="H33" s="292"/>
      <c r="I33" s="292"/>
      <c r="J33" s="292"/>
      <c r="K33" s="292"/>
      <c r="L33" s="292"/>
      <c r="M33" s="72">
        <f ca="1">SUBTOTAL(9,M34:M35)</f>
        <v>233722.91800000003</v>
      </c>
      <c r="N33" s="72">
        <f t="shared" ref="N33:Q33" ca="1" si="11">SUBTOTAL(9,N34:N35)</f>
        <v>621222.57022226008</v>
      </c>
      <c r="O33" s="72">
        <f t="shared" ca="1" si="11"/>
        <v>854945.48822226014</v>
      </c>
      <c r="P33" s="72">
        <f ca="1">SUBTOTAL(9,P34:P35)</f>
        <v>-455945.48822226003</v>
      </c>
      <c r="Q33" s="72">
        <f t="shared" ca="1" si="11"/>
        <v>171481.91647774004</v>
      </c>
      <c r="R33" s="127"/>
      <c r="S33" s="75"/>
    </row>
    <row r="34" spans="2:19" ht="19.899999999999999" customHeight="1" x14ac:dyDescent="0.25">
      <c r="B34" s="281" t="str">
        <f t="shared" ref="B34:B35" si="12">HYPERLINK("#"&amp;"'"&amp;C34&amp;"'"&amp;"!A1","LINK")</f>
        <v>LINK</v>
      </c>
      <c r="C34" s="284" t="str">
        <f>IF(PQ!B39="","",PQ!B39)</f>
        <v>B.3.1</v>
      </c>
      <c r="D34" s="51" t="str">
        <f>IF(PQ!C39="","",PQ!C39)</f>
        <v>Proteção Vegetal (Hidrossemeadura + Biomanta)</v>
      </c>
      <c r="E34" s="66" t="str">
        <f>IF(PQ!E39="","",PQ!E39)</f>
        <v>m²</v>
      </c>
      <c r="F34" s="53">
        <f>IF(PQ!F39="","",PQ!F39)</f>
        <v>25.3</v>
      </c>
      <c r="G34" s="367">
        <f>IF(PQ!G39="","",PQ!G39)</f>
        <v>15000</v>
      </c>
      <c r="H34" s="293" cm="1">
        <f t="array" aca="1" ref="H34" ca="1">INDIRECT($C34&amp;"!E6")</f>
        <v>9238.0600000000013</v>
      </c>
      <c r="I34" s="293" cm="1">
        <f t="array" aca="1" ref="I34" ca="1">INDIRECT($C34&amp;"!E9")</f>
        <v>22721.097637243478</v>
      </c>
      <c r="J34" s="293" cm="1">
        <f t="array" aca="1" ref="J34" ca="1">INDIRECT($C34&amp;"!E5")</f>
        <v>31959.157637243479</v>
      </c>
      <c r="K34" s="293" cm="1">
        <f t="array" aca="1" ref="K34" ca="1">INDIRECT($C34&amp;"!E7")</f>
        <v>-16959.157637243479</v>
      </c>
      <c r="L34" s="293" cm="1">
        <f t="array" aca="1" ref="L34" ca="1">INDIRECT($C34&amp;"!E8")</f>
        <v>6777.9413627565227</v>
      </c>
      <c r="M34" s="123" cm="1">
        <f t="array" aca="1" ref="M34" ca="1">INDIRECT($C34&amp;"!G6")</f>
        <v>233722.91800000003</v>
      </c>
      <c r="N34" s="123" cm="1">
        <f t="array" aca="1" ref="N34" ca="1">INDIRECT($C34&amp;"!G9")</f>
        <v>574843.77022226003</v>
      </c>
      <c r="O34" s="123" cm="1">
        <f t="array" aca="1" ref="O34" ca="1">INDIRECT($C34&amp;"!G5")</f>
        <v>808566.6882222601</v>
      </c>
      <c r="P34" s="123" cm="1">
        <f t="array" aca="1" ref="P34" ca="1">INDIRECT($C34&amp;"!G7")</f>
        <v>-429066.68822226004</v>
      </c>
      <c r="Q34" s="123" cm="1">
        <f t="array" aca="1" ref="Q34" ca="1">INDIRECT($C34&amp;"!G8")</f>
        <v>171481.91647774004</v>
      </c>
      <c r="R34" s="368">
        <f t="shared" ref="R34:R35" ca="1" si="13">IF(ISERROR(J34/G34),0,J34/G34)</f>
        <v>2.1306105091495651</v>
      </c>
      <c r="S34" s="369">
        <f t="shared" ref="S34:S35" ca="1" si="14">IF(R34&gt;1,R34-1,0)</f>
        <v>1.1306105091495651</v>
      </c>
    </row>
    <row r="35" spans="2:19" ht="19.899999999999999" customHeight="1" x14ac:dyDescent="0.25">
      <c r="B35" s="283" t="str">
        <f t="shared" si="12"/>
        <v>LINK</v>
      </c>
      <c r="C35" s="286" t="str">
        <f>IF(PQ!B40="","",PQ!B40)</f>
        <v>B.3.2</v>
      </c>
      <c r="D35" s="51" t="str">
        <f>IF(PQ!C40="","",PQ!C40)</f>
        <v>Cerca com 4 fios de arame farpado e mourão de concreto de seção quadrada de 11 cm a cada 2,5 m e esticador de 15 cm a cada 50 m - areia e brita comerciais</v>
      </c>
      <c r="E35" s="66" t="str">
        <f>IF(PQ!E40="","",PQ!E40)</f>
        <v>m</v>
      </c>
      <c r="F35" s="53">
        <f>IF(PQ!F40="","",PQ!F40)</f>
        <v>65</v>
      </c>
      <c r="G35" s="371">
        <f>IF(PQ!G40="","",PQ!G40)</f>
        <v>300</v>
      </c>
      <c r="H35" s="295" cm="1">
        <f t="array" aca="1" ref="H35" ca="1">INDIRECT($C35&amp;"!E6")</f>
        <v>0</v>
      </c>
      <c r="I35" s="295" cm="1">
        <f t="array" aca="1" ref="I35" ca="1">INDIRECT($C35&amp;"!E9")</f>
        <v>713.52</v>
      </c>
      <c r="J35" s="295" cm="1">
        <f t="array" aca="1" ref="J35" ca="1">INDIRECT($C35&amp;"!E5")</f>
        <v>713.52</v>
      </c>
      <c r="K35" s="295" cm="1">
        <f t="array" aca="1" ref="K35" ca="1">INDIRECT($C35&amp;"!E7")</f>
        <v>-413.52</v>
      </c>
      <c r="L35" s="295" cm="1">
        <f t="array" aca="1" ref="L35" ca="1">INDIRECT($C35&amp;"!E8")</f>
        <v>0</v>
      </c>
      <c r="M35" s="124" cm="1">
        <f t="array" aca="1" ref="M35" ca="1">INDIRECT($C35&amp;"!G6")</f>
        <v>0</v>
      </c>
      <c r="N35" s="124" cm="1">
        <f t="array" aca="1" ref="N35" ca="1">INDIRECT($C35&amp;"!G9")</f>
        <v>46378.799999999996</v>
      </c>
      <c r="O35" s="124" cm="1">
        <f t="array" aca="1" ref="O35" ca="1">INDIRECT($C35&amp;"!G5")</f>
        <v>46378.799999999996</v>
      </c>
      <c r="P35" s="124" cm="1">
        <f t="array" aca="1" ref="P35" ca="1">INDIRECT($C35&amp;"!G7")</f>
        <v>-26878.799999999999</v>
      </c>
      <c r="Q35" s="124" cm="1">
        <f t="array" aca="1" ref="Q35" ca="1">INDIRECT($C35&amp;"!G8")</f>
        <v>0</v>
      </c>
      <c r="R35" s="372">
        <f t="shared" ca="1" si="13"/>
        <v>2.3784000000000001</v>
      </c>
      <c r="S35" s="316">
        <f t="shared" ca="1" si="14"/>
        <v>1.3784000000000001</v>
      </c>
    </row>
    <row r="36" spans="2:19" ht="19.899999999999999" customHeight="1" x14ac:dyDescent="0.25">
      <c r="B36" s="114"/>
      <c r="C36" s="276" t="str">
        <f>IF(PQ!B41="","",PQ!B41)</f>
        <v>C.</v>
      </c>
      <c r="D36" s="59" t="str">
        <f>IF(PQ!C41="","",PQ!C41)</f>
        <v>Implantação de Desvio 1 - Km 303+450 - Leste</v>
      </c>
      <c r="E36" s="60" t="str">
        <f>IF(PQ!E41="","",PQ!E41)</f>
        <v/>
      </c>
      <c r="F36" s="61" t="str">
        <f>IF(PQ!F41="","",PQ!F41)</f>
        <v/>
      </c>
      <c r="G36" s="291" t="str">
        <f>IF(PQ!G41="","",PQ!G41)</f>
        <v/>
      </c>
      <c r="H36" s="291"/>
      <c r="I36" s="291"/>
      <c r="J36" s="291"/>
      <c r="K36" s="291"/>
      <c r="L36" s="291"/>
      <c r="M36" s="73">
        <f ca="1">SUBTOTAL(9,M37:M62)</f>
        <v>776624.58065982407</v>
      </c>
      <c r="N36" s="73">
        <f t="shared" ref="N36:Q36" ca="1" si="15">SUBTOTAL(9,N37:N62)</f>
        <v>26511.599999999995</v>
      </c>
      <c r="O36" s="73">
        <f t="shared" ca="1" si="15"/>
        <v>803136.18065982393</v>
      </c>
      <c r="P36" s="73">
        <f t="shared" ca="1" si="15"/>
        <v>4561.1893401760581</v>
      </c>
      <c r="Q36" s="73">
        <f t="shared" ca="1" si="15"/>
        <v>0</v>
      </c>
      <c r="R36" s="73"/>
      <c r="S36" s="74"/>
    </row>
    <row r="37" spans="2:19" ht="19.899999999999999" customHeight="1" x14ac:dyDescent="0.25">
      <c r="B37" s="115"/>
      <c r="C37" s="277" t="str">
        <f>IF(PQ!B42="","",PQ!B42)</f>
        <v>C.1</v>
      </c>
      <c r="D37" s="63" t="str">
        <f>IF(PQ!C42="","",PQ!C42)</f>
        <v>Terraplenagem</v>
      </c>
      <c r="E37" s="64" t="str">
        <f>IF(PQ!E42="","",PQ!E42)</f>
        <v/>
      </c>
      <c r="F37" s="65" t="str">
        <f>IF(PQ!F42="","",PQ!F42)</f>
        <v/>
      </c>
      <c r="G37" s="292" t="str">
        <f>IF(PQ!G42="","",PQ!G42)</f>
        <v/>
      </c>
      <c r="H37" s="292"/>
      <c r="I37" s="292"/>
      <c r="J37" s="292"/>
      <c r="K37" s="292"/>
      <c r="L37" s="292"/>
      <c r="M37" s="72">
        <f ca="1">SUBTOTAL(9,M38:M42)</f>
        <v>24752.504913481098</v>
      </c>
      <c r="N37" s="72">
        <f t="shared" ref="N37:Q37" ca="1" si="16">SUBTOTAL(9,N38:N42)</f>
        <v>0</v>
      </c>
      <c r="O37" s="72">
        <f t="shared" ca="1" si="16"/>
        <v>24752.504913481098</v>
      </c>
      <c r="P37" s="72">
        <f t="shared" ca="1" si="16"/>
        <v>14813.305086518898</v>
      </c>
      <c r="Q37" s="72">
        <f t="shared" ca="1" si="16"/>
        <v>0</v>
      </c>
      <c r="R37" s="127"/>
      <c r="S37" s="75"/>
    </row>
    <row r="38" spans="2:19" ht="19.899999999999999" customHeight="1" x14ac:dyDescent="0.25">
      <c r="B38" s="281" t="str">
        <f t="shared" ref="B38:B42" si="17">HYPERLINK("#"&amp;"'"&amp;C38&amp;"'"&amp;"!A1","LINK")</f>
        <v>LINK</v>
      </c>
      <c r="C38" s="284" t="str">
        <f>IF(PQ!B43="","",PQ!B43)</f>
        <v>C.1.1</v>
      </c>
      <c r="D38" s="51" t="str">
        <f>IF(PQ!C43="","",PQ!C43)</f>
        <v>Desmatamento, destocamento, limpeza de área e estocagem do material de limpeza com árvores de diâmetro até 0,15 m</v>
      </c>
      <c r="E38" s="66" t="str">
        <f>IF(PQ!E43="","",PQ!E43)</f>
        <v>m²</v>
      </c>
      <c r="F38" s="53">
        <f>IF(PQ!F43="","",PQ!F43)</f>
        <v>0.85999989665124188</v>
      </c>
      <c r="G38" s="367">
        <f>IF(PQ!G43="","",PQ!G43)</f>
        <v>7740.78</v>
      </c>
      <c r="H38" s="293" cm="1">
        <f t="array" aca="1" ref="H38" ca="1">INDIRECT($C38&amp;"!E6")</f>
        <v>7740.7789999999995</v>
      </c>
      <c r="I38" s="293" cm="1">
        <f t="array" aca="1" ref="I38" ca="1">INDIRECT($C38&amp;"!E9")</f>
        <v>0</v>
      </c>
      <c r="J38" s="293" cm="1">
        <f t="array" aca="1" ref="J38" ca="1">INDIRECT($C38&amp;"!E5")</f>
        <v>7740.7789999999995</v>
      </c>
      <c r="K38" s="293" cm="1">
        <f t="array" aca="1" ref="K38" ca="1">INDIRECT($C38&amp;"!E7")</f>
        <v>1.0000000002037268E-3</v>
      </c>
      <c r="L38" s="293" cm="1">
        <f t="array" aca="1" ref="L38" ca="1">INDIRECT($C38&amp;"!E8")</f>
        <v>0</v>
      </c>
      <c r="M38" s="123" cm="1">
        <f t="array" aca="1" ref="M38" ca="1">INDIRECT($C38&amp;"!G6")</f>
        <v>6657.0691400001033</v>
      </c>
      <c r="N38" s="123" cm="1">
        <f t="array" aca="1" ref="N38" ca="1">INDIRECT($C38&amp;"!G9")</f>
        <v>0</v>
      </c>
      <c r="O38" s="123" cm="1">
        <f t="array" aca="1" ref="O38" ca="1">INDIRECT($C38&amp;"!G5")</f>
        <v>6657.0691400001033</v>
      </c>
      <c r="P38" s="123" cm="1">
        <f t="array" aca="1" ref="P38" ca="1">INDIRECT($C38&amp;"!G7")</f>
        <v>8.5999989682644694E-4</v>
      </c>
      <c r="Q38" s="123" cm="1">
        <f t="array" aca="1" ref="Q38" ca="1">INDIRECT($C38&amp;"!G8")</f>
        <v>0</v>
      </c>
      <c r="R38" s="368">
        <f t="shared" ref="R38:R42" ca="1" si="18">IF(ISERROR(J38/G38),0,J38/G38)</f>
        <v>0.99999987081405228</v>
      </c>
      <c r="S38" s="369">
        <f t="shared" ref="S38:S42" ca="1" si="19">IF(R38&gt;1,R38-1,0)</f>
        <v>0</v>
      </c>
    </row>
    <row r="39" spans="2:19" ht="19.899999999999999" customHeight="1" x14ac:dyDescent="0.25">
      <c r="B39" s="282" t="str">
        <f t="shared" si="17"/>
        <v>LINK</v>
      </c>
      <c r="C39" s="285" t="str">
        <f>IF(PQ!B44="","",PQ!B44)</f>
        <v>C.1.2</v>
      </c>
      <c r="D39" s="51" t="str">
        <f>IF(PQ!C44="","",PQ!C44)</f>
        <v>Transporte com caminhão basculante de 14 m³ - rodovia pavimentada</v>
      </c>
      <c r="E39" s="66" t="str">
        <f>IF(PQ!E44="","",PQ!E44)</f>
        <v>T x Km</v>
      </c>
      <c r="F39" s="53">
        <f>IF(PQ!F44="","",PQ!F44)</f>
        <v>1.539998012521117</v>
      </c>
      <c r="G39" s="290">
        <f>IF(PQ!G44="","",PQ!G44)</f>
        <v>603.78</v>
      </c>
      <c r="H39" s="294" cm="1">
        <f t="array" aca="1" ref="H39" ca="1">INDIRECT($C39&amp;"!E6")</f>
        <v>603.7807620000001</v>
      </c>
      <c r="I39" s="294" cm="1">
        <f t="array" aca="1" ref="I39" ca="1">INDIRECT($C39&amp;"!E9")</f>
        <v>0</v>
      </c>
      <c r="J39" s="294" cm="1">
        <f t="array" aca="1" ref="J39" ca="1">INDIRECT($C39&amp;"!E5")</f>
        <v>603.7807620000001</v>
      </c>
      <c r="K39" s="294" cm="1">
        <f t="array" aca="1" ref="K39" ca="1">INDIRECT($C39&amp;"!E7")</f>
        <v>-7.6200000012249802E-4</v>
      </c>
      <c r="L39" s="294" cm="1">
        <f t="array" aca="1" ref="L39" ca="1">INDIRECT($C39&amp;"!E8")</f>
        <v>0</v>
      </c>
      <c r="M39" s="70" cm="1">
        <f t="array" aca="1" ref="M39" ca="1">INDIRECT($C39&amp;"!G6")</f>
        <v>929.82117347848566</v>
      </c>
      <c r="N39" s="70" cm="1">
        <f t="array" aca="1" ref="N39" ca="1">INDIRECT($C39&amp;"!G9")</f>
        <v>0</v>
      </c>
      <c r="O39" s="70" cm="1">
        <f t="array" aca="1" ref="O39" ca="1">INDIRECT($C39&amp;"!G5")</f>
        <v>929.82117347848566</v>
      </c>
      <c r="P39" s="70" cm="1">
        <f t="array" aca="1" ref="P39" ca="1">INDIRECT($C39&amp;"!G7")</f>
        <v>-1.1734784857297378E-3</v>
      </c>
      <c r="Q39" s="70" cm="1">
        <f t="array" aca="1" ref="Q39" ca="1">INDIRECT($C39&amp;"!G8")</f>
        <v>0</v>
      </c>
      <c r="R39" s="370">
        <f t="shared" ca="1" si="18"/>
        <v>1.000001262049091</v>
      </c>
      <c r="S39" s="128">
        <f t="shared" ca="1" si="19"/>
        <v>1.2620490910109083E-6</v>
      </c>
    </row>
    <row r="40" spans="2:19" ht="19.899999999999999" customHeight="1" x14ac:dyDescent="0.25">
      <c r="B40" s="282" t="str">
        <f t="shared" si="17"/>
        <v>LINK</v>
      </c>
      <c r="C40" s="285" t="str">
        <f>IF(PQ!B45="","",PQ!B45)</f>
        <v>C.1.3</v>
      </c>
      <c r="D40" s="51" t="str">
        <f>IF(PQ!C45="","",PQ!C45)</f>
        <v>Escavação, carga e transporte de material de 1ª categoria - DMT de 1.000 a 1.200 m -  com escavadeira e caminhão basculante de 14 m³</v>
      </c>
      <c r="E40" s="66" t="str">
        <f>IF(PQ!E45="","",PQ!E45)</f>
        <v>m³</v>
      </c>
      <c r="F40" s="53">
        <f>IF(PQ!F45="","",PQ!F45)</f>
        <v>0</v>
      </c>
      <c r="G40" s="290">
        <f>IF(PQ!G45="","",PQ!G45)</f>
        <v>0</v>
      </c>
      <c r="H40" s="294" cm="1">
        <f t="array" aca="1" ref="H40" ca="1">INDIRECT($C40&amp;"!E6")</f>
        <v>6679.4449999999997</v>
      </c>
      <c r="I40" s="294" cm="1">
        <f t="array" aca="1" ref="I40" ca="1">INDIRECT($C40&amp;"!E9")</f>
        <v>0</v>
      </c>
      <c r="J40" s="294" cm="1">
        <f t="array" aca="1" ref="J40" ca="1">INDIRECT($C40&amp;"!E5")</f>
        <v>6679.4449999999997</v>
      </c>
      <c r="K40" s="294" cm="1">
        <f t="array" aca="1" ref="K40" ca="1">INDIRECT($C40&amp;"!E7")</f>
        <v>-6679.4449999999997</v>
      </c>
      <c r="L40" s="294" cm="1">
        <f t="array" aca="1" ref="L40" ca="1">INDIRECT($C40&amp;"!E8")</f>
        <v>0</v>
      </c>
      <c r="M40" s="70" cm="1">
        <f t="array" aca="1" ref="M40" ca="1">INDIRECT($C40&amp;"!G6")</f>
        <v>0</v>
      </c>
      <c r="N40" s="70" cm="1">
        <f t="array" aca="1" ref="N40" ca="1">INDIRECT($C40&amp;"!G9")</f>
        <v>0</v>
      </c>
      <c r="O40" s="70" cm="1">
        <f t="array" aca="1" ref="O40" ca="1">INDIRECT($C40&amp;"!G5")</f>
        <v>0</v>
      </c>
      <c r="P40" s="70" cm="1">
        <f t="array" aca="1" ref="P40" ca="1">INDIRECT($C40&amp;"!G7")</f>
        <v>0</v>
      </c>
      <c r="Q40" s="70" cm="1">
        <f t="array" aca="1" ref="Q40" ca="1">INDIRECT($C40&amp;"!G8")</f>
        <v>0</v>
      </c>
      <c r="R40" s="370">
        <f t="shared" ca="1" si="18"/>
        <v>0</v>
      </c>
      <c r="S40" s="128">
        <f t="shared" ca="1" si="19"/>
        <v>0</v>
      </c>
    </row>
    <row r="41" spans="2:19" ht="19.899999999999999" customHeight="1" x14ac:dyDescent="0.25">
      <c r="B41" s="282" t="str">
        <f t="shared" si="17"/>
        <v>LINK</v>
      </c>
      <c r="C41" s="285" t="str">
        <f>IF(PQ!B46="","",PQ!B46)</f>
        <v>C.1.4</v>
      </c>
      <c r="D41" s="51" t="str">
        <f>IF(PQ!C46="","",PQ!C46)</f>
        <v>Regularização de bota-fora com espalhamento e execução de hidrossemeadura</v>
      </c>
      <c r="E41" s="66" t="str">
        <f>IF(PQ!E46="","",PQ!E46)</f>
        <v>m³</v>
      </c>
      <c r="F41" s="53">
        <f>IF(PQ!F46="","",PQ!F46)</f>
        <v>2.6999987416714375</v>
      </c>
      <c r="G41" s="290">
        <f>IF(PQ!G46="","",PQ!G46)</f>
        <v>6357.64</v>
      </c>
      <c r="H41" s="294" cm="1">
        <f t="array" aca="1" ref="H41" ca="1">INDIRECT($C41&amp;"!E6")</f>
        <v>6357.637999999999</v>
      </c>
      <c r="I41" s="294" cm="1">
        <f t="array" aca="1" ref="I41" ca="1">INDIRECT($C41&amp;"!E9")</f>
        <v>0</v>
      </c>
      <c r="J41" s="294" cm="1">
        <f t="array" aca="1" ref="J41" ca="1">INDIRECT($C41&amp;"!E5")</f>
        <v>6357.637999999999</v>
      </c>
      <c r="K41" s="294" cm="1">
        <f t="array" aca="1" ref="K41" ca="1">INDIRECT($C41&amp;"!E7")</f>
        <v>2.0000000013169483E-3</v>
      </c>
      <c r="L41" s="294" cm="1">
        <f t="array" aca="1" ref="L41" ca="1">INDIRECT($C41&amp;"!E8")</f>
        <v>0</v>
      </c>
      <c r="M41" s="70" cm="1">
        <f t="array" aca="1" ref="M41" ca="1">INDIRECT($C41&amp;"!G6")</f>
        <v>17165.614600002511</v>
      </c>
      <c r="N41" s="70" cm="1">
        <f t="array" aca="1" ref="N41" ca="1">INDIRECT($C41&amp;"!G9")</f>
        <v>0</v>
      </c>
      <c r="O41" s="70" cm="1">
        <f t="array" aca="1" ref="O41" ca="1">INDIRECT($C41&amp;"!G5")</f>
        <v>17165.614600002511</v>
      </c>
      <c r="P41" s="70" cm="1">
        <f t="array" aca="1" ref="P41" ca="1">INDIRECT($C41&amp;"!G7")</f>
        <v>5.3999974868986335E-3</v>
      </c>
      <c r="Q41" s="70" cm="1">
        <f t="array" aca="1" ref="Q41" ca="1">INDIRECT($C41&amp;"!G8")</f>
        <v>0</v>
      </c>
      <c r="R41" s="370">
        <f t="shared" ca="1" si="18"/>
        <v>0.99999968541785922</v>
      </c>
      <c r="S41" s="128">
        <f t="shared" ca="1" si="19"/>
        <v>0</v>
      </c>
    </row>
    <row r="42" spans="2:19" ht="19.899999999999999" customHeight="1" x14ac:dyDescent="0.25">
      <c r="B42" s="283" t="str">
        <f t="shared" si="17"/>
        <v>LINK</v>
      </c>
      <c r="C42" s="286" t="str">
        <f>IF(PQ!B47="","",PQ!B47)</f>
        <v>C.1.5</v>
      </c>
      <c r="D42" s="51" t="str">
        <f>IF(PQ!C47="","",PQ!C47)</f>
        <v>Regularização de bota-fora</v>
      </c>
      <c r="E42" s="66" t="str">
        <f>IF(PQ!E47="","",PQ!E47)</f>
        <v>m³</v>
      </c>
      <c r="F42" s="53">
        <f>IF(PQ!F47="","",PQ!F47)</f>
        <v>2.3299998112507154</v>
      </c>
      <c r="G42" s="371">
        <f>IF(PQ!G47="","",PQ!G47)</f>
        <v>6357.64</v>
      </c>
      <c r="H42" s="295" cm="1">
        <f t="array" aca="1" ref="H42" ca="1">INDIRECT($C42&amp;"!E6")</f>
        <v>0</v>
      </c>
      <c r="I42" s="295" cm="1">
        <f t="array" aca="1" ref="I42" ca="1">INDIRECT($C42&amp;"!E9")</f>
        <v>0</v>
      </c>
      <c r="J42" s="295" cm="1">
        <f t="array" aca="1" ref="J42" ca="1">INDIRECT($C42&amp;"!E5")</f>
        <v>0</v>
      </c>
      <c r="K42" s="295" cm="1">
        <f t="array" aca="1" ref="K42" ca="1">INDIRECT($C42&amp;"!E7")</f>
        <v>6357.64</v>
      </c>
      <c r="L42" s="295" cm="1">
        <f t="array" aca="1" ref="L42" ca="1">INDIRECT($C42&amp;"!E8")</f>
        <v>0</v>
      </c>
      <c r="M42" s="124" cm="1">
        <f t="array" aca="1" ref="M42" ca="1">INDIRECT($C42&amp;"!G6")</f>
        <v>0</v>
      </c>
      <c r="N42" s="124" cm="1">
        <f t="array" aca="1" ref="N42" ca="1">INDIRECT($C42&amp;"!G9")</f>
        <v>0</v>
      </c>
      <c r="O42" s="124" cm="1">
        <f t="array" aca="1" ref="O42" ca="1">INDIRECT($C42&amp;"!G5")</f>
        <v>0</v>
      </c>
      <c r="P42" s="124" cm="1">
        <f t="array" aca="1" ref="P42" ca="1">INDIRECT($C42&amp;"!G7")</f>
        <v>14813.3</v>
      </c>
      <c r="Q42" s="124" cm="1">
        <f t="array" aca="1" ref="Q42" ca="1">INDIRECT($C42&amp;"!G8")</f>
        <v>0</v>
      </c>
      <c r="R42" s="372">
        <f t="shared" ca="1" si="18"/>
        <v>0</v>
      </c>
      <c r="S42" s="316">
        <f t="shared" ca="1" si="19"/>
        <v>0</v>
      </c>
    </row>
    <row r="43" spans="2:19" ht="19.899999999999999" customHeight="1" x14ac:dyDescent="0.25">
      <c r="B43" s="115"/>
      <c r="C43" s="277" t="str">
        <f>IF(PQ!B48="","",PQ!B48)</f>
        <v>C.2</v>
      </c>
      <c r="D43" s="63" t="str">
        <f>IF(PQ!C48="","",PQ!C48)</f>
        <v>Pavimentação</v>
      </c>
      <c r="E43" s="64" t="str">
        <f>IF(PQ!E48="","",PQ!E48)</f>
        <v/>
      </c>
      <c r="F43" s="65" t="str">
        <f>IF(PQ!F48="","",PQ!F48)</f>
        <v/>
      </c>
      <c r="G43" s="292" t="str">
        <f>IF(PQ!G48="","",PQ!G48)</f>
        <v/>
      </c>
      <c r="H43" s="292"/>
      <c r="I43" s="292"/>
      <c r="J43" s="292"/>
      <c r="K43" s="292"/>
      <c r="L43" s="292"/>
      <c r="M43" s="72">
        <f ca="1">SUBTOTAL(9,M44:M49)</f>
        <v>431823.00565094233</v>
      </c>
      <c r="N43" s="72">
        <f t="shared" ref="N43:Q43" ca="1" si="20">SUBTOTAL(9,N44:N49)</f>
        <v>0</v>
      </c>
      <c r="O43" s="72">
        <f t="shared" ca="1" si="20"/>
        <v>431823.00565094233</v>
      </c>
      <c r="P43" s="72">
        <f t="shared" ca="1" si="20"/>
        <v>-13042.74565094235</v>
      </c>
      <c r="Q43" s="72">
        <f t="shared" ca="1" si="20"/>
        <v>0</v>
      </c>
      <c r="R43" s="127"/>
      <c r="S43" s="75"/>
    </row>
    <row r="44" spans="2:19" ht="19.899999999999999" customHeight="1" x14ac:dyDescent="0.25">
      <c r="B44" s="281" t="str">
        <f t="shared" ref="B44:B49" si="21">HYPERLINK("#"&amp;"'"&amp;C44&amp;"'"&amp;"!A1","LINK")</f>
        <v>LINK</v>
      </c>
      <c r="C44" s="284" t="str">
        <f>IF(PQ!B49="","",PQ!B49)</f>
        <v>C.2.1</v>
      </c>
      <c r="D44" s="51" t="str">
        <f>IF(PQ!C49="","",PQ!C49)</f>
        <v>Preparo e melhoramento do subleito</v>
      </c>
      <c r="E44" s="66" t="str">
        <f>IF(PQ!E49="","",PQ!E49)</f>
        <v>m²</v>
      </c>
      <c r="F44" s="53">
        <f>IF(PQ!F49="","",PQ!F49)</f>
        <v>4.2900001663035709</v>
      </c>
      <c r="G44" s="367">
        <f>IF(PQ!G49="","",PQ!G49)</f>
        <v>2405.2399999999998</v>
      </c>
      <c r="H44" s="293" cm="1">
        <f t="array" aca="1" ref="H44" ca="1">INDIRECT($C44&amp;"!E6")</f>
        <v>2405.241</v>
      </c>
      <c r="I44" s="293" cm="1">
        <f t="array" aca="1" ref="I44" ca="1">INDIRECT($C44&amp;"!E9")</f>
        <v>0</v>
      </c>
      <c r="J44" s="293" cm="1">
        <f t="array" aca="1" ref="J44" ca="1">INDIRECT($C44&amp;"!E5")</f>
        <v>2405.241</v>
      </c>
      <c r="K44" s="293" cm="1">
        <f t="array" aca="1" ref="K44" ca="1">INDIRECT($C44&amp;"!E7")</f>
        <v>-1.0000000002037268E-3</v>
      </c>
      <c r="L44" s="293" cm="1">
        <f t="array" aca="1" ref="L44" ca="1">INDIRECT($C44&amp;"!E8")</f>
        <v>0</v>
      </c>
      <c r="M44" s="123" cm="1">
        <f t="array" aca="1" ref="M44" ca="1">INDIRECT($C44&amp;"!G6")</f>
        <v>10318.484290000168</v>
      </c>
      <c r="N44" s="123" cm="1">
        <f t="array" aca="1" ref="N44" ca="1">INDIRECT($C44&amp;"!G9")</f>
        <v>0</v>
      </c>
      <c r="O44" s="123" cm="1">
        <f t="array" aca="1" ref="O44" ca="1">INDIRECT($C44&amp;"!G5")</f>
        <v>10318.484290000168</v>
      </c>
      <c r="P44" s="123" cm="1">
        <f t="array" aca="1" ref="P44" ca="1">INDIRECT($C44&amp;"!G7")</f>
        <v>-4.2900001671775587E-3</v>
      </c>
      <c r="Q44" s="123" cm="1">
        <f t="array" aca="1" ref="Q44" ca="1">INDIRECT($C44&amp;"!G8")</f>
        <v>0</v>
      </c>
      <c r="R44" s="368">
        <f t="shared" ref="R44:R49" ca="1" si="22">IF(ISERROR(J44/G44),0,J44/G44)</f>
        <v>1.0000004157589264</v>
      </c>
      <c r="S44" s="369">
        <f t="shared" ref="S44:S49" ca="1" si="23">IF(R44&gt;1,R44-1,0)</f>
        <v>4.1575892639755807E-7</v>
      </c>
    </row>
    <row r="45" spans="2:19" ht="19.899999999999999" customHeight="1" x14ac:dyDescent="0.25">
      <c r="B45" s="282" t="str">
        <f t="shared" si="21"/>
        <v>LINK</v>
      </c>
      <c r="C45" s="285" t="str">
        <f>IF(PQ!B50="","",PQ!B50)</f>
        <v>C.2.2</v>
      </c>
      <c r="D45" s="51" t="str">
        <f>IF(PQ!C50="","",PQ!C50)</f>
        <v>Rachão ou pedra de mão</v>
      </c>
      <c r="E45" s="66" t="str">
        <f>IF(PQ!E50="","",PQ!E50)</f>
        <v>m³</v>
      </c>
      <c r="F45" s="53">
        <f>IF(PQ!F50="","",PQ!F50)</f>
        <v>153.9200661888211</v>
      </c>
      <c r="G45" s="290">
        <f>IF(PQ!G50="","",PQ!G50)</f>
        <v>1202.6199999999999</v>
      </c>
      <c r="H45" s="294" cm="1">
        <f t="array" aca="1" ref="H45" ca="1">INDIRECT($C45&amp;"!E6")</f>
        <v>1202.6205</v>
      </c>
      <c r="I45" s="294" cm="1">
        <f t="array" aca="1" ref="I45" ca="1">INDIRECT($C45&amp;"!E9")</f>
        <v>0</v>
      </c>
      <c r="J45" s="294" cm="1">
        <f t="array" aca="1" ref="J45" ca="1">INDIRECT($C45&amp;"!E5")</f>
        <v>1202.6205</v>
      </c>
      <c r="K45" s="294" cm="1">
        <f t="array" aca="1" ref="K45" ca="1">INDIRECT($C45&amp;"!E7")</f>
        <v>-5.0000000010186341E-4</v>
      </c>
      <c r="L45" s="294" cm="1">
        <f t="array" aca="1" ref="L45" ca="1">INDIRECT($C45&amp;"!E8")</f>
        <v>0</v>
      </c>
      <c r="M45" s="70" cm="1">
        <f t="array" aca="1" ref="M45" ca="1">INDIRECT($C45&amp;"!G6")</f>
        <v>185107.42696003313</v>
      </c>
      <c r="N45" s="70" cm="1">
        <f t="array" aca="1" ref="N45" ca="1">INDIRECT($C45&amp;"!G9")</f>
        <v>0</v>
      </c>
      <c r="O45" s="70" cm="1">
        <f t="array" aca="1" ref="O45" ca="1">INDIRECT($C45&amp;"!G5")</f>
        <v>185107.42696003313</v>
      </c>
      <c r="P45" s="70" cm="1">
        <f t="array" aca="1" ref="P45" ca="1">INDIRECT($C45&amp;"!G7")</f>
        <v>-7.6960033110089365E-2</v>
      </c>
      <c r="Q45" s="70" cm="1">
        <f t="array" aca="1" ref="Q45" ca="1">INDIRECT($C45&amp;"!G8")</f>
        <v>0</v>
      </c>
      <c r="R45" s="370">
        <f t="shared" ca="1" si="22"/>
        <v>1.0000004157589264</v>
      </c>
      <c r="S45" s="128">
        <f t="shared" ca="1" si="23"/>
        <v>4.1575892639755807E-7</v>
      </c>
    </row>
    <row r="46" spans="2:19" ht="19.899999999999999" customHeight="1" x14ac:dyDescent="0.25">
      <c r="B46" s="282" t="str">
        <f t="shared" si="21"/>
        <v>LINK</v>
      </c>
      <c r="C46" s="285" t="str">
        <f>IF(PQ!B51="","",PQ!B51)</f>
        <v>C.2.3</v>
      </c>
      <c r="D46" s="51" t="str">
        <f>IF(PQ!C51="","",PQ!C51)</f>
        <v>Sub-base ou base de brita graduada simples (BGS)</v>
      </c>
      <c r="E46" s="66" t="str">
        <f>IF(PQ!E51="","",PQ!E51)</f>
        <v>m³</v>
      </c>
      <c r="F46" s="53">
        <f>IF(PQ!F51="","",PQ!F51)</f>
        <v>173.54936077330839</v>
      </c>
      <c r="G46" s="290">
        <f>IF(PQ!G51="","",PQ!G51)</f>
        <v>481.05</v>
      </c>
      <c r="H46" s="294" cm="1">
        <f t="array" aca="1" ref="H46" ca="1">INDIRECT($C46&amp;"!E6")</f>
        <v>481.04820000000007</v>
      </c>
      <c r="I46" s="294" cm="1">
        <f t="array" aca="1" ref="I46" ca="1">INDIRECT($C46&amp;"!E9")</f>
        <v>0</v>
      </c>
      <c r="J46" s="294" cm="1">
        <f t="array" aca="1" ref="J46" ca="1">INDIRECT($C46&amp;"!E5")</f>
        <v>481.04820000000007</v>
      </c>
      <c r="K46" s="294" cm="1">
        <f t="array" aca="1" ref="K46" ca="1">INDIRECT($C46&amp;"!E7")</f>
        <v>1.799999999946067E-3</v>
      </c>
      <c r="L46" s="294" cm="1">
        <f t="array" aca="1" ref="L46" ca="1">INDIRECT($C46&amp;"!E8")</f>
        <v>0</v>
      </c>
      <c r="M46" s="70" cm="1">
        <f t="array" aca="1" ref="M46" ca="1">INDIRECT($C46&amp;"!G6")</f>
        <v>83485.607611150626</v>
      </c>
      <c r="N46" s="70" cm="1">
        <f t="array" aca="1" ref="N46" ca="1">INDIRECT($C46&amp;"!G9")</f>
        <v>0</v>
      </c>
      <c r="O46" s="70" cm="1">
        <f t="array" aca="1" ref="O46" ca="1">INDIRECT($C46&amp;"!G5")</f>
        <v>83485.607611150626</v>
      </c>
      <c r="P46" s="70" cm="1">
        <f t="array" aca="1" ref="P46" ca="1">INDIRECT($C46&amp;"!G7")</f>
        <v>0.31238884938259509</v>
      </c>
      <c r="Q46" s="70" cm="1">
        <f t="array" aca="1" ref="Q46" ca="1">INDIRECT($C46&amp;"!G8")</f>
        <v>0</v>
      </c>
      <c r="R46" s="370">
        <f t="shared" ca="1" si="22"/>
        <v>0.99999625818521998</v>
      </c>
      <c r="S46" s="128">
        <f t="shared" ca="1" si="23"/>
        <v>0</v>
      </c>
    </row>
    <row r="47" spans="2:19" ht="19.899999999999999" customHeight="1" x14ac:dyDescent="0.25">
      <c r="B47" s="282" t="str">
        <f t="shared" si="21"/>
        <v>LINK</v>
      </c>
      <c r="C47" s="285" t="str">
        <f>IF(PQ!B52="","",PQ!B52)</f>
        <v>C.2.4</v>
      </c>
      <c r="D47" s="51" t="str">
        <f>IF(PQ!C52="","",PQ!C52)</f>
        <v>Imprimadura betuminosa impermeabilizante</v>
      </c>
      <c r="E47" s="66" t="str">
        <f>IF(PQ!E52="","",PQ!E52)</f>
        <v>m²</v>
      </c>
      <c r="F47" s="53">
        <f>IF(PQ!F52="","",PQ!F52)</f>
        <v>0.87000049891071163</v>
      </c>
      <c r="G47" s="290">
        <f>IF(PQ!G52="","",PQ!G52)</f>
        <v>2405.2399999999998</v>
      </c>
      <c r="H47" s="294" cm="1">
        <f t="array" aca="1" ref="H47" ca="1">INDIRECT($C47&amp;"!E6")</f>
        <v>2405.241</v>
      </c>
      <c r="I47" s="294" cm="1">
        <f t="array" aca="1" ref="I47" ca="1">INDIRECT($C47&amp;"!E9")</f>
        <v>0</v>
      </c>
      <c r="J47" s="294" cm="1">
        <f t="array" aca="1" ref="J47" ca="1">INDIRECT($C47&amp;"!E5")</f>
        <v>2405.241</v>
      </c>
      <c r="K47" s="294" cm="1">
        <f t="array" aca="1" ref="K47" ca="1">INDIRECT($C47&amp;"!E7")</f>
        <v>-1.0000000002037268E-3</v>
      </c>
      <c r="L47" s="294" cm="1">
        <f t="array" aca="1" ref="L47" ca="1">INDIRECT($C47&amp;"!E8")</f>
        <v>0</v>
      </c>
      <c r="M47" s="70" cm="1">
        <f t="array" aca="1" ref="M47" ca="1">INDIRECT($C47&amp;"!G6")</f>
        <v>2092.5608700004991</v>
      </c>
      <c r="N47" s="70" cm="1">
        <f t="array" aca="1" ref="N47" ca="1">INDIRECT($C47&amp;"!G9")</f>
        <v>0</v>
      </c>
      <c r="O47" s="70" cm="1">
        <f t="array" aca="1" ref="O47" ca="1">INDIRECT($C47&amp;"!G5")</f>
        <v>2092.5608700004991</v>
      </c>
      <c r="P47" s="70" cm="1">
        <f t="array" aca="1" ref="P47" ca="1">INDIRECT($C47&amp;"!G7")</f>
        <v>-8.7000049908795402E-4</v>
      </c>
      <c r="Q47" s="70" cm="1">
        <f t="array" aca="1" ref="Q47" ca="1">INDIRECT($C47&amp;"!G8")</f>
        <v>0</v>
      </c>
      <c r="R47" s="370">
        <f t="shared" ca="1" si="22"/>
        <v>1.0000004157589264</v>
      </c>
      <c r="S47" s="128">
        <f t="shared" ca="1" si="23"/>
        <v>4.1575892639755807E-7</v>
      </c>
    </row>
    <row r="48" spans="2:19" ht="19.899999999999999" customHeight="1" x14ac:dyDescent="0.25">
      <c r="B48" s="282" t="str">
        <f t="shared" si="21"/>
        <v>LINK</v>
      </c>
      <c r="C48" s="285" t="str">
        <f>IF(PQ!B53="","",PQ!B53)</f>
        <v>C.2.5</v>
      </c>
      <c r="D48" s="51" t="str">
        <f>IF(PQ!C53="","",PQ!C53)</f>
        <v>Imprimadura betuminosa ligante</v>
      </c>
      <c r="E48" s="66" t="str">
        <f>IF(PQ!E53="","",PQ!E53)</f>
        <v>m²</v>
      </c>
      <c r="F48" s="53">
        <f>IF(PQ!F53="","",PQ!F53)</f>
        <v>0.53000116412499376</v>
      </c>
      <c r="G48" s="290">
        <f>IF(PQ!G53="","",PQ!G53)</f>
        <v>4810.4799999999996</v>
      </c>
      <c r="H48" s="294" cm="1">
        <f t="array" aca="1" ref="H48" ca="1">INDIRECT($C48&amp;"!E6")</f>
        <v>4810.482</v>
      </c>
      <c r="I48" s="294" cm="1">
        <f t="array" aca="1" ref="I48" ca="1">INDIRECT($C48&amp;"!E9")</f>
        <v>0</v>
      </c>
      <c r="J48" s="294" cm="1">
        <f t="array" aca="1" ref="J48" ca="1">INDIRECT($C48&amp;"!E5")</f>
        <v>4810.482</v>
      </c>
      <c r="K48" s="294" cm="1">
        <f t="array" aca="1" ref="K48" ca="1">INDIRECT($C48&amp;"!E7")</f>
        <v>-2.0000000004074536E-3</v>
      </c>
      <c r="L48" s="294" cm="1">
        <f t="array" aca="1" ref="L48" ca="1">INDIRECT($C48&amp;"!E8")</f>
        <v>0</v>
      </c>
      <c r="M48" s="70" cm="1">
        <f t="array" aca="1" ref="M48" ca="1">INDIRECT($C48&amp;"!G6")</f>
        <v>2549.5610600023283</v>
      </c>
      <c r="N48" s="70" cm="1">
        <f t="array" aca="1" ref="N48" ca="1">INDIRECT($C48&amp;"!G9")</f>
        <v>0</v>
      </c>
      <c r="O48" s="70" cm="1">
        <f t="array" aca="1" ref="O48" ca="1">INDIRECT($C48&amp;"!G5")</f>
        <v>2549.5610600023283</v>
      </c>
      <c r="P48" s="70" cm="1">
        <f t="array" aca="1" ref="P48" ca="1">INDIRECT($C48&amp;"!G7")</f>
        <v>-1.0600023284659385E-3</v>
      </c>
      <c r="Q48" s="70" cm="1">
        <f t="array" aca="1" ref="Q48" ca="1">INDIRECT($C48&amp;"!G8")</f>
        <v>0</v>
      </c>
      <c r="R48" s="370">
        <f t="shared" ca="1" si="22"/>
        <v>1.0000004157589264</v>
      </c>
      <c r="S48" s="128">
        <f t="shared" ca="1" si="23"/>
        <v>4.1575892639755807E-7</v>
      </c>
    </row>
    <row r="49" spans="2:19" ht="19.899999999999999" customHeight="1" x14ac:dyDescent="0.25">
      <c r="B49" s="283" t="str">
        <f t="shared" si="21"/>
        <v>LINK</v>
      </c>
      <c r="C49" s="286" t="str">
        <f>IF(PQ!B54="","",PQ!B54)</f>
        <v>C.2.6</v>
      </c>
      <c r="D49" s="51" t="str">
        <f>IF(PQ!C54="","",PQ!C54)</f>
        <v>CBUQ  Faixa C/D c/ DOP ou polímero similar</v>
      </c>
      <c r="E49" s="66" t="str">
        <f>IF(PQ!E54="","",PQ!E54)</f>
        <v>T</v>
      </c>
      <c r="F49" s="53">
        <f>IF(PQ!F54="","",PQ!F54)</f>
        <v>308.74309915751502</v>
      </c>
      <c r="G49" s="371">
        <f>IF(PQ!G54="","",PQ!G54)</f>
        <v>437.99</v>
      </c>
      <c r="H49" s="295" cm="1">
        <f t="array" aca="1" ref="H49" ca="1">INDIRECT($C49&amp;"!E6")</f>
        <v>480.23539720999997</v>
      </c>
      <c r="I49" s="295" cm="1">
        <f t="array" aca="1" ref="I49" ca="1">INDIRECT($C49&amp;"!E9")</f>
        <v>0</v>
      </c>
      <c r="J49" s="295" cm="1">
        <f t="array" aca="1" ref="J49" ca="1">INDIRECT($C49&amp;"!E5")</f>
        <v>480.23539720999997</v>
      </c>
      <c r="K49" s="295" cm="1">
        <f t="array" aca="1" ref="K49" ca="1">INDIRECT($C49&amp;"!E7")</f>
        <v>-42.245397209999965</v>
      </c>
      <c r="L49" s="295" cm="1">
        <f t="array" aca="1" ref="L49" ca="1">INDIRECT($C49&amp;"!E8")</f>
        <v>0</v>
      </c>
      <c r="M49" s="124" cm="1">
        <f t="array" aca="1" ref="M49" ca="1">INDIRECT($C49&amp;"!G6")</f>
        <v>148269.36485975565</v>
      </c>
      <c r="N49" s="124" cm="1">
        <f t="array" aca="1" ref="N49" ca="1">INDIRECT($C49&amp;"!G9")</f>
        <v>0</v>
      </c>
      <c r="O49" s="124" cm="1">
        <f t="array" aca="1" ref="O49" ca="1">INDIRECT($C49&amp;"!G5")</f>
        <v>148269.36485975565</v>
      </c>
      <c r="P49" s="124" cm="1">
        <f t="array" aca="1" ref="P49" ca="1">INDIRECT($C49&amp;"!G7")</f>
        <v>-13042.974859755628</v>
      </c>
      <c r="Q49" s="124" cm="1">
        <f t="array" aca="1" ref="Q49" ca="1">INDIRECT($C49&amp;"!G8")</f>
        <v>0</v>
      </c>
      <c r="R49" s="372">
        <f t="shared" ca="1" si="22"/>
        <v>1.0964528806822074</v>
      </c>
      <c r="S49" s="316">
        <f t="shared" ca="1" si="23"/>
        <v>9.6452880682207365E-2</v>
      </c>
    </row>
    <row r="50" spans="2:19" ht="19.899999999999999" customHeight="1" x14ac:dyDescent="0.25">
      <c r="B50" s="115"/>
      <c r="C50" s="277" t="str">
        <f>IF(PQ!B55="","",PQ!B55)</f>
        <v>C.3</v>
      </c>
      <c r="D50" s="63" t="str">
        <f>IF(PQ!C55="","",PQ!C55)</f>
        <v>Material Betuminoso e Transportes</v>
      </c>
      <c r="E50" s="64" t="str">
        <f>IF(PQ!E55="","",PQ!E55)</f>
        <v/>
      </c>
      <c r="F50" s="65" t="str">
        <f>IF(PQ!F55="","",PQ!F55)</f>
        <v/>
      </c>
      <c r="G50" s="292" t="str">
        <f>IF(PQ!G55="","",PQ!G55)</f>
        <v/>
      </c>
      <c r="H50" s="292"/>
      <c r="I50" s="292"/>
      <c r="J50" s="292"/>
      <c r="K50" s="292"/>
      <c r="L50" s="292"/>
      <c r="M50" s="72">
        <f ca="1">SUBTOTAL(9,M51:M56)</f>
        <v>320049.0700954005</v>
      </c>
      <c r="N50" s="72">
        <f t="shared" ref="N50:Q50" ca="1" si="24">SUBTOTAL(9,N51:N56)</f>
        <v>0</v>
      </c>
      <c r="O50" s="72">
        <f t="shared" ca="1" si="24"/>
        <v>320049.0700954005</v>
      </c>
      <c r="P50" s="72">
        <f t="shared" ca="1" si="24"/>
        <v>-15012.070095400493</v>
      </c>
      <c r="Q50" s="72">
        <f t="shared" ca="1" si="24"/>
        <v>0</v>
      </c>
      <c r="R50" s="127"/>
      <c r="S50" s="75"/>
    </row>
    <row r="51" spans="2:19" ht="19.899999999999999" customHeight="1" x14ac:dyDescent="0.25">
      <c r="B51" s="281" t="str">
        <f t="shared" ref="B51:B56" si="25">HYPERLINK("#"&amp;"'"&amp;C51&amp;"'"&amp;"!A1","LINK")</f>
        <v>LINK</v>
      </c>
      <c r="C51" s="284" t="str">
        <f>IF(PQ!B56="","",PQ!B56)</f>
        <v>C.3.1</v>
      </c>
      <c r="D51" s="51" t="str">
        <f>IF(PQ!C56="","",PQ!C56)</f>
        <v>Fornecimento de emulsão asfáltica Imprimer</v>
      </c>
      <c r="E51" s="66" t="str">
        <f>IF(PQ!E56="","",PQ!E56)</f>
        <v>T</v>
      </c>
      <c r="F51" s="53">
        <f>IF(PQ!F56="","",PQ!F56)</f>
        <v>3055.856707317073</v>
      </c>
      <c r="G51" s="367">
        <f>IF(PQ!G56="","",PQ!G56)</f>
        <v>3.28</v>
      </c>
      <c r="H51" s="293" cm="1">
        <f t="array" aca="1" ref="H51" ca="1">INDIRECT($C51&amp;"!E6")</f>
        <v>3.7632973599999997</v>
      </c>
      <c r="I51" s="293" cm="1">
        <f t="array" aca="1" ref="I51" ca="1">INDIRECT($C51&amp;"!E9")</f>
        <v>0</v>
      </c>
      <c r="J51" s="293" cm="1">
        <f t="array" aca="1" ref="J51" ca="1">INDIRECT($C51&amp;"!E5")</f>
        <v>3.7632973599999997</v>
      </c>
      <c r="K51" s="293" cm="1">
        <f t="array" aca="1" ref="K51" ca="1">INDIRECT($C51&amp;"!E7")</f>
        <v>-0.4832973599999999</v>
      </c>
      <c r="L51" s="293" cm="1">
        <f t="array" aca="1" ref="L51" ca="1">INDIRECT($C51&amp;"!E8")</f>
        <v>0</v>
      </c>
      <c r="M51" s="123" cm="1">
        <f t="array" aca="1" ref="M51" ca="1">INDIRECT($C51&amp;"!G6")</f>
        <v>11500.097479184633</v>
      </c>
      <c r="N51" s="123" cm="1">
        <f t="array" aca="1" ref="N51" ca="1">INDIRECT($C51&amp;"!G9")</f>
        <v>0</v>
      </c>
      <c r="O51" s="123" cm="1">
        <f t="array" aca="1" ref="O51" ca="1">INDIRECT($C51&amp;"!G5")</f>
        <v>11500.097479184633</v>
      </c>
      <c r="P51" s="123" cm="1">
        <f t="array" aca="1" ref="P51" ca="1">INDIRECT($C51&amp;"!G7")</f>
        <v>-1476.8874791846338</v>
      </c>
      <c r="Q51" s="123" cm="1">
        <f t="array" aca="1" ref="Q51" ca="1">INDIRECT($C51&amp;"!G8")</f>
        <v>0</v>
      </c>
      <c r="R51" s="368">
        <f t="shared" ref="R51:R56" ca="1" si="26">IF(ISERROR(J51/G51),0,J51/G51)</f>
        <v>1.147346756097561</v>
      </c>
      <c r="S51" s="369">
        <f t="shared" ref="S51:S56" ca="1" si="27">IF(R51&gt;1,R51-1,0)</f>
        <v>0.14734675609756098</v>
      </c>
    </row>
    <row r="52" spans="2:19" ht="19.899999999999999" customHeight="1" x14ac:dyDescent="0.25">
      <c r="B52" s="282" t="str">
        <f t="shared" si="25"/>
        <v>LINK</v>
      </c>
      <c r="C52" s="285" t="str">
        <f>IF(PQ!B57="","",PQ!B57)</f>
        <v>C.3.2</v>
      </c>
      <c r="D52" s="51" t="str">
        <f>IF(PQ!C57="","",PQ!C57)</f>
        <v>Fornecimento de emulsão asfáltica tipo RR-1C</v>
      </c>
      <c r="E52" s="66" t="str">
        <f>IF(PQ!E57="","",PQ!E57)</f>
        <v>T</v>
      </c>
      <c r="F52" s="53">
        <f>IF(PQ!F57="","",PQ!F57)</f>
        <v>3461.7051282051284</v>
      </c>
      <c r="G52" s="290">
        <f>IF(PQ!G57="","",PQ!G57)</f>
        <v>2.34</v>
      </c>
      <c r="H52" s="294" cm="1">
        <f t="array" aca="1" ref="H52" ca="1">INDIRECT($C52&amp;"!E6")</f>
        <v>2.6298570517672797</v>
      </c>
      <c r="I52" s="294" cm="1">
        <f t="array" aca="1" ref="I52" ca="1">INDIRECT($C52&amp;"!E9")</f>
        <v>0</v>
      </c>
      <c r="J52" s="294" cm="1">
        <f t="array" aca="1" ref="J52" ca="1">INDIRECT($C52&amp;"!E5")</f>
        <v>2.6298570517672797</v>
      </c>
      <c r="K52" s="294" cm="1">
        <f t="array" aca="1" ref="K52" ca="1">INDIRECT($C52&amp;"!E7")</f>
        <v>-0.28985705176727983</v>
      </c>
      <c r="L52" s="294" cm="1">
        <f t="array" aca="1" ref="L52" ca="1">INDIRECT($C52&amp;"!E8")</f>
        <v>0</v>
      </c>
      <c r="M52" s="70" cm="1">
        <f t="array" aca="1" ref="M52" ca="1">INDIRECT($C52&amp;"!G6")</f>
        <v>9103.7896425492127</v>
      </c>
      <c r="N52" s="70" cm="1">
        <f t="array" aca="1" ref="N52" ca="1">INDIRECT($C52&amp;"!G9")</f>
        <v>0</v>
      </c>
      <c r="O52" s="70" cm="1">
        <f t="array" aca="1" ref="O52" ca="1">INDIRECT($C52&amp;"!G5")</f>
        <v>9103.7896425492127</v>
      </c>
      <c r="P52" s="70" cm="1">
        <f t="array" aca="1" ref="P52" ca="1">INDIRECT($C52&amp;"!G7")</f>
        <v>-1003.399642549212</v>
      </c>
      <c r="Q52" s="70" cm="1">
        <f t="array" aca="1" ref="Q52" ca="1">INDIRECT($C52&amp;"!G8")</f>
        <v>0</v>
      </c>
      <c r="R52" s="370">
        <f t="shared" ca="1" si="26"/>
        <v>1.123870534943282</v>
      </c>
      <c r="S52" s="128">
        <f t="shared" ca="1" si="27"/>
        <v>0.12387053494328204</v>
      </c>
    </row>
    <row r="53" spans="2:19" ht="19.899999999999999" customHeight="1" x14ac:dyDescent="0.25">
      <c r="B53" s="282" t="str">
        <f t="shared" si="25"/>
        <v>LINK</v>
      </c>
      <c r="C53" s="285" t="str">
        <f>IF(PQ!B58="","",PQ!B58)</f>
        <v>C.3.3</v>
      </c>
      <c r="D53" s="51" t="str">
        <f>IF(PQ!C58="","",PQ!C58)</f>
        <v>Fornecimento de CAP modificado com adição de polímero</v>
      </c>
      <c r="E53" s="66" t="str">
        <f>IF(PQ!E58="","",PQ!E58)</f>
        <v>T</v>
      </c>
      <c r="F53" s="53">
        <f>IF(PQ!F58="","",PQ!F58)</f>
        <v>6076.7260519247984</v>
      </c>
      <c r="G53" s="290">
        <f>IF(PQ!G58="","",PQ!G58)</f>
        <v>22.34</v>
      </c>
      <c r="H53" s="294" cm="1">
        <f t="array" aca="1" ref="H53" ca="1">INDIRECT($C53&amp;"!E6")</f>
        <v>24.395266198099101</v>
      </c>
      <c r="I53" s="294" cm="1">
        <f t="array" aca="1" ref="I53" ca="1">INDIRECT($C53&amp;"!E9")</f>
        <v>0</v>
      </c>
      <c r="J53" s="294" cm="1">
        <f t="array" aca="1" ref="J53" ca="1">INDIRECT($C53&amp;"!E5")</f>
        <v>24.395266198099101</v>
      </c>
      <c r="K53" s="294" cm="1">
        <f t="array" aca="1" ref="K53" ca="1">INDIRECT($C53&amp;"!E7")</f>
        <v>-2.0552661980991012</v>
      </c>
      <c r="L53" s="294" cm="1">
        <f t="array" aca="1" ref="L53" ca="1">INDIRECT($C53&amp;"!E8")</f>
        <v>0</v>
      </c>
      <c r="M53" s="70" cm="1">
        <f t="array" aca="1" ref="M53" ca="1">INDIRECT($C53&amp;"!G6")</f>
        <v>148243.34964962924</v>
      </c>
      <c r="N53" s="70" cm="1">
        <f t="array" aca="1" ref="N53" ca="1">INDIRECT($C53&amp;"!G9")</f>
        <v>0</v>
      </c>
      <c r="O53" s="70" cm="1">
        <f t="array" aca="1" ref="O53" ca="1">INDIRECT($C53&amp;"!G5")</f>
        <v>148243.34964962924</v>
      </c>
      <c r="P53" s="70" cm="1">
        <f t="array" aca="1" ref="P53" ca="1">INDIRECT($C53&amp;"!G7")</f>
        <v>-12489.289649629241</v>
      </c>
      <c r="Q53" s="70" cm="1">
        <f t="array" aca="1" ref="Q53" ca="1">INDIRECT($C53&amp;"!G8")</f>
        <v>0</v>
      </c>
      <c r="R53" s="370">
        <f t="shared" ca="1" si="26"/>
        <v>1.0919993821888585</v>
      </c>
      <c r="S53" s="128">
        <f t="shared" ca="1" si="27"/>
        <v>9.1999382188858503E-2</v>
      </c>
    </row>
    <row r="54" spans="2:19" ht="19.899999999999999" customHeight="1" x14ac:dyDescent="0.25">
      <c r="B54" s="282" t="str">
        <f t="shared" si="25"/>
        <v>LINK</v>
      </c>
      <c r="C54" s="285" t="str">
        <f>IF(PQ!B59="","",PQ!B59)</f>
        <v>C.3.4</v>
      </c>
      <c r="D54" s="51" t="str">
        <f>IF(PQ!C59="","",PQ!C59)</f>
        <v>Transporte com caminhão basculante de 14 m³ - rodovia pavimentada  - Agregados</v>
      </c>
      <c r="E54" s="66" t="str">
        <f>IF(PQ!E59="","",PQ!E59)</f>
        <v>T x Km</v>
      </c>
      <c r="F54" s="53">
        <f>IF(PQ!F59="","",PQ!F59)</f>
        <v>1.0600000033573056</v>
      </c>
      <c r="G54" s="290">
        <f>IF(PQ!G59="","",PQ!G59)</f>
        <v>119143.16</v>
      </c>
      <c r="H54" s="294" cm="1">
        <f t="array" aca="1" ref="H54" ca="1">INDIRECT($C54&amp;"!E6")</f>
        <v>119183.24963395231</v>
      </c>
      <c r="I54" s="294" cm="1">
        <f t="array" aca="1" ref="I54" ca="1">INDIRECT($C54&amp;"!E9")</f>
        <v>0</v>
      </c>
      <c r="J54" s="294" cm="1">
        <f t="array" aca="1" ref="J54" ca="1">INDIRECT($C54&amp;"!E5")</f>
        <v>119183.24963395231</v>
      </c>
      <c r="K54" s="294" cm="1">
        <f t="array" aca="1" ref="K54" ca="1">INDIRECT($C54&amp;"!E7")</f>
        <v>-40.089633952302393</v>
      </c>
      <c r="L54" s="294" cm="1">
        <f t="array" aca="1" ref="L54" ca="1">INDIRECT($C54&amp;"!E8")</f>
        <v>0</v>
      </c>
      <c r="M54" s="70" cm="1">
        <f t="array" aca="1" ref="M54" ca="1">INDIRECT($C54&amp;"!G6")</f>
        <v>126334.24501212404</v>
      </c>
      <c r="N54" s="70" cm="1">
        <f t="array" aca="1" ref="N54" ca="1">INDIRECT($C54&amp;"!G9")</f>
        <v>0</v>
      </c>
      <c r="O54" s="70" cm="1">
        <f t="array" aca="1" ref="O54" ca="1">INDIRECT($C54&amp;"!G5")</f>
        <v>126334.24501212404</v>
      </c>
      <c r="P54" s="70" cm="1">
        <f t="array" aca="1" ref="P54" ca="1">INDIRECT($C54&amp;"!G7")</f>
        <v>-42.495012124033686</v>
      </c>
      <c r="Q54" s="70" cm="1">
        <f t="array" aca="1" ref="Q54" ca="1">INDIRECT($C54&amp;"!G8")</f>
        <v>0</v>
      </c>
      <c r="R54" s="370">
        <f t="shared" ca="1" si="26"/>
        <v>1.0003364828828807</v>
      </c>
      <c r="S54" s="128">
        <f t="shared" ca="1" si="27"/>
        <v>3.3648288288068429E-4</v>
      </c>
    </row>
    <row r="55" spans="2:19" ht="19.899999999999999" customHeight="1" x14ac:dyDescent="0.25">
      <c r="B55" s="282" t="str">
        <f t="shared" si="25"/>
        <v>LINK</v>
      </c>
      <c r="C55" s="285" t="str">
        <f>IF(PQ!B60="","",PQ!B60)</f>
        <v>C.3.5</v>
      </c>
      <c r="D55" s="51" t="str">
        <f>IF(PQ!C60="","",PQ!C60)</f>
        <v>Transporte com caminhão basculante de 14 m³ - rodovia pavimentada  - Massa Asfaltica</v>
      </c>
      <c r="E55" s="66" t="str">
        <f>IF(PQ!E60="","",PQ!E60)</f>
        <v>T x Km</v>
      </c>
      <c r="F55" s="53">
        <f>IF(PQ!F60="","",PQ!F60)</f>
        <v>0.78999987137271044</v>
      </c>
      <c r="G55" s="290">
        <f>IF(PQ!G60="","",PQ!G60)</f>
        <v>24878.080000000002</v>
      </c>
      <c r="H55" s="294" cm="1">
        <f t="array" aca="1" ref="H55" ca="1">INDIRECT($C55&amp;"!E6")</f>
        <v>24878.081193528</v>
      </c>
      <c r="I55" s="294" cm="1">
        <f t="array" aca="1" ref="I55" ca="1">INDIRECT($C55&amp;"!E9")</f>
        <v>0</v>
      </c>
      <c r="J55" s="294" cm="1">
        <f t="array" aca="1" ref="J55" ca="1">INDIRECT($C55&amp;"!E5")</f>
        <v>24878.081193528</v>
      </c>
      <c r="K55" s="294" cm="1">
        <f t="array" aca="1" ref="K55" ca="1">INDIRECT($C55&amp;"!E7")</f>
        <v>-1.1935279981116764E-3</v>
      </c>
      <c r="L55" s="294" cm="1">
        <f t="array" aca="1" ref="L55" ca="1">INDIRECT($C55&amp;"!E8")</f>
        <v>0</v>
      </c>
      <c r="M55" s="70" cm="1">
        <f t="array" aca="1" ref="M55" ca="1">INDIRECT($C55&amp;"!G6")</f>
        <v>19653.680942886967</v>
      </c>
      <c r="N55" s="70" cm="1">
        <f t="array" aca="1" ref="N55" ca="1">INDIRECT($C55&amp;"!G9")</f>
        <v>0</v>
      </c>
      <c r="O55" s="70" cm="1">
        <f t="array" aca="1" ref="O55" ca="1">INDIRECT($C55&amp;"!G5")</f>
        <v>19653.680942886967</v>
      </c>
      <c r="P55" s="70" cm="1">
        <f t="array" aca="1" ref="P55" ca="1">INDIRECT($C55&amp;"!G7")</f>
        <v>-9.4288696498795292E-4</v>
      </c>
      <c r="Q55" s="70" cm="1">
        <f t="array" aca="1" ref="Q55" ca="1">INDIRECT($C55&amp;"!G8")</f>
        <v>0</v>
      </c>
      <c r="R55" s="370">
        <f t="shared" ca="1" si="26"/>
        <v>1.0000000479750848</v>
      </c>
      <c r="S55" s="128">
        <f t="shared" ca="1" si="27"/>
        <v>4.7975084793705491E-8</v>
      </c>
    </row>
    <row r="56" spans="2:19" ht="19.899999999999999" customHeight="1" x14ac:dyDescent="0.25">
      <c r="B56" s="283" t="str">
        <f t="shared" si="25"/>
        <v>LINK</v>
      </c>
      <c r="C56" s="286" t="str">
        <f>IF(PQ!B61="","",PQ!B61)</f>
        <v>C.3.6</v>
      </c>
      <c r="D56" s="51" t="str">
        <f>IF(PQ!C61="","",PQ!C61)</f>
        <v>Transporte com caminhão basculante de 14 m³ - rodovia pavimentada  - Materiais Betuminosos</v>
      </c>
      <c r="E56" s="66" t="str">
        <f>IF(PQ!E61="","",PQ!E61)</f>
        <v>T x Km</v>
      </c>
      <c r="F56" s="53">
        <f>IF(PQ!F61="","",PQ!F61)</f>
        <v>0.78999953029520187</v>
      </c>
      <c r="G56" s="371">
        <f>IF(PQ!G61="","",PQ!G61)</f>
        <v>6599.89</v>
      </c>
      <c r="H56" s="295" cm="1">
        <f t="array" aca="1" ref="H56" ca="1">INDIRECT($C56&amp;"!E6")</f>
        <v>6599.8866696516998</v>
      </c>
      <c r="I56" s="295" cm="1">
        <f t="array" aca="1" ref="I56" ca="1">INDIRECT($C56&amp;"!E9")</f>
        <v>0</v>
      </c>
      <c r="J56" s="295" cm="1">
        <f t="array" aca="1" ref="J56" ca="1">INDIRECT($C56&amp;"!E5")</f>
        <v>6599.8866696516998</v>
      </c>
      <c r="K56" s="295" cm="1">
        <f t="array" aca="1" ref="K56" ca="1">INDIRECT($C56&amp;"!E7")</f>
        <v>3.3303483005511225E-3</v>
      </c>
      <c r="L56" s="295" cm="1">
        <f t="array" aca="1" ref="L56" ca="1">INDIRECT($C56&amp;"!E8")</f>
        <v>0</v>
      </c>
      <c r="M56" s="124" cm="1">
        <f t="array" aca="1" ref="M56" ca="1">INDIRECT($C56&amp;"!G6")</f>
        <v>5213.9073690264067</v>
      </c>
      <c r="N56" s="124" cm="1">
        <f t="array" aca="1" ref="N56" ca="1">INDIRECT($C56&amp;"!G9")</f>
        <v>0</v>
      </c>
      <c r="O56" s="124" cm="1">
        <f t="array" aca="1" ref="O56" ca="1">INDIRECT($C56&amp;"!G5")</f>
        <v>5213.9073690264067</v>
      </c>
      <c r="P56" s="124" cm="1">
        <f t="array" aca="1" ref="P56" ca="1">INDIRECT($C56&amp;"!G7")</f>
        <v>2.6309735931548104E-3</v>
      </c>
      <c r="Q56" s="124" cm="1">
        <f t="array" aca="1" ref="Q56" ca="1">INDIRECT($C56&amp;"!G8")</f>
        <v>0</v>
      </c>
      <c r="R56" s="372">
        <f t="shared" ca="1" si="26"/>
        <v>0.99999949539336253</v>
      </c>
      <c r="S56" s="316">
        <f t="shared" ca="1" si="27"/>
        <v>0</v>
      </c>
    </row>
    <row r="57" spans="2:19" ht="19.899999999999999" customHeight="1" x14ac:dyDescent="0.25">
      <c r="B57" s="115"/>
      <c r="C57" s="277" t="str">
        <f>IF(PQ!B62="","",PQ!B62)</f>
        <v>C.4</v>
      </c>
      <c r="D57" s="63" t="str">
        <f>IF(PQ!C62="","",PQ!C62)</f>
        <v>Drenagem e OACs</v>
      </c>
      <c r="E57" s="64" t="str">
        <f>IF(PQ!E62="","",PQ!E62)</f>
        <v/>
      </c>
      <c r="F57" s="65" t="str">
        <f>IF(PQ!F62="","",PQ!F62)</f>
        <v/>
      </c>
      <c r="G57" s="292" t="str">
        <f>IF(PQ!G62="","",PQ!G62)</f>
        <v/>
      </c>
      <c r="H57" s="292"/>
      <c r="I57" s="292"/>
      <c r="J57" s="292"/>
      <c r="K57" s="292"/>
      <c r="L57" s="292"/>
      <c r="M57" s="72">
        <f ca="1">SUBTOTAL(9,M58:M62)</f>
        <v>0</v>
      </c>
      <c r="N57" s="72">
        <f t="shared" ref="N57:Q57" ca="1" si="28">SUBTOTAL(9,N58:N62)</f>
        <v>26511.599999999995</v>
      </c>
      <c r="O57" s="72">
        <f t="shared" ca="1" si="28"/>
        <v>26511.599999999995</v>
      </c>
      <c r="P57" s="72">
        <f t="shared" ca="1" si="28"/>
        <v>17802.700000000004</v>
      </c>
      <c r="Q57" s="72">
        <f t="shared" ca="1" si="28"/>
        <v>0</v>
      </c>
      <c r="R57" s="127"/>
      <c r="S57" s="75"/>
    </row>
    <row r="58" spans="2:19" ht="19.899999999999999" customHeight="1" x14ac:dyDescent="0.25">
      <c r="B58" s="281" t="str">
        <f t="shared" ref="B58:B62" si="29">HYPERLINK("#"&amp;"'"&amp;C58&amp;"'"&amp;"!A1","LINK")</f>
        <v>LINK</v>
      </c>
      <c r="C58" s="284" t="str">
        <f>IF(PQ!B63="","",PQ!B63)</f>
        <v>C.4.1</v>
      </c>
      <c r="D58" s="51" t="str">
        <f>IF(PQ!C63="","",PQ!C63)</f>
        <v>Sarjeta triangular de concreto - STC 88-20 - escavação mecânica - areia e brita comerciais</v>
      </c>
      <c r="E58" s="66" t="str">
        <f>IF(PQ!E63="","",PQ!E63)</f>
        <v>m</v>
      </c>
      <c r="F58" s="53">
        <f>IF(PQ!F63="","",PQ!F63)</f>
        <v>58</v>
      </c>
      <c r="G58" s="367">
        <f>IF(PQ!G63="","",PQ!G63)</f>
        <v>456.5</v>
      </c>
      <c r="H58" s="293" cm="1">
        <f t="array" aca="1" ref="H58" ca="1">INDIRECT($C58&amp;"!E6")</f>
        <v>0</v>
      </c>
      <c r="I58" s="293" cm="1">
        <f t="array" aca="1" ref="I58" ca="1">INDIRECT($C58&amp;"!E9")</f>
        <v>285.39999999999998</v>
      </c>
      <c r="J58" s="293" cm="1">
        <f t="array" aca="1" ref="J58" ca="1">INDIRECT($C58&amp;"!E5")</f>
        <v>285.39999999999998</v>
      </c>
      <c r="K58" s="293" cm="1">
        <f t="array" aca="1" ref="K58" ca="1">INDIRECT($C58&amp;"!E7")</f>
        <v>171.10000000000002</v>
      </c>
      <c r="L58" s="293" cm="1">
        <f t="array" aca="1" ref="L58" ca="1">INDIRECT($C58&amp;"!E8")</f>
        <v>0</v>
      </c>
      <c r="M58" s="123" cm="1">
        <f t="array" aca="1" ref="M58" ca="1">INDIRECT($C58&amp;"!G6")</f>
        <v>0</v>
      </c>
      <c r="N58" s="123" cm="1">
        <f t="array" aca="1" ref="N58" ca="1">INDIRECT($C58&amp;"!G9")</f>
        <v>16553.199999999997</v>
      </c>
      <c r="O58" s="123" cm="1">
        <f t="array" aca="1" ref="O58" ca="1">INDIRECT($C58&amp;"!G5")</f>
        <v>16553.199999999997</v>
      </c>
      <c r="P58" s="123" cm="1">
        <f t="array" aca="1" ref="P58" ca="1">INDIRECT($C58&amp;"!G7")</f>
        <v>9923.8000000000011</v>
      </c>
      <c r="Q58" s="123" cm="1">
        <f t="array" aca="1" ref="Q58" ca="1">INDIRECT($C58&amp;"!G8")</f>
        <v>0</v>
      </c>
      <c r="R58" s="368">
        <f t="shared" ref="R58:R62" ca="1" si="30">IF(ISERROR(J58/G58),0,J58/G58)</f>
        <v>0.62519167579408541</v>
      </c>
      <c r="S58" s="369">
        <f t="shared" ref="S58:S62" ca="1" si="31">IF(R58&gt;1,R58-1,0)</f>
        <v>0</v>
      </c>
    </row>
    <row r="59" spans="2:19" ht="19.899999999999999" customHeight="1" x14ac:dyDescent="0.25">
      <c r="B59" s="282" t="str">
        <f t="shared" si="29"/>
        <v>LINK</v>
      </c>
      <c r="C59" s="285" t="str">
        <f>IF(PQ!B64="","",PQ!B64)</f>
        <v>C.4.2</v>
      </c>
      <c r="D59" s="51" t="str">
        <f>IF(PQ!C64="","",PQ!C64)</f>
        <v>Dissipador de energia - DES 88-264 - areia, brita e pedra de mão comerciais</v>
      </c>
      <c r="E59" s="66" t="str">
        <f>IF(PQ!E64="","",PQ!E64)</f>
        <v>und.</v>
      </c>
      <c r="F59" s="53">
        <f>IF(PQ!F64="","",PQ!F64)</f>
        <v>959.24</v>
      </c>
      <c r="G59" s="290">
        <f>IF(PQ!G64="","",PQ!G64)</f>
        <v>7</v>
      </c>
      <c r="H59" s="294" cm="1">
        <f t="array" aca="1" ref="H59" ca="1">INDIRECT($C59&amp;"!E6")</f>
        <v>0</v>
      </c>
      <c r="I59" s="294" cm="1">
        <f t="array" aca="1" ref="I59" ca="1">INDIRECT($C59&amp;"!E9")</f>
        <v>0</v>
      </c>
      <c r="J59" s="294" cm="1">
        <f t="array" aca="1" ref="J59" ca="1">INDIRECT($C59&amp;"!E5")</f>
        <v>0</v>
      </c>
      <c r="K59" s="294" cm="1">
        <f t="array" aca="1" ref="K59" ca="1">INDIRECT($C59&amp;"!E7")</f>
        <v>7</v>
      </c>
      <c r="L59" s="294" cm="1">
        <f t="array" aca="1" ref="L59" ca="1">INDIRECT($C59&amp;"!E8")</f>
        <v>0</v>
      </c>
      <c r="M59" s="70" cm="1">
        <f t="array" aca="1" ref="M59" ca="1">INDIRECT($C59&amp;"!G6")</f>
        <v>0</v>
      </c>
      <c r="N59" s="70" cm="1">
        <f t="array" aca="1" ref="N59" ca="1">INDIRECT($C59&amp;"!G9")</f>
        <v>0</v>
      </c>
      <c r="O59" s="70" cm="1">
        <f t="array" aca="1" ref="O59" ca="1">INDIRECT($C59&amp;"!G5")</f>
        <v>0</v>
      </c>
      <c r="P59" s="70" cm="1">
        <f t="array" aca="1" ref="P59" ca="1">INDIRECT($C59&amp;"!G7")</f>
        <v>6714.68</v>
      </c>
      <c r="Q59" s="70" cm="1">
        <f t="array" aca="1" ref="Q59" ca="1">INDIRECT($C59&amp;"!G8")</f>
        <v>0</v>
      </c>
      <c r="R59" s="370">
        <f t="shared" ca="1" si="30"/>
        <v>0</v>
      </c>
      <c r="S59" s="128">
        <f t="shared" ca="1" si="31"/>
        <v>0</v>
      </c>
    </row>
    <row r="60" spans="2:19" ht="19.899999999999999" customHeight="1" x14ac:dyDescent="0.25">
      <c r="B60" s="282" t="str">
        <f t="shared" si="29"/>
        <v>LINK</v>
      </c>
      <c r="C60" s="285" t="str">
        <f>IF(PQ!B65="","",PQ!B65)</f>
        <v>C.4.3</v>
      </c>
      <c r="D60" s="51" t="str">
        <f>IF(PQ!C65="","",PQ!C65)</f>
        <v>Dreno longitudinal profundo para corte em solo - DPS 01 - tubo PEAD e areia comercial</v>
      </c>
      <c r="E60" s="66" t="str">
        <f>IF(PQ!E65="","",PQ!E65)</f>
        <v>m</v>
      </c>
      <c r="F60" s="53">
        <f>IF(PQ!F65="","",PQ!F65)</f>
        <v>166.25</v>
      </c>
      <c r="G60" s="290">
        <f>IF(PQ!G65="","",PQ!G65)</f>
        <v>15.4</v>
      </c>
      <c r="H60" s="294" cm="1">
        <f t="array" aca="1" ref="H60" ca="1">INDIRECT($C60&amp;"!E6")</f>
        <v>0</v>
      </c>
      <c r="I60" s="294" cm="1">
        <f t="array" aca="1" ref="I60" ca="1">INDIRECT($C60&amp;"!E9")</f>
        <v>14</v>
      </c>
      <c r="J60" s="294" cm="1">
        <f t="array" aca="1" ref="J60" ca="1">INDIRECT($C60&amp;"!E5")</f>
        <v>14</v>
      </c>
      <c r="K60" s="294" cm="1">
        <f t="array" aca="1" ref="K60" ca="1">INDIRECT($C60&amp;"!E7")</f>
        <v>1.4000000000000004</v>
      </c>
      <c r="L60" s="294" cm="1">
        <f t="array" aca="1" ref="L60" ca="1">INDIRECT($C60&amp;"!E8")</f>
        <v>0</v>
      </c>
      <c r="M60" s="70" cm="1">
        <f t="array" aca="1" ref="M60" ca="1">INDIRECT($C60&amp;"!G6")</f>
        <v>0</v>
      </c>
      <c r="N60" s="70" cm="1">
        <f t="array" aca="1" ref="N60" ca="1">INDIRECT($C60&amp;"!G9")</f>
        <v>2327.5</v>
      </c>
      <c r="O60" s="70" cm="1">
        <f t="array" aca="1" ref="O60" ca="1">INDIRECT($C60&amp;"!G5")</f>
        <v>2327.5</v>
      </c>
      <c r="P60" s="70" cm="1">
        <f t="array" aca="1" ref="P60" ca="1">INDIRECT($C60&amp;"!G7")</f>
        <v>232.75000000000006</v>
      </c>
      <c r="Q60" s="70" cm="1">
        <f t="array" aca="1" ref="Q60" ca="1">INDIRECT($C60&amp;"!G8")</f>
        <v>0</v>
      </c>
      <c r="R60" s="370">
        <f t="shared" ca="1" si="30"/>
        <v>0.90909090909090906</v>
      </c>
      <c r="S60" s="128">
        <f t="shared" ca="1" si="31"/>
        <v>0</v>
      </c>
    </row>
    <row r="61" spans="2:19" ht="19.899999999999999" customHeight="1" x14ac:dyDescent="0.25">
      <c r="B61" s="282" t="str">
        <f t="shared" si="29"/>
        <v>LINK</v>
      </c>
      <c r="C61" s="285" t="str">
        <f>IF(PQ!B66="","",PQ!B66)</f>
        <v>C.4.4</v>
      </c>
      <c r="D61" s="51" t="str">
        <f>IF(PQ!C66="","",PQ!C66)</f>
        <v>Concreto fck = 20 MPa - confecção em central dosadora de 30 m³/h - areia e brita comerciais</v>
      </c>
      <c r="E61" s="66" t="str">
        <f>IF(PQ!E66="","",PQ!E66)</f>
        <v>m³</v>
      </c>
      <c r="F61" s="53">
        <f>IF(PQ!F66="","",PQ!F66)</f>
        <v>729.31428571428569</v>
      </c>
      <c r="G61" s="290">
        <f>IF(PQ!G66="","",PQ!G66)</f>
        <v>2.8</v>
      </c>
      <c r="H61" s="294" cm="1">
        <f t="array" aca="1" ref="H61" ca="1">INDIRECT($C61&amp;"!E6")</f>
        <v>0</v>
      </c>
      <c r="I61" s="294" cm="1">
        <f t="array" aca="1" ref="I61" ca="1">INDIRECT($C61&amp;"!E9")</f>
        <v>2.8</v>
      </c>
      <c r="J61" s="294" cm="1">
        <f t="array" aca="1" ref="J61" ca="1">INDIRECT($C61&amp;"!E5")</f>
        <v>2.8</v>
      </c>
      <c r="K61" s="294" cm="1">
        <f t="array" aca="1" ref="K61" ca="1">INDIRECT($C61&amp;"!E7")</f>
        <v>0</v>
      </c>
      <c r="L61" s="294" cm="1">
        <f t="array" aca="1" ref="L61" ca="1">INDIRECT($C61&amp;"!E8")</f>
        <v>0</v>
      </c>
      <c r="M61" s="70" cm="1">
        <f t="array" aca="1" ref="M61" ca="1">INDIRECT($C61&amp;"!G6")</f>
        <v>0</v>
      </c>
      <c r="N61" s="70" cm="1">
        <f t="array" aca="1" ref="N61" ca="1">INDIRECT($C61&amp;"!G9")</f>
        <v>2042.0799999999997</v>
      </c>
      <c r="O61" s="70" cm="1">
        <f t="array" aca="1" ref="O61" ca="1">INDIRECT($C61&amp;"!G5")</f>
        <v>2042.0799999999997</v>
      </c>
      <c r="P61" s="70" cm="1">
        <f t="array" aca="1" ref="P61" ca="1">INDIRECT($C61&amp;"!G7")</f>
        <v>0</v>
      </c>
      <c r="Q61" s="70" cm="1">
        <f t="array" aca="1" ref="Q61" ca="1">INDIRECT($C61&amp;"!G8")</f>
        <v>0</v>
      </c>
      <c r="R61" s="370">
        <f t="shared" ca="1" si="30"/>
        <v>1</v>
      </c>
      <c r="S61" s="128">
        <f t="shared" ca="1" si="31"/>
        <v>0</v>
      </c>
    </row>
    <row r="62" spans="2:19" ht="19.899999999999999" customHeight="1" x14ac:dyDescent="0.25">
      <c r="B62" s="283" t="str">
        <f t="shared" si="29"/>
        <v>LINK</v>
      </c>
      <c r="C62" s="286" t="str">
        <f>IF(PQ!B67="","",PQ!B67)</f>
        <v>C.4.5</v>
      </c>
      <c r="D62" s="51" t="str">
        <f>IF(PQ!C67="","",PQ!C67)</f>
        <v>Tubo PEAD para drenagem - D = 800 mm - fornecimento e instalação</v>
      </c>
      <c r="E62" s="66" t="str">
        <f>IF(PQ!E67="","",PQ!E67)</f>
        <v>m</v>
      </c>
      <c r="F62" s="53">
        <f>IF(PQ!F67="","",PQ!F67)</f>
        <v>931.47</v>
      </c>
      <c r="G62" s="371">
        <f>IF(PQ!G67="","",PQ!G67)</f>
        <v>7</v>
      </c>
      <c r="H62" s="295" cm="1">
        <f t="array" aca="1" ref="H62" ca="1">INDIRECT($C62&amp;"!E6")</f>
        <v>0</v>
      </c>
      <c r="I62" s="295" cm="1">
        <f t="array" aca="1" ref="I62" ca="1">INDIRECT($C62&amp;"!E9")</f>
        <v>6</v>
      </c>
      <c r="J62" s="295" cm="1">
        <f t="array" aca="1" ref="J62" ca="1">INDIRECT($C62&amp;"!E5")</f>
        <v>6</v>
      </c>
      <c r="K62" s="295" cm="1">
        <f t="array" aca="1" ref="K62" ca="1">INDIRECT($C62&amp;"!E7")</f>
        <v>1</v>
      </c>
      <c r="L62" s="295" cm="1">
        <f t="array" aca="1" ref="L62" ca="1">INDIRECT($C62&amp;"!E8")</f>
        <v>0</v>
      </c>
      <c r="M62" s="124" cm="1">
        <f t="array" aca="1" ref="M62" ca="1">INDIRECT($C62&amp;"!G6")</f>
        <v>0</v>
      </c>
      <c r="N62" s="124" cm="1">
        <f t="array" aca="1" ref="N62" ca="1">INDIRECT($C62&amp;"!G9")</f>
        <v>5588.82</v>
      </c>
      <c r="O62" s="124" cm="1">
        <f t="array" aca="1" ref="O62" ca="1">INDIRECT($C62&amp;"!G5")</f>
        <v>5588.82</v>
      </c>
      <c r="P62" s="124" cm="1">
        <f t="array" aca="1" ref="P62" ca="1">INDIRECT($C62&amp;"!G7")</f>
        <v>931.47</v>
      </c>
      <c r="Q62" s="124" cm="1">
        <f t="array" aca="1" ref="Q62" ca="1">INDIRECT($C62&amp;"!G8")</f>
        <v>0</v>
      </c>
      <c r="R62" s="372">
        <f t="shared" ca="1" si="30"/>
        <v>0.8571428571428571</v>
      </c>
      <c r="S62" s="316">
        <f t="shared" ca="1" si="31"/>
        <v>0</v>
      </c>
    </row>
    <row r="63" spans="2:19" ht="19.899999999999999" customHeight="1" x14ac:dyDescent="0.25">
      <c r="B63" s="114"/>
      <c r="C63" s="276" t="str">
        <f>IF(PQ!B68="","",PQ!B68)</f>
        <v>D.</v>
      </c>
      <c r="D63" s="59" t="str">
        <f>IF(PQ!C68="","",PQ!C68)</f>
        <v>Implantação de Desvios 2 e 3</v>
      </c>
      <c r="E63" s="60" t="str">
        <f>IF(PQ!E68="","",PQ!E68)</f>
        <v/>
      </c>
      <c r="F63" s="61" t="str">
        <f>IF(PQ!F68="","",PQ!F68)</f>
        <v/>
      </c>
      <c r="G63" s="291" t="str">
        <f>IF(PQ!G68="","",PQ!G68)</f>
        <v/>
      </c>
      <c r="H63" s="291"/>
      <c r="I63" s="291"/>
      <c r="J63" s="291"/>
      <c r="K63" s="291"/>
      <c r="L63" s="291"/>
      <c r="M63" s="73">
        <f ca="1">SUBTOTAL(9,M64:M87)</f>
        <v>400870.73590118298</v>
      </c>
      <c r="N63" s="73">
        <f t="shared" ref="N63:Q63" ca="1" si="32">SUBTOTAL(9,N64:N87)</f>
        <v>-9738.9274000134719</v>
      </c>
      <c r="O63" s="73">
        <f t="shared" ca="1" si="32"/>
        <v>391131.80850116955</v>
      </c>
      <c r="P63" s="73">
        <f t="shared" ca="1" si="32"/>
        <v>37971.001498830483</v>
      </c>
      <c r="Q63" s="73">
        <f t="shared" ca="1" si="32"/>
        <v>0</v>
      </c>
      <c r="R63" s="73"/>
      <c r="S63" s="74"/>
    </row>
    <row r="64" spans="2:19" ht="19.899999999999999" customHeight="1" x14ac:dyDescent="0.25">
      <c r="B64" s="115"/>
      <c r="C64" s="277" t="str">
        <f>IF(PQ!B69="","",PQ!B69)</f>
        <v>D.1</v>
      </c>
      <c r="D64" s="63" t="str">
        <f>IF(PQ!C69="","",PQ!C69)</f>
        <v>Terraplenagem</v>
      </c>
      <c r="E64" s="64" t="str">
        <f>IF(PQ!E69="","",PQ!E69)</f>
        <v/>
      </c>
      <c r="F64" s="65" t="str">
        <f>IF(PQ!F69="","",PQ!F69)</f>
        <v/>
      </c>
      <c r="G64" s="292" t="str">
        <f>IF(PQ!G69="","",PQ!G69)</f>
        <v/>
      </c>
      <c r="H64" s="292"/>
      <c r="I64" s="292"/>
      <c r="J64" s="292"/>
      <c r="K64" s="292"/>
      <c r="L64" s="292"/>
      <c r="M64" s="72">
        <f ca="1">SUBTOTAL(9,M65:M69)</f>
        <v>24827.80233304753</v>
      </c>
      <c r="N64" s="72">
        <f t="shared" ref="N64:Q64" ca="1" si="33">SUBTOTAL(9,N65:N69)</f>
        <v>-18079.327400013473</v>
      </c>
      <c r="O64" s="72">
        <f t="shared" ca="1" si="33"/>
        <v>6748.4749330340546</v>
      </c>
      <c r="P64" s="72">
        <f t="shared" ca="1" si="33"/>
        <v>23363.295066965948</v>
      </c>
      <c r="Q64" s="72">
        <f t="shared" ca="1" si="33"/>
        <v>0</v>
      </c>
      <c r="R64" s="127"/>
      <c r="S64" s="75"/>
    </row>
    <row r="65" spans="2:19" ht="19.899999999999999" customHeight="1" x14ac:dyDescent="0.25">
      <c r="B65" s="281" t="str">
        <f t="shared" ref="B65:B69" si="34">HYPERLINK("#"&amp;"'"&amp;C65&amp;"'"&amp;"!A1","LINK")</f>
        <v>LINK</v>
      </c>
      <c r="C65" s="284" t="str">
        <f>IF(PQ!B70="","",PQ!B70)</f>
        <v>D.1.1</v>
      </c>
      <c r="D65" s="278" t="str">
        <f>IF(PQ!C70="","",PQ!C70)</f>
        <v>Desmatamento, destocamento, limpeza de área e estocagem do material de limpeza com árvores de diâmetro até 0,15 m</v>
      </c>
      <c r="E65" s="66" t="str">
        <f>IF(PQ!E70="","",PQ!E70)</f>
        <v>m²</v>
      </c>
      <c r="F65" s="53">
        <f>IF(PQ!F70="","",PQ!F70)</f>
        <v>0.85999791688365801</v>
      </c>
      <c r="G65" s="367">
        <f>IF(PQ!G70="","",PQ!G70)</f>
        <v>2400.25</v>
      </c>
      <c r="H65" s="293" cm="1">
        <f t="array" aca="1" ref="H65" ca="1">INDIRECT($C65&amp;"!E6")</f>
        <v>1887.3890000000001</v>
      </c>
      <c r="I65" s="293" cm="1">
        <f t="array" aca="1" ref="I65" ca="1">INDIRECT($C65&amp;"!E9")</f>
        <v>0</v>
      </c>
      <c r="J65" s="293" cm="1">
        <f t="array" aca="1" ref="J65" ca="1">INDIRECT($C65&amp;"!E5")</f>
        <v>1887.3890000000001</v>
      </c>
      <c r="K65" s="293" cm="1">
        <f t="array" aca="1" ref="K65" ca="1">INDIRECT($C65&amp;"!E7")</f>
        <v>512.86099999999988</v>
      </c>
      <c r="L65" s="293" cm="1">
        <f t="array" aca="1" ref="L65" ca="1">INDIRECT($C65&amp;"!E8")</f>
        <v>0</v>
      </c>
      <c r="M65" s="123" cm="1">
        <f t="array" aca="1" ref="M65" ca="1">INDIRECT($C65&amp;"!G6")</f>
        <v>1623.1506083491306</v>
      </c>
      <c r="N65" s="123" cm="1">
        <f t="array" aca="1" ref="N65" ca="1">INDIRECT($C65&amp;"!G9")</f>
        <v>0</v>
      </c>
      <c r="O65" s="123" cm="1">
        <f t="array" aca="1" ref="O65" ca="1">INDIRECT($C65&amp;"!G5")</f>
        <v>1623.1506083491306</v>
      </c>
      <c r="P65" s="123" cm="1">
        <f t="array" aca="1" ref="P65" ca="1">INDIRECT($C65&amp;"!G7")</f>
        <v>441.0593916508696</v>
      </c>
      <c r="Q65" s="123" cm="1">
        <f t="array" aca="1" ref="Q65" ca="1">INDIRECT($C65&amp;"!G8")</f>
        <v>0</v>
      </c>
      <c r="R65" s="368">
        <f t="shared" ref="R65:R69" ca="1" si="35">IF(ISERROR(J65/G65),0,J65/G65)</f>
        <v>0.78633017394021465</v>
      </c>
      <c r="S65" s="369">
        <f t="shared" ref="S65:S69" ca="1" si="36">IF(R65&gt;1,R65-1,0)</f>
        <v>0</v>
      </c>
    </row>
    <row r="66" spans="2:19" ht="19.899999999999999" customHeight="1" x14ac:dyDescent="0.25">
      <c r="B66" s="282" t="str">
        <f t="shared" si="34"/>
        <v>LINK</v>
      </c>
      <c r="C66" s="285" t="str">
        <f>IF(PQ!B71="","",PQ!B71)</f>
        <v>D.1.2</v>
      </c>
      <c r="D66" s="278" t="str">
        <f>IF(PQ!C71="","",PQ!C71)</f>
        <v>Transporte com caminhão basculante de 14 m³ - rodovia pavimentada</v>
      </c>
      <c r="E66" s="66" t="str">
        <f>IF(PQ!E71="","",PQ!E71)</f>
        <v>T x Km</v>
      </c>
      <c r="F66" s="53">
        <f>IF(PQ!F71="","",PQ!F71)</f>
        <v>1.5399902528835221</v>
      </c>
      <c r="G66" s="290">
        <f>IF(PQ!G71="","",PQ!G71)</f>
        <v>184.67</v>
      </c>
      <c r="H66" s="294" cm="1">
        <f t="array" aca="1" ref="H66" ca="1">INDIRECT($C66&amp;"!E6")</f>
        <v>184.02042750000004</v>
      </c>
      <c r="I66" s="294" cm="1">
        <f t="array" aca="1" ref="I66" ca="1">INDIRECT($C66&amp;"!E9")</f>
        <v>0</v>
      </c>
      <c r="J66" s="294" cm="1">
        <f t="array" aca="1" ref="J66" ca="1">INDIRECT($C66&amp;"!E5")</f>
        <v>184.02042750000004</v>
      </c>
      <c r="K66" s="294" cm="1">
        <f t="array" aca="1" ref="K66" ca="1">INDIRECT($C66&amp;"!E7")</f>
        <v>0.64957249999994815</v>
      </c>
      <c r="L66" s="294" cm="1">
        <f t="array" aca="1" ref="L66" ca="1">INDIRECT($C66&amp;"!E8")</f>
        <v>0</v>
      </c>
      <c r="M66" s="70" cm="1">
        <f t="array" aca="1" ref="M66" ca="1">INDIRECT($C66&amp;"!G6")</f>
        <v>283.3896646814589</v>
      </c>
      <c r="N66" s="70" cm="1">
        <f t="array" aca="1" ref="N66" ca="1">INDIRECT($C66&amp;"!G9")</f>
        <v>0</v>
      </c>
      <c r="O66" s="70" cm="1">
        <f t="array" aca="1" ref="O66" ca="1">INDIRECT($C66&amp;"!G5")</f>
        <v>283.3896646814589</v>
      </c>
      <c r="P66" s="70" cm="1">
        <f t="array" aca="1" ref="P66" ca="1">INDIRECT($C66&amp;"!G7")</f>
        <v>1.0003353185411019</v>
      </c>
      <c r="Q66" s="70" cm="1">
        <f t="array" aca="1" ref="Q66" ca="1">INDIRECT($C66&amp;"!G8")</f>
        <v>0</v>
      </c>
      <c r="R66" s="370">
        <f t="shared" ca="1" si="35"/>
        <v>0.99648252287864869</v>
      </c>
      <c r="S66" s="128">
        <f t="shared" ca="1" si="36"/>
        <v>0</v>
      </c>
    </row>
    <row r="67" spans="2:19" ht="19.899999999999999" customHeight="1" x14ac:dyDescent="0.25">
      <c r="B67" s="282" t="str">
        <f t="shared" si="34"/>
        <v>LINK</v>
      </c>
      <c r="C67" s="285" t="str">
        <f>IF(PQ!B72="","",PQ!B72)</f>
        <v>D.1.3</v>
      </c>
      <c r="D67" s="278" t="str">
        <f>IF(PQ!C72="","",PQ!C72)</f>
        <v xml:space="preserve">Escavação, carga e transporte de material de 1ª categoria - DMT de 1.000 a 1.200 m -  com escavadeira e caminhão basculante de 14 m³  </v>
      </c>
      <c r="E67" s="66" t="str">
        <f>IF(PQ!E72="","",PQ!E72)</f>
        <v>m³</v>
      </c>
      <c r="F67" s="53">
        <f>IF(PQ!F72="","",PQ!F72)</f>
        <v>11.03000846935633</v>
      </c>
      <c r="G67" s="290">
        <f>IF(PQ!G72="","",PQ!G72)</f>
        <v>2078.08</v>
      </c>
      <c r="H67" s="294" cm="1">
        <f t="array" aca="1" ref="H67" ca="1">INDIRECT($C67&amp;"!E6")</f>
        <v>2078.0819999999999</v>
      </c>
      <c r="I67" s="294" cm="1">
        <f t="array" aca="1" ref="I67" ca="1">INDIRECT($C67&amp;"!E9")</f>
        <v>-2078.0819999999999</v>
      </c>
      <c r="J67" s="294" cm="1">
        <f t="array" aca="1" ref="J67" ca="1">INDIRECT($C67&amp;"!E5")</f>
        <v>0</v>
      </c>
      <c r="K67" s="294" cm="1">
        <f t="array" aca="1" ref="K67" ca="1">INDIRECT($C67&amp;"!E7")</f>
        <v>2078.08</v>
      </c>
      <c r="L67" s="294" cm="1">
        <f t="array" aca="1" ref="L67" ca="1">INDIRECT($C67&amp;"!E8")</f>
        <v>0</v>
      </c>
      <c r="M67" s="70" cm="1">
        <f t="array" aca="1" ref="M67" ca="1">INDIRECT($C67&amp;"!G6")</f>
        <v>22921.262060016939</v>
      </c>
      <c r="N67" s="70" cm="1">
        <f t="array" aca="1" ref="N67" ca="1">INDIRECT($C67&amp;"!G9")</f>
        <v>-22921.262060016939</v>
      </c>
      <c r="O67" s="70" cm="1">
        <f t="array" aca="1" ref="O67" ca="1">INDIRECT($C67&amp;"!G5")</f>
        <v>0</v>
      </c>
      <c r="P67" s="70" cm="1">
        <f t="array" aca="1" ref="P67" ca="1">INDIRECT($C67&amp;"!G7")</f>
        <v>22921.24</v>
      </c>
      <c r="Q67" s="70" cm="1">
        <f t="array" aca="1" ref="Q67" ca="1">INDIRECT($C67&amp;"!G8")</f>
        <v>0</v>
      </c>
      <c r="R67" s="370">
        <f t="shared" ca="1" si="35"/>
        <v>0</v>
      </c>
      <c r="S67" s="128">
        <f t="shared" ca="1" si="36"/>
        <v>0</v>
      </c>
    </row>
    <row r="68" spans="2:19" ht="19.899999999999999" customHeight="1" x14ac:dyDescent="0.25">
      <c r="B68" s="282" t="str">
        <f t="shared" si="34"/>
        <v>LINK</v>
      </c>
      <c r="C68" s="285" t="str">
        <f>IF(PQ!B73="","",PQ!B73)</f>
        <v>D.1.4</v>
      </c>
      <c r="D68" s="278" t="str">
        <f>IF(PQ!C73="","",PQ!C73)</f>
        <v>Regularização de bota-fora com espalhamento e execução de hidrossemeadura</v>
      </c>
      <c r="E68" s="66" t="str">
        <f>IF(PQ!E73="","",PQ!E73)</f>
        <v>m³</v>
      </c>
      <c r="F68" s="53">
        <f>IF(PQ!F73="","",PQ!F73)</f>
        <v>0</v>
      </c>
      <c r="G68" s="290">
        <f>IF(PQ!G73="","",PQ!G73)</f>
        <v>0</v>
      </c>
      <c r="H68" s="294" cm="1">
        <f t="array" aca="1" ref="H68" ca="1">INDIRECT($C68&amp;"!E6")</f>
        <v>0</v>
      </c>
      <c r="I68" s="294" cm="1">
        <f t="array" aca="1" ref="I68" ca="1">INDIRECT($C68&amp;"!E9")</f>
        <v>0</v>
      </c>
      <c r="J68" s="294" cm="1">
        <f t="array" aca="1" ref="J68" ca="1">INDIRECT($C68&amp;"!E5")</f>
        <v>0</v>
      </c>
      <c r="K68" s="294" cm="1">
        <f t="array" aca="1" ref="K68" ca="1">INDIRECT($C68&amp;"!E7")</f>
        <v>0</v>
      </c>
      <c r="L68" s="294" cm="1">
        <f t="array" aca="1" ref="L68" ca="1">INDIRECT($C68&amp;"!E8")</f>
        <v>0</v>
      </c>
      <c r="M68" s="70" cm="1">
        <f t="array" aca="1" ref="M68" ca="1">INDIRECT($C68&amp;"!G6")</f>
        <v>0</v>
      </c>
      <c r="N68" s="70" cm="1">
        <f t="array" aca="1" ref="N68" ca="1">INDIRECT($C68&amp;"!G9")</f>
        <v>0</v>
      </c>
      <c r="O68" s="70" cm="1">
        <f t="array" aca="1" ref="O68" ca="1">INDIRECT($C68&amp;"!G5")</f>
        <v>0</v>
      </c>
      <c r="P68" s="70" cm="1">
        <f t="array" aca="1" ref="P68" ca="1">INDIRECT($C68&amp;"!G7")</f>
        <v>0</v>
      </c>
      <c r="Q68" s="70" cm="1">
        <f t="array" aca="1" ref="Q68" ca="1">INDIRECT($C68&amp;"!G8")</f>
        <v>0</v>
      </c>
      <c r="R68" s="370">
        <f t="shared" ca="1" si="35"/>
        <v>0</v>
      </c>
      <c r="S68" s="128">
        <f t="shared" ca="1" si="36"/>
        <v>0</v>
      </c>
    </row>
    <row r="69" spans="2:19" ht="19.899999999999999" customHeight="1" x14ac:dyDescent="0.25">
      <c r="B69" s="283" t="str">
        <f t="shared" si="34"/>
        <v>LINK</v>
      </c>
      <c r="C69" s="286" t="str">
        <f>IF(PQ!B74="","",PQ!B74)</f>
        <v>D.1.5</v>
      </c>
      <c r="D69" s="315" t="str">
        <f>IF(PQ!C74="","",PQ!C74)</f>
        <v>Regularização de bota-fora</v>
      </c>
      <c r="E69" s="264" t="str">
        <f>IF(PQ!E74="","",PQ!E74)</f>
        <v>m³</v>
      </c>
      <c r="F69" s="122">
        <f>IF(PQ!F74="","",PQ!F74)</f>
        <v>2.3300017323683404</v>
      </c>
      <c r="G69" s="371">
        <f>IF(PQ!G74="","",PQ!G74)</f>
        <v>2078.08</v>
      </c>
      <c r="H69" s="295" cm="1">
        <f t="array" aca="1" ref="H69" ca="1">INDIRECT($C69&amp;"!E6")</f>
        <v>0</v>
      </c>
      <c r="I69" s="295" cm="1">
        <f t="array" aca="1" ref="I69" ca="1">INDIRECT($C69&amp;"!E9")</f>
        <v>2078.0819999999999</v>
      </c>
      <c r="J69" s="295" cm="1">
        <f t="array" aca="1" ref="J69" ca="1">INDIRECT($C69&amp;"!E5")</f>
        <v>2078.0819999999999</v>
      </c>
      <c r="K69" s="295" cm="1">
        <f t="array" aca="1" ref="K69" ca="1">INDIRECT($C69&amp;"!E7")</f>
        <v>-1.9999999999527063E-3</v>
      </c>
      <c r="L69" s="295" cm="1">
        <f t="array" aca="1" ref="L69" ca="1">INDIRECT($C69&amp;"!E8")</f>
        <v>0</v>
      </c>
      <c r="M69" s="124" cm="1">
        <f t="array" aca="1" ref="M69" ca="1">INDIRECT($C69&amp;"!G6")</f>
        <v>0</v>
      </c>
      <c r="N69" s="124" cm="1">
        <f t="array" aca="1" ref="N69" ca="1">INDIRECT($C69&amp;"!G9")</f>
        <v>4841.9346600034651</v>
      </c>
      <c r="O69" s="124" cm="1">
        <f t="array" aca="1" ref="O69" ca="1">INDIRECT($C69&amp;"!G5")</f>
        <v>4841.9346600034651</v>
      </c>
      <c r="P69" s="124" cm="1">
        <f t="array" aca="1" ref="P69" ca="1">INDIRECT($C69&amp;"!G7")</f>
        <v>-4.660003464626486E-3</v>
      </c>
      <c r="Q69" s="124" cm="1">
        <f t="array" aca="1" ref="Q69" ca="1">INDIRECT($C69&amp;"!G8")</f>
        <v>0</v>
      </c>
      <c r="R69" s="372">
        <f t="shared" ca="1" si="35"/>
        <v>1.0000009624268555</v>
      </c>
      <c r="S69" s="316">
        <f t="shared" ca="1" si="36"/>
        <v>9.6242685554415175E-7</v>
      </c>
    </row>
    <row r="70" spans="2:19" ht="19.899999999999999" customHeight="1" x14ac:dyDescent="0.25">
      <c r="B70" s="115"/>
      <c r="C70" s="277" t="str">
        <f>IF(PQ!B75="","",PQ!B75)</f>
        <v>D.2</v>
      </c>
      <c r="D70" s="63" t="str">
        <f>IF(PQ!C75="","",PQ!C75)</f>
        <v>Pavimento</v>
      </c>
      <c r="E70" s="64" t="str">
        <f>IF(PQ!E75="","",PQ!E75)</f>
        <v/>
      </c>
      <c r="F70" s="65" t="str">
        <f>IF(PQ!F75="","",PQ!F75)</f>
        <v/>
      </c>
      <c r="G70" s="292" t="str">
        <f>IF(PQ!G75="","",PQ!G75)</f>
        <v/>
      </c>
      <c r="H70" s="292"/>
      <c r="I70" s="292"/>
      <c r="J70" s="292"/>
      <c r="K70" s="292"/>
      <c r="L70" s="292"/>
      <c r="M70" s="72">
        <f ca="1">SUBTOTAL(9,M71:M77)</f>
        <v>215422.94554662635</v>
      </c>
      <c r="N70" s="72">
        <f t="shared" ref="N70:Q70" ca="1" si="37">SUBTOTAL(9,N71:N77)</f>
        <v>0</v>
      </c>
      <c r="O70" s="72">
        <f t="shared" ca="1" si="37"/>
        <v>215422.94554662635</v>
      </c>
      <c r="P70" s="72">
        <f t="shared" ca="1" si="37"/>
        <v>0.20445337364587035</v>
      </c>
      <c r="Q70" s="72">
        <f t="shared" ca="1" si="37"/>
        <v>0</v>
      </c>
      <c r="R70" s="127"/>
      <c r="S70" s="75"/>
    </row>
    <row r="71" spans="2:19" ht="19.899999999999999" customHeight="1" x14ac:dyDescent="0.25">
      <c r="B71" s="281" t="str">
        <f t="shared" ref="B71:B77" si="38">HYPERLINK("#"&amp;"'"&amp;C71&amp;"'"&amp;"!A1","LINK")</f>
        <v>LINK</v>
      </c>
      <c r="C71" s="284" t="str">
        <f>IF(PQ!B76="","",PQ!B76)</f>
        <v>D.2.1</v>
      </c>
      <c r="D71" s="51" t="str">
        <f>IF(PQ!C76="","",PQ!C76)</f>
        <v>Fresagem contínua de revestimento betuminoso</v>
      </c>
      <c r="E71" s="66" t="str">
        <f>IF(PQ!E76="","",PQ!E76)</f>
        <v>m³</v>
      </c>
      <c r="F71" s="53">
        <f>IF(PQ!F76="","",PQ!F76)</f>
        <v>225.86635465418615</v>
      </c>
      <c r="G71" s="367">
        <f>IF(PQ!G76="","",PQ!G76)</f>
        <v>38.46</v>
      </c>
      <c r="H71" s="293" cm="1">
        <f t="array" aca="1" ref="H71" ca="1">INDIRECT($C71&amp;"!E6")</f>
        <v>38.464500000000001</v>
      </c>
      <c r="I71" s="293" cm="1">
        <f t="array" aca="1" ref="I71" ca="1">INDIRECT($C71&amp;"!E9")</f>
        <v>0</v>
      </c>
      <c r="J71" s="293" cm="1">
        <f t="array" aca="1" ref="J71" ca="1">INDIRECT($C71&amp;"!E5")</f>
        <v>38.464500000000001</v>
      </c>
      <c r="K71" s="293" cm="1">
        <f t="array" aca="1" ref="K71" ca="1">INDIRECT($C71&amp;"!E7")</f>
        <v>-4.5000000000001705E-3</v>
      </c>
      <c r="L71" s="293" cm="1">
        <f t="array" aca="1" ref="L71" ca="1">INDIRECT($C71&amp;"!E8")</f>
        <v>0</v>
      </c>
      <c r="M71" s="123" cm="1">
        <f t="array" aca="1" ref="M71" ca="1">INDIRECT($C71&amp;"!G6")</f>
        <v>8687.836398595944</v>
      </c>
      <c r="N71" s="123" cm="1">
        <f t="array" aca="1" ref="N71" ca="1">INDIRECT($C71&amp;"!G9")</f>
        <v>0</v>
      </c>
      <c r="O71" s="123" cm="1">
        <f t="array" aca="1" ref="O71" ca="1">INDIRECT($C71&amp;"!G5")</f>
        <v>8687.836398595944</v>
      </c>
      <c r="P71" s="123" cm="1">
        <f t="array" aca="1" ref="P71" ca="1">INDIRECT($C71&amp;"!G7")</f>
        <v>-1.0163985959438762</v>
      </c>
      <c r="Q71" s="123" cm="1">
        <f t="array" aca="1" ref="Q71" ca="1">INDIRECT($C71&amp;"!G8")</f>
        <v>0</v>
      </c>
      <c r="R71" s="368">
        <f t="shared" ref="R71:R77" ca="1" si="39">IF(ISERROR(J71/G71),0,J71/G71)</f>
        <v>1.0001170046801873</v>
      </c>
      <c r="S71" s="369">
        <f t="shared" ref="S71:S77" ca="1" si="40">IF(R71&gt;1,R71-1,0)</f>
        <v>1.170046801872715E-4</v>
      </c>
    </row>
    <row r="72" spans="2:19" ht="19.899999999999999" customHeight="1" x14ac:dyDescent="0.25">
      <c r="B72" s="282" t="str">
        <f t="shared" si="38"/>
        <v>LINK</v>
      </c>
      <c r="C72" s="285" t="str">
        <f>IF(PQ!B77="","",PQ!B77)</f>
        <v>D.2.2</v>
      </c>
      <c r="D72" s="51" t="str">
        <f>IF(PQ!C77="","",PQ!C77)</f>
        <v>Preparo e melhoramento do subleito</v>
      </c>
      <c r="E72" s="66" t="str">
        <f>IF(PQ!E77="","",PQ!E77)</f>
        <v>m²</v>
      </c>
      <c r="F72" s="53">
        <f>IF(PQ!F77="","",PQ!F77)</f>
        <v>4.290001472537182</v>
      </c>
      <c r="G72" s="290">
        <f>IF(PQ!G77="","",PQ!G77)</f>
        <v>1018.65</v>
      </c>
      <c r="H72" s="294" cm="1">
        <f t="array" aca="1" ref="H72" ca="1">INDIRECT($C72&amp;"!E6")</f>
        <v>1018.6510000000001</v>
      </c>
      <c r="I72" s="294" cm="1">
        <f t="array" aca="1" ref="I72" ca="1">INDIRECT($C72&amp;"!E9")</f>
        <v>0</v>
      </c>
      <c r="J72" s="294" cm="1">
        <f t="array" aca="1" ref="J72" ca="1">INDIRECT($C72&amp;"!E5")</f>
        <v>1018.6510000000001</v>
      </c>
      <c r="K72" s="294" cm="1">
        <f t="array" aca="1" ref="K72" ca="1">INDIRECT($C72&amp;"!E7")</f>
        <v>-1.00000000009004E-3</v>
      </c>
      <c r="L72" s="294" cm="1">
        <f t="array" aca="1" ref="L72" ca="1">INDIRECT($C72&amp;"!E8")</f>
        <v>0</v>
      </c>
      <c r="M72" s="70" cm="1">
        <f t="array" aca="1" ref="M72" ca="1">INDIRECT($C72&amp;"!G6")</f>
        <v>4370.0142900014735</v>
      </c>
      <c r="N72" s="70" cm="1">
        <f t="array" aca="1" ref="N72" ca="1">INDIRECT($C72&amp;"!G9")</f>
        <v>0</v>
      </c>
      <c r="O72" s="70" cm="1">
        <f t="array" aca="1" ref="O72" ca="1">INDIRECT($C72&amp;"!G5")</f>
        <v>4370.0142900014735</v>
      </c>
      <c r="P72" s="70" cm="1">
        <f t="array" aca="1" ref="P72" ca="1">INDIRECT($C72&amp;"!G7")</f>
        <v>-4.2900014729234538E-3</v>
      </c>
      <c r="Q72" s="70" cm="1">
        <f t="array" aca="1" ref="Q72" ca="1">INDIRECT($C72&amp;"!G8")</f>
        <v>0</v>
      </c>
      <c r="R72" s="370">
        <f t="shared" ca="1" si="39"/>
        <v>1.0000009816914546</v>
      </c>
      <c r="S72" s="128">
        <f t="shared" ca="1" si="40"/>
        <v>9.8169145457127627E-7</v>
      </c>
    </row>
    <row r="73" spans="2:19" ht="19.899999999999999" customHeight="1" x14ac:dyDescent="0.25">
      <c r="B73" s="282" t="str">
        <f t="shared" si="38"/>
        <v>LINK</v>
      </c>
      <c r="C73" s="285" t="str">
        <f>IF(PQ!B78="","",PQ!B78)</f>
        <v>D.2.3</v>
      </c>
      <c r="D73" s="51" t="str">
        <f>IF(PQ!C78="","",PQ!C78)</f>
        <v>Rachão ou pedra de mão</v>
      </c>
      <c r="E73" s="66" t="str">
        <f>IF(PQ!E78="","",PQ!E78)</f>
        <v>m³</v>
      </c>
      <c r="F73" s="53">
        <f>IF(PQ!F78="","",PQ!F78)</f>
        <v>153.91863821098306</v>
      </c>
      <c r="G73" s="290">
        <f>IF(PQ!G78="","",PQ!G78)</f>
        <v>509.33</v>
      </c>
      <c r="H73" s="294" cm="1">
        <f t="array" aca="1" ref="H73" ca="1">INDIRECT($C73&amp;"!E6")</f>
        <v>509.32550000000003</v>
      </c>
      <c r="I73" s="294" cm="1">
        <f t="array" aca="1" ref="I73" ca="1">INDIRECT($C73&amp;"!E9")</f>
        <v>0</v>
      </c>
      <c r="J73" s="294" cm="1">
        <f t="array" aca="1" ref="J73" ca="1">INDIRECT($C73&amp;"!E5")</f>
        <v>509.32550000000003</v>
      </c>
      <c r="K73" s="294" cm="1">
        <f t="array" aca="1" ref="K73" ca="1">INDIRECT($C73&amp;"!E7")</f>
        <v>4.4999999999504325E-3</v>
      </c>
      <c r="L73" s="294" cm="1">
        <f t="array" aca="1" ref="L73" ca="1">INDIRECT($C73&amp;"!E8")</f>
        <v>0</v>
      </c>
      <c r="M73" s="70" cm="1">
        <f t="array" aca="1" ref="M73" ca="1">INDIRECT($C73&amp;"!G6")</f>
        <v>78394.687366128055</v>
      </c>
      <c r="N73" s="70" cm="1">
        <f t="array" aca="1" ref="N73" ca="1">INDIRECT($C73&amp;"!G9")</f>
        <v>0</v>
      </c>
      <c r="O73" s="70" cm="1">
        <f t="array" aca="1" ref="O73" ca="1">INDIRECT($C73&amp;"!G5")</f>
        <v>78394.687366128055</v>
      </c>
      <c r="P73" s="70" cm="1">
        <f t="array" aca="1" ref="P73" ca="1">INDIRECT($C73&amp;"!G7")</f>
        <v>0.69263387194179438</v>
      </c>
      <c r="Q73" s="70" cm="1">
        <f t="array" aca="1" ref="Q73" ca="1">INDIRECT($C73&amp;"!G8")</f>
        <v>0</v>
      </c>
      <c r="R73" s="370">
        <f t="shared" ca="1" si="39"/>
        <v>0.99999116486364448</v>
      </c>
      <c r="S73" s="128">
        <f t="shared" ca="1" si="40"/>
        <v>0</v>
      </c>
    </row>
    <row r="74" spans="2:19" ht="19.899999999999999" customHeight="1" x14ac:dyDescent="0.25">
      <c r="B74" s="282" t="str">
        <f t="shared" si="38"/>
        <v>LINK</v>
      </c>
      <c r="C74" s="285" t="str">
        <f>IF(PQ!B79="","",PQ!B79)</f>
        <v>D.2.4</v>
      </c>
      <c r="D74" s="51" t="str">
        <f>IF(PQ!C79="","",PQ!C79)</f>
        <v>Sub-base ou base de brita graduada simples (BGS)</v>
      </c>
      <c r="E74" s="66" t="str">
        <f>IF(PQ!E79="","",PQ!E79)</f>
        <v>m³</v>
      </c>
      <c r="F74" s="53">
        <f>IF(PQ!F79="","",PQ!F79)</f>
        <v>173.55018897560495</v>
      </c>
      <c r="G74" s="290">
        <f>IF(PQ!G79="","",PQ!G79)</f>
        <v>203.73</v>
      </c>
      <c r="H74" s="294" cm="1">
        <f t="array" aca="1" ref="H74" ca="1">INDIRECT($C74&amp;"!E6")</f>
        <v>203.73020000000002</v>
      </c>
      <c r="I74" s="294" cm="1">
        <f t="array" aca="1" ref="I74" ca="1">INDIRECT($C74&amp;"!E9")</f>
        <v>0</v>
      </c>
      <c r="J74" s="294" cm="1">
        <f t="array" aca="1" ref="J74" ca="1">INDIRECT($C74&amp;"!E5")</f>
        <v>203.73020000000002</v>
      </c>
      <c r="K74" s="294" cm="1">
        <f t="array" aca="1" ref="K74" ca="1">INDIRECT($C74&amp;"!E7")</f>
        <v>-2.0000000003506102E-4</v>
      </c>
      <c r="L74" s="294" cm="1">
        <f t="array" aca="1" ref="L74" ca="1">INDIRECT($C74&amp;"!E8")</f>
        <v>0</v>
      </c>
      <c r="M74" s="70" cm="1">
        <f t="array" aca="1" ref="M74" ca="1">INDIRECT($C74&amp;"!G6")</f>
        <v>35357.414710037796</v>
      </c>
      <c r="N74" s="70" cm="1">
        <f t="array" aca="1" ref="N74" ca="1">INDIRECT($C74&amp;"!G9")</f>
        <v>0</v>
      </c>
      <c r="O74" s="70" cm="1">
        <f t="array" aca="1" ref="O74" ca="1">INDIRECT($C74&amp;"!G5")</f>
        <v>35357.414710037796</v>
      </c>
      <c r="P74" s="70" cm="1">
        <f t="array" aca="1" ref="P74" ca="1">INDIRECT($C74&amp;"!G7")</f>
        <v>-3.4710037801205837E-2</v>
      </c>
      <c r="Q74" s="70" cm="1">
        <f t="array" aca="1" ref="Q74" ca="1">INDIRECT($C74&amp;"!G8")</f>
        <v>0</v>
      </c>
      <c r="R74" s="370">
        <f t="shared" ca="1" si="39"/>
        <v>1.0000009816914546</v>
      </c>
      <c r="S74" s="128">
        <f t="shared" ca="1" si="40"/>
        <v>9.8169145457127627E-7</v>
      </c>
    </row>
    <row r="75" spans="2:19" ht="19.899999999999999" customHeight="1" x14ac:dyDescent="0.25">
      <c r="B75" s="282" t="str">
        <f t="shared" si="38"/>
        <v>LINK</v>
      </c>
      <c r="C75" s="285" t="str">
        <f>IF(PQ!B80="","",PQ!B80)</f>
        <v>D.2.5</v>
      </c>
      <c r="D75" s="51" t="str">
        <f>IF(PQ!C80="","",PQ!C80)</f>
        <v>Imprimadura betuminosa impermeabilizante</v>
      </c>
      <c r="E75" s="66" t="str">
        <f>IF(PQ!E80="","",PQ!E80)</f>
        <v>m²</v>
      </c>
      <c r="F75" s="53">
        <f>IF(PQ!F80="","",PQ!F80)</f>
        <v>0.87000441761154468</v>
      </c>
      <c r="G75" s="290">
        <f>IF(PQ!G80="","",PQ!G80)</f>
        <v>1018.65</v>
      </c>
      <c r="H75" s="294" cm="1">
        <f t="array" aca="1" ref="H75" ca="1">INDIRECT($C75&amp;"!E6")</f>
        <v>1018.6510000000001</v>
      </c>
      <c r="I75" s="294" cm="1">
        <f t="array" aca="1" ref="I75" ca="1">INDIRECT($C75&amp;"!E9")</f>
        <v>0</v>
      </c>
      <c r="J75" s="294" cm="1">
        <f t="array" aca="1" ref="J75" ca="1">INDIRECT($C75&amp;"!E5")</f>
        <v>1018.6510000000001</v>
      </c>
      <c r="K75" s="294" cm="1">
        <f t="array" aca="1" ref="K75" ca="1">INDIRECT($C75&amp;"!E7")</f>
        <v>-1.00000000009004E-3</v>
      </c>
      <c r="L75" s="294" cm="1">
        <f t="array" aca="1" ref="L75" ca="1">INDIRECT($C75&amp;"!E8")</f>
        <v>0</v>
      </c>
      <c r="M75" s="70" cm="1">
        <f t="array" aca="1" ref="M75" ca="1">INDIRECT($C75&amp;"!G6")</f>
        <v>886.23087000441762</v>
      </c>
      <c r="N75" s="70" cm="1">
        <f t="array" aca="1" ref="N75" ca="1">INDIRECT($C75&amp;"!G9")</f>
        <v>0</v>
      </c>
      <c r="O75" s="70" cm="1">
        <f t="array" aca="1" ref="O75" ca="1">INDIRECT($C75&amp;"!G5")</f>
        <v>886.23087000441762</v>
      </c>
      <c r="P75" s="70" cm="1">
        <f t="array" aca="1" ref="P75" ca="1">INDIRECT($C75&amp;"!G7")</f>
        <v>-8.7000441768987982E-4</v>
      </c>
      <c r="Q75" s="70" cm="1">
        <f t="array" aca="1" ref="Q75" ca="1">INDIRECT($C75&amp;"!G8")</f>
        <v>0</v>
      </c>
      <c r="R75" s="370">
        <f t="shared" ca="1" si="39"/>
        <v>1.0000009816914546</v>
      </c>
      <c r="S75" s="128">
        <f t="shared" ca="1" si="40"/>
        <v>9.8169145457127627E-7</v>
      </c>
    </row>
    <row r="76" spans="2:19" ht="19.899999999999999" customHeight="1" x14ac:dyDescent="0.25">
      <c r="B76" s="282" t="str">
        <f t="shared" si="38"/>
        <v>LINK</v>
      </c>
      <c r="C76" s="285" t="str">
        <f>IF(PQ!B81="","",PQ!B81)</f>
        <v>D.2.6</v>
      </c>
      <c r="D76" s="51" t="str">
        <f>IF(PQ!C81="","",PQ!C81)</f>
        <v>Imprimadura betuminosa ligante</v>
      </c>
      <c r="E76" s="66" t="str">
        <f>IF(PQ!E81="","",PQ!E81)</f>
        <v>m²</v>
      </c>
      <c r="F76" s="53">
        <f>IF(PQ!F81="","",PQ!F81)</f>
        <v>0.52999980411489322</v>
      </c>
      <c r="G76" s="290">
        <f>IF(PQ!G81="","",PQ!G81)</f>
        <v>3063.02</v>
      </c>
      <c r="H76" s="294" cm="1">
        <f t="array" aca="1" ref="H76" ca="1">INDIRECT($C76&amp;"!E6")</f>
        <v>3063.0240000000003</v>
      </c>
      <c r="I76" s="294" cm="1">
        <f t="array" aca="1" ref="I76" ca="1">INDIRECT($C76&amp;"!E9")</f>
        <v>0</v>
      </c>
      <c r="J76" s="294" cm="1">
        <f t="array" aca="1" ref="J76" ca="1">INDIRECT($C76&amp;"!E5")</f>
        <v>3063.0240000000003</v>
      </c>
      <c r="K76" s="294" cm="1">
        <f t="array" aca="1" ref="K76" ca="1">INDIRECT($C76&amp;"!E7")</f>
        <v>-4.0000000003601599E-3</v>
      </c>
      <c r="L76" s="294" cm="1">
        <f t="array" aca="1" ref="L76" ca="1">INDIRECT($C76&amp;"!E8")</f>
        <v>0</v>
      </c>
      <c r="M76" s="70" cm="1">
        <f t="array" aca="1" ref="M76" ca="1">INDIRECT($C76&amp;"!G6")</f>
        <v>1623.4021199992169</v>
      </c>
      <c r="N76" s="70" cm="1">
        <f t="array" aca="1" ref="N76" ca="1">INDIRECT($C76&amp;"!G9")</f>
        <v>0</v>
      </c>
      <c r="O76" s="70" cm="1">
        <f t="array" aca="1" ref="O76" ca="1">INDIRECT($C76&amp;"!G5")</f>
        <v>1623.4021199992169</v>
      </c>
      <c r="P76" s="70" cm="1">
        <f t="array" aca="1" ref="P76" ca="1">INDIRECT($C76&amp;"!G7")</f>
        <v>-2.1199992166504576E-3</v>
      </c>
      <c r="Q76" s="70" cm="1">
        <f t="array" aca="1" ref="Q76" ca="1">INDIRECT($C76&amp;"!G8")</f>
        <v>0</v>
      </c>
      <c r="R76" s="370">
        <f t="shared" ca="1" si="39"/>
        <v>1.0000013059007125</v>
      </c>
      <c r="S76" s="128">
        <f t="shared" ca="1" si="40"/>
        <v>1.3059007124560651E-6</v>
      </c>
    </row>
    <row r="77" spans="2:19" ht="19.899999999999999" customHeight="1" x14ac:dyDescent="0.25">
      <c r="B77" s="283" t="str">
        <f t="shared" si="38"/>
        <v>LINK</v>
      </c>
      <c r="C77" s="286" t="str">
        <f>IF(PQ!B82="","",PQ!B82)</f>
        <v>D.2.7</v>
      </c>
      <c r="D77" s="51" t="str">
        <f>IF(PQ!C82="","",PQ!C82)</f>
        <v>CBUQ  Faixa C/D c/ DOP ou polímero similar</v>
      </c>
      <c r="E77" s="66" t="str">
        <f>IF(PQ!E82="","",PQ!E82)</f>
        <v>T</v>
      </c>
      <c r="F77" s="53">
        <f>IF(PQ!F82="","",PQ!F82)</f>
        <v>308.7379612033418</v>
      </c>
      <c r="G77" s="371">
        <f>IF(PQ!G82="","",PQ!G82)</f>
        <v>278.89</v>
      </c>
      <c r="H77" s="295" cm="1">
        <f t="array" aca="1" ref="H77" ca="1">INDIRECT($C77&amp;"!E6")</f>
        <v>278.88815309999995</v>
      </c>
      <c r="I77" s="295" cm="1">
        <f t="array" aca="1" ref="I77" ca="1">INDIRECT($C77&amp;"!E9")</f>
        <v>0</v>
      </c>
      <c r="J77" s="295" cm="1">
        <f t="array" aca="1" ref="J77" ca="1">INDIRECT($C77&amp;"!E5")</f>
        <v>278.88815309999995</v>
      </c>
      <c r="K77" s="295" cm="1">
        <f t="array" aca="1" ref="K77" ca="1">INDIRECT($C77&amp;"!E7")</f>
        <v>1.8469000000322922E-3</v>
      </c>
      <c r="L77" s="295" cm="1">
        <f t="array" aca="1" ref="L77" ca="1">INDIRECT($C77&amp;"!E8")</f>
        <v>0</v>
      </c>
      <c r="M77" s="124" cm="1">
        <f t="array" aca="1" ref="M77" ca="1">INDIRECT($C77&amp;"!G6")</f>
        <v>86103.359791859431</v>
      </c>
      <c r="N77" s="124" cm="1">
        <f t="array" aca="1" ref="N77" ca="1">INDIRECT($C77&amp;"!G9")</f>
        <v>0</v>
      </c>
      <c r="O77" s="124" cm="1">
        <f t="array" aca="1" ref="O77" ca="1">INDIRECT($C77&amp;"!G5")</f>
        <v>86103.359791859431</v>
      </c>
      <c r="P77" s="124" cm="1">
        <f t="array" aca="1" ref="P77" ca="1">INDIRECT($C77&amp;"!G7")</f>
        <v>0.57020814055642177</v>
      </c>
      <c r="Q77" s="124" cm="1">
        <f t="array" aca="1" ref="Q77" ca="1">INDIRECT($C77&amp;"!G8")</f>
        <v>0</v>
      </c>
      <c r="R77" s="372">
        <f t="shared" ca="1" si="39"/>
        <v>0.999993377675786</v>
      </c>
      <c r="S77" s="316">
        <f t="shared" ca="1" si="40"/>
        <v>0</v>
      </c>
    </row>
    <row r="78" spans="2:19" ht="19.899999999999999" customHeight="1" x14ac:dyDescent="0.25">
      <c r="B78" s="115"/>
      <c r="C78" s="277" t="str">
        <f>IF(PQ!B83="","",PQ!B83)</f>
        <v>D.3</v>
      </c>
      <c r="D78" s="63" t="str">
        <f>IF(PQ!C83="","",PQ!C83)</f>
        <v>Material Betuminoso e Transportes</v>
      </c>
      <c r="E78" s="64" t="str">
        <f>IF(PQ!E83="","",PQ!E83)</f>
        <v/>
      </c>
      <c r="F78" s="65" t="str">
        <f>IF(PQ!F83="","",PQ!F83)</f>
        <v/>
      </c>
      <c r="G78" s="292" t="str">
        <f>IF(PQ!G83="","",PQ!G83)</f>
        <v/>
      </c>
      <c r="H78" s="292"/>
      <c r="I78" s="292"/>
      <c r="J78" s="292"/>
      <c r="K78" s="292"/>
      <c r="L78" s="292"/>
      <c r="M78" s="72">
        <f ca="1">SUBTOTAL(9,M79:M84)</f>
        <v>160619.98802150911</v>
      </c>
      <c r="N78" s="72">
        <f t="shared" ref="N78:Q78" ca="1" si="41">SUBTOTAL(9,N79:N84)</f>
        <v>0</v>
      </c>
      <c r="O78" s="72">
        <f t="shared" ca="1" si="41"/>
        <v>160619.98802150911</v>
      </c>
      <c r="P78" s="72">
        <f t="shared" ca="1" si="41"/>
        <v>-31.298021509105194</v>
      </c>
      <c r="Q78" s="72">
        <f t="shared" ca="1" si="41"/>
        <v>0</v>
      </c>
      <c r="R78" s="127"/>
      <c r="S78" s="75"/>
    </row>
    <row r="79" spans="2:19" ht="19.899999999999999" customHeight="1" x14ac:dyDescent="0.25">
      <c r="B79" s="281" t="str">
        <f t="shared" ref="B79:B87" si="42">HYPERLINK("#"&amp;"'"&amp;C79&amp;"'"&amp;"!A1","LINK")</f>
        <v>LINK</v>
      </c>
      <c r="C79" s="284" t="str">
        <f>IF(PQ!B84="","",PQ!B84)</f>
        <v>D.3.1</v>
      </c>
      <c r="D79" s="51" t="str">
        <f>IF(PQ!C84="","",PQ!C84)</f>
        <v>Fornecimento de CAP modificado com adição de polímero</v>
      </c>
      <c r="E79" s="66" t="str">
        <f>IF(PQ!E84="","",PQ!E84)</f>
        <v>T</v>
      </c>
      <c r="F79" s="53">
        <f>IF(PQ!F84="","",PQ!F84)</f>
        <v>6078.7587904360053</v>
      </c>
      <c r="G79" s="367">
        <f>IF(PQ!G84="","",PQ!G84)</f>
        <v>14.22</v>
      </c>
      <c r="H79" s="293" cm="1">
        <f t="array" aca="1" ref="H79" ca="1">INDIRECT($C79&amp;"!E6")</f>
        <v>14.223295808099998</v>
      </c>
      <c r="I79" s="293" cm="1">
        <f t="array" aca="1" ref="I79" ca="1">INDIRECT($C79&amp;"!E9")</f>
        <v>0</v>
      </c>
      <c r="J79" s="293" cm="1">
        <f t="array" aca="1" ref="J79" ca="1">INDIRECT($C79&amp;"!E5")</f>
        <v>14.223295808099998</v>
      </c>
      <c r="K79" s="293" cm="1">
        <f t="array" aca="1" ref="K79" ca="1">INDIRECT($C79&amp;"!E7")</f>
        <v>-3.2958080999971884E-3</v>
      </c>
      <c r="L79" s="293" cm="1">
        <f t="array" aca="1" ref="L79" ca="1">INDIRECT($C79&amp;"!E8")</f>
        <v>0</v>
      </c>
      <c r="M79" s="123" cm="1">
        <f t="array" aca="1" ref="M79" ca="1">INDIRECT($C79&amp;"!G6")</f>
        <v>86459.984422459442</v>
      </c>
      <c r="N79" s="123" cm="1">
        <f t="array" aca="1" ref="N79" ca="1">INDIRECT($C79&amp;"!G9")</f>
        <v>0</v>
      </c>
      <c r="O79" s="123" cm="1">
        <f t="array" aca="1" ref="O79" ca="1">INDIRECT($C79&amp;"!G5")</f>
        <v>86459.984422459442</v>
      </c>
      <c r="P79" s="123" cm="1">
        <f t="array" aca="1" ref="P79" ca="1">INDIRECT($C79&amp;"!G7")</f>
        <v>-20.034422459448098</v>
      </c>
      <c r="Q79" s="123" cm="1">
        <f t="array" aca="1" ref="Q79" ca="1">INDIRECT($C79&amp;"!G8")</f>
        <v>0</v>
      </c>
      <c r="R79" s="368">
        <f t="shared" ref="R79:R84" ca="1" si="43">IF(ISERROR(J79/G79),0,J79/G79)</f>
        <v>1.0002317727215189</v>
      </c>
      <c r="S79" s="369">
        <f t="shared" ref="S79:S84" ca="1" si="44">IF(R79&gt;1,R79-1,0)</f>
        <v>2.3177272151886363E-4</v>
      </c>
    </row>
    <row r="80" spans="2:19" ht="19.899999999999999" customHeight="1" x14ac:dyDescent="0.25">
      <c r="B80" s="282" t="str">
        <f t="shared" si="42"/>
        <v>LINK</v>
      </c>
      <c r="C80" s="285" t="str">
        <f>IF(PQ!B85="","",PQ!B85)</f>
        <v>D.3.2</v>
      </c>
      <c r="D80" s="51" t="str">
        <f>IF(PQ!C85="","",PQ!C85)</f>
        <v xml:space="preserve">Fornecimento de emulsão asfáltica tipo RR-1C                                </v>
      </c>
      <c r="E80" s="66" t="str">
        <f>IF(PQ!E85="","",PQ!E85)</f>
        <v>T</v>
      </c>
      <c r="F80" s="53">
        <f>IF(PQ!F85="","",PQ!F85)</f>
        <v>3461.6375838926174</v>
      </c>
      <c r="G80" s="290">
        <f>IF(PQ!G85="","",PQ!G85)</f>
        <v>1.49</v>
      </c>
      <c r="H80" s="294" cm="1">
        <f t="array" aca="1" ref="H80" ca="1">INDIRECT($C80&amp;"!E6")</f>
        <v>1.4928490101902399</v>
      </c>
      <c r="I80" s="294" cm="1">
        <f t="array" aca="1" ref="I80" ca="1">INDIRECT($C80&amp;"!E9")</f>
        <v>0</v>
      </c>
      <c r="J80" s="294" cm="1">
        <f t="array" aca="1" ref="J80" ca="1">INDIRECT($C80&amp;"!E5")</f>
        <v>1.4928490101902399</v>
      </c>
      <c r="K80" s="294" cm="1">
        <f t="array" aca="1" ref="K80" ca="1">INDIRECT($C80&amp;"!E7")</f>
        <v>-2.8490101902398646E-3</v>
      </c>
      <c r="L80" s="294" cm="1">
        <f t="array" aca="1" ref="L80" ca="1">INDIRECT($C80&amp;"!E8")</f>
        <v>0</v>
      </c>
      <c r="M80" s="70" cm="1">
        <f t="array" aca="1" ref="M80" ca="1">INDIRECT($C80&amp;"!G6")</f>
        <v>5167.7022407514269</v>
      </c>
      <c r="N80" s="70" cm="1">
        <f t="array" aca="1" ref="N80" ca="1">INDIRECT($C80&amp;"!G9")</f>
        <v>0</v>
      </c>
      <c r="O80" s="70" cm="1">
        <f t="array" aca="1" ref="O80" ca="1">INDIRECT($C80&amp;"!G5")</f>
        <v>5167.7022407514269</v>
      </c>
      <c r="P80" s="70" cm="1">
        <f t="array" aca="1" ref="P80" ca="1">INDIRECT($C80&amp;"!G7")</f>
        <v>-9.8622407514273718</v>
      </c>
      <c r="Q80" s="70" cm="1">
        <f t="array" aca="1" ref="Q80" ca="1">INDIRECT($C80&amp;"!G8")</f>
        <v>0</v>
      </c>
      <c r="R80" s="370">
        <f t="shared" ca="1" si="43"/>
        <v>1.0019120873759999</v>
      </c>
      <c r="S80" s="128">
        <f t="shared" ca="1" si="44"/>
        <v>1.9120873759999046E-3</v>
      </c>
    </row>
    <row r="81" spans="2:19" ht="19.899999999999999" customHeight="1" x14ac:dyDescent="0.25">
      <c r="B81" s="282" t="str">
        <f t="shared" si="42"/>
        <v>LINK</v>
      </c>
      <c r="C81" s="285" t="str">
        <f>IF(PQ!B86="","",PQ!B86)</f>
        <v>D.3.3</v>
      </c>
      <c r="D81" s="51" t="str">
        <f>IF(PQ!C86="","",PQ!C86)</f>
        <v xml:space="preserve">Fornecimento de emulsão asfáltica Imprimer                </v>
      </c>
      <c r="E81" s="66" t="str">
        <f>IF(PQ!E86="","",PQ!E86)</f>
        <v>T</v>
      </c>
      <c r="F81" s="53">
        <f>IF(PQ!F86="","",PQ!F86)</f>
        <v>3053.9280575539569</v>
      </c>
      <c r="G81" s="290">
        <f>IF(PQ!G86="","",PQ!G86)</f>
        <v>1.39</v>
      </c>
      <c r="H81" s="294" cm="1">
        <f t="array" aca="1" ref="H81" ca="1">INDIRECT($C81&amp;"!E6")</f>
        <v>1.3904586150000005</v>
      </c>
      <c r="I81" s="294" cm="1">
        <f t="array" aca="1" ref="I81" ca="1">INDIRECT($C81&amp;"!E9")</f>
        <v>0</v>
      </c>
      <c r="J81" s="294" cm="1">
        <f t="array" aca="1" ref="J81" ca="1">INDIRECT($C81&amp;"!E5")</f>
        <v>1.3904586150000005</v>
      </c>
      <c r="K81" s="294" cm="1">
        <f t="array" aca="1" ref="K81" ca="1">INDIRECT($C81&amp;"!E7")</f>
        <v>-4.5861500000055067E-4</v>
      </c>
      <c r="L81" s="294" cm="1">
        <f t="array" aca="1" ref="L81" ca="1">INDIRECT($C81&amp;"!E8")</f>
        <v>0</v>
      </c>
      <c r="M81" s="70" cm="1">
        <f t="array" aca="1" ref="M81" ca="1">INDIRECT($C81&amp;"!G6")</f>
        <v>4246.3605772161163</v>
      </c>
      <c r="N81" s="70" cm="1">
        <f t="array" aca="1" ref="N81" ca="1">INDIRECT($C81&amp;"!G9")</f>
        <v>0</v>
      </c>
      <c r="O81" s="70" cm="1">
        <f t="array" aca="1" ref="O81" ca="1">INDIRECT($C81&amp;"!G5")</f>
        <v>4246.3605772161163</v>
      </c>
      <c r="P81" s="70" cm="1">
        <f t="array" aca="1" ref="P81" ca="1">INDIRECT($C81&amp;"!G7")</f>
        <v>-1.4005772161167898</v>
      </c>
      <c r="Q81" s="70" cm="1">
        <f t="array" aca="1" ref="Q81" ca="1">INDIRECT($C81&amp;"!G8")</f>
        <v>0</v>
      </c>
      <c r="R81" s="370">
        <f t="shared" ca="1" si="43"/>
        <v>1.0003299388489213</v>
      </c>
      <c r="S81" s="128">
        <f t="shared" ca="1" si="44"/>
        <v>3.2993884892129621E-4</v>
      </c>
    </row>
    <row r="82" spans="2:19" ht="19.899999999999999" customHeight="1" x14ac:dyDescent="0.25">
      <c r="B82" s="282" t="str">
        <f t="shared" si="42"/>
        <v>LINK</v>
      </c>
      <c r="C82" s="285" t="str">
        <f>IF(PQ!B87="","",PQ!B87)</f>
        <v>D.3.4</v>
      </c>
      <c r="D82" s="51" t="str">
        <f>IF(PQ!C87="","",PQ!C87)</f>
        <v xml:space="preserve">Transporte com caminhão basculante de 14 m³ - rodovia pavimentada  - Agregados  </v>
      </c>
      <c r="E82" s="66" t="str">
        <f>IF(PQ!E87="","",PQ!E87)</f>
        <v>T x Km</v>
      </c>
      <c r="F82" s="53">
        <f>IF(PQ!F87="","",PQ!F87)</f>
        <v>1.0600001278403988</v>
      </c>
      <c r="G82" s="290">
        <f>IF(PQ!G87="","",PQ!G87)</f>
        <v>45369.07</v>
      </c>
      <c r="H82" s="294" cm="1">
        <f t="array" aca="1" ref="H82" ca="1">INDIRECT($C82&amp;"!E6")</f>
        <v>45369.073156375147</v>
      </c>
      <c r="I82" s="294" cm="1">
        <f t="array" aca="1" ref="I82" ca="1">INDIRECT($C82&amp;"!E9")</f>
        <v>0</v>
      </c>
      <c r="J82" s="294" cm="1">
        <f t="array" aca="1" ref="J82" ca="1">INDIRECT($C82&amp;"!E5")</f>
        <v>45369.073156375147</v>
      </c>
      <c r="K82" s="294" cm="1">
        <f t="array" aca="1" ref="K82" ca="1">INDIRECT($C82&amp;"!E7")</f>
        <v>-3.1563751472276635E-3</v>
      </c>
      <c r="L82" s="294" cm="1">
        <f t="array" aca="1" ref="L82" ca="1">INDIRECT($C82&amp;"!E8")</f>
        <v>0</v>
      </c>
      <c r="M82" s="70" cm="1">
        <f t="array" aca="1" ref="M82" ca="1">INDIRECT($C82&amp;"!G6")</f>
        <v>48091.223345758059</v>
      </c>
      <c r="N82" s="70" cm="1">
        <f t="array" aca="1" ref="N82" ca="1">INDIRECT($C82&amp;"!G9")</f>
        <v>0</v>
      </c>
      <c r="O82" s="70" cm="1">
        <f t="array" aca="1" ref="O82" ca="1">INDIRECT($C82&amp;"!G5")</f>
        <v>48091.223345758059</v>
      </c>
      <c r="P82" s="70" cm="1">
        <f t="array" aca="1" ref="P82" ca="1">INDIRECT($C82&amp;"!G7")</f>
        <v>-3.3457580595735808E-3</v>
      </c>
      <c r="Q82" s="70" cm="1">
        <f t="array" aca="1" ref="Q82" ca="1">INDIRECT($C82&amp;"!G8")</f>
        <v>0</v>
      </c>
      <c r="R82" s="370">
        <f t="shared" ca="1" si="43"/>
        <v>1.0000000695710789</v>
      </c>
      <c r="S82" s="128">
        <f t="shared" ca="1" si="44"/>
        <v>6.9571078897823213E-8</v>
      </c>
    </row>
    <row r="83" spans="2:19" ht="19.899999999999999" customHeight="1" x14ac:dyDescent="0.25">
      <c r="B83" s="282" t="str">
        <f t="shared" si="42"/>
        <v>LINK</v>
      </c>
      <c r="C83" s="285" t="str">
        <f>IF(PQ!B88="","",PQ!B88)</f>
        <v>D.3.5</v>
      </c>
      <c r="D83" s="51" t="str">
        <f>IF(PQ!C88="","",PQ!C88)</f>
        <v xml:space="preserve">Transporte com caminhão basculante de 14 m³ - rodovia pavimentada  - Massa Asfaltica  </v>
      </c>
      <c r="E83" s="66" t="str">
        <f>IF(PQ!E88="","",PQ!E88)</f>
        <v>T x Km</v>
      </c>
      <c r="F83" s="53">
        <f>IF(PQ!F88="","",PQ!F88)</f>
        <v>0.78999997653237719</v>
      </c>
      <c r="G83" s="290">
        <f>IF(PQ!G88="","",PQ!G88)</f>
        <v>17044.759999999998</v>
      </c>
      <c r="H83" s="294" cm="1">
        <f t="array" aca="1" ref="H83" ca="1">INDIRECT($C83&amp;"!E6")</f>
        <v>17044.758343319998</v>
      </c>
      <c r="I83" s="294" cm="1">
        <f t="array" aca="1" ref="I83" ca="1">INDIRECT($C83&amp;"!E9")</f>
        <v>0</v>
      </c>
      <c r="J83" s="294" cm="1">
        <f t="array" aca="1" ref="J83" ca="1">INDIRECT($C83&amp;"!E5")</f>
        <v>17044.758343319998</v>
      </c>
      <c r="K83" s="294" cm="1">
        <f t="array" aca="1" ref="K83" ca="1">INDIRECT($C83&amp;"!E7")</f>
        <v>1.6566800004511606E-3</v>
      </c>
      <c r="L83" s="294" cm="1">
        <f t="array" aca="1" ref="L83" ca="1">INDIRECT($C83&amp;"!E8")</f>
        <v>0</v>
      </c>
      <c r="M83" s="70" cm="1">
        <f t="array" aca="1" ref="M83" ca="1">INDIRECT($C83&amp;"!G6")</f>
        <v>13465.358691222838</v>
      </c>
      <c r="N83" s="70" cm="1">
        <f t="array" aca="1" ref="N83" ca="1">INDIRECT($C83&amp;"!G9")</f>
        <v>0</v>
      </c>
      <c r="O83" s="70" cm="1">
        <f t="array" aca="1" ref="O83" ca="1">INDIRECT($C83&amp;"!G5")</f>
        <v>13465.358691222838</v>
      </c>
      <c r="P83" s="70" cm="1">
        <f t="array" aca="1" ref="P83" ca="1">INDIRECT($C83&amp;"!G7")</f>
        <v>1.3087771614780756E-3</v>
      </c>
      <c r="Q83" s="70" cm="1">
        <f t="array" aca="1" ref="Q83" ca="1">INDIRECT($C83&amp;"!G8")</f>
        <v>0</v>
      </c>
      <c r="R83" s="370">
        <f t="shared" ca="1" si="43"/>
        <v>0.99999990280414619</v>
      </c>
      <c r="S83" s="128">
        <f t="shared" ca="1" si="44"/>
        <v>0</v>
      </c>
    </row>
    <row r="84" spans="2:19" ht="19.899999999999999" customHeight="1" x14ac:dyDescent="0.25">
      <c r="B84" s="283" t="str">
        <f t="shared" si="42"/>
        <v>LINK</v>
      </c>
      <c r="C84" s="286" t="str">
        <f>IF(PQ!B89="","",PQ!B89)</f>
        <v>D.3.6</v>
      </c>
      <c r="D84" s="51" t="str">
        <f>IF(PQ!C89="","",PQ!C89)</f>
        <v>Transporte com caminhão basculante de 14 m³ - rodovia pavimentada  - Materiais Betuminosos</v>
      </c>
      <c r="E84" s="66" t="str">
        <f>IF(PQ!E89="","",PQ!E89)</f>
        <v>T x Km</v>
      </c>
      <c r="F84" s="53">
        <f>IF(PQ!F89="","",PQ!F89)</f>
        <v>0.79000089171595878</v>
      </c>
      <c r="G84" s="371">
        <f>IF(PQ!G89="","",PQ!G89)</f>
        <v>4037.16</v>
      </c>
      <c r="H84" s="295" cm="1">
        <f t="array" aca="1" ref="H84" ca="1">INDIRECT($C84&amp;"!E6")</f>
        <v>4037.1584102564966</v>
      </c>
      <c r="I84" s="295" cm="1">
        <f t="array" aca="1" ref="I84" ca="1">INDIRECT($C84&amp;"!E9")</f>
        <v>0</v>
      </c>
      <c r="J84" s="295" cm="1">
        <f t="array" aca="1" ref="J84" ca="1">INDIRECT($C84&amp;"!E5")</f>
        <v>4037.1584102564966</v>
      </c>
      <c r="K84" s="295" cm="1">
        <f t="array" aca="1" ref="K84" ca="1">INDIRECT($C84&amp;"!E7")</f>
        <v>1.5897435032456997E-3</v>
      </c>
      <c r="L84" s="295" cm="1">
        <f t="array" aca="1" ref="L84" ca="1">INDIRECT($C84&amp;"!E8")</f>
        <v>0</v>
      </c>
      <c r="M84" s="124" cm="1">
        <f t="array" aca="1" ref="M84" ca="1">INDIRECT($C84&amp;"!G6")</f>
        <v>3189.3587441012151</v>
      </c>
      <c r="N84" s="124" cm="1">
        <f t="array" aca="1" ref="N84" ca="1">INDIRECT($C84&amp;"!G9")</f>
        <v>0</v>
      </c>
      <c r="O84" s="124" cm="1">
        <f t="array" aca="1" ref="O84" ca="1">INDIRECT($C84&amp;"!G5")</f>
        <v>3189.3587441012151</v>
      </c>
      <c r="P84" s="124" cm="1">
        <f t="array" aca="1" ref="P84" ca="1">INDIRECT($C84&amp;"!G7")</f>
        <v>1.2558987851637551E-3</v>
      </c>
      <c r="Q84" s="124" cm="1">
        <f t="array" aca="1" ref="Q84" ca="1">INDIRECT($C84&amp;"!G8")</f>
        <v>0</v>
      </c>
      <c r="R84" s="372">
        <f t="shared" ca="1" si="43"/>
        <v>0.99999960622231887</v>
      </c>
      <c r="S84" s="316">
        <f t="shared" ca="1" si="44"/>
        <v>0</v>
      </c>
    </row>
    <row r="85" spans="2:19" ht="19.899999999999999" customHeight="1" x14ac:dyDescent="0.25">
      <c r="B85" s="115"/>
      <c r="C85" s="277" t="str">
        <f>IF(PQ!B90="","",PQ!B90)</f>
        <v>D.4</v>
      </c>
      <c r="D85" s="63" t="str">
        <f>IF(PQ!C90="","",PQ!C90)</f>
        <v>Drenagem e OACs</v>
      </c>
      <c r="E85" s="64" t="str">
        <f>IF(PQ!E90="","",PQ!E90)</f>
        <v/>
      </c>
      <c r="F85" s="65" t="str">
        <f>IF(PQ!F90="","",PQ!F90)</f>
        <v/>
      </c>
      <c r="G85" s="292" t="str">
        <f>IF(PQ!G90="","",PQ!G90)</f>
        <v/>
      </c>
      <c r="H85" s="292"/>
      <c r="I85" s="292"/>
      <c r="J85" s="292"/>
      <c r="K85" s="292"/>
      <c r="L85" s="292"/>
      <c r="M85" s="72">
        <f ca="1">SUBTOTAL(9,M86:M87)</f>
        <v>0</v>
      </c>
      <c r="N85" s="72">
        <f t="shared" ref="N85:Q85" ca="1" si="45">SUBTOTAL(9,N86:N87)</f>
        <v>8340.4000000000015</v>
      </c>
      <c r="O85" s="72">
        <f t="shared" ca="1" si="45"/>
        <v>8340.4000000000015</v>
      </c>
      <c r="P85" s="72">
        <f t="shared" ca="1" si="45"/>
        <v>14638.8</v>
      </c>
      <c r="Q85" s="72">
        <f t="shared" ca="1" si="45"/>
        <v>0</v>
      </c>
      <c r="R85" s="127"/>
      <c r="S85" s="75"/>
    </row>
    <row r="86" spans="2:19" ht="19.899999999999999" customHeight="1" x14ac:dyDescent="0.25">
      <c r="B86" s="281" t="str">
        <f t="shared" si="42"/>
        <v>LINK</v>
      </c>
      <c r="C86" s="284" t="str">
        <f>IF(PQ!B91="","",PQ!B91)</f>
        <v>D.4.1</v>
      </c>
      <c r="D86" s="51" t="str">
        <f>IF(PQ!C91="","",PQ!C91)</f>
        <v>Sarjeta triangular de concreto - STC 88-20 - escavação mecânica - areia e brita comerciais</v>
      </c>
      <c r="E86" s="66" t="str">
        <f>IF(PQ!E91="","",PQ!E91)</f>
        <v>m</v>
      </c>
      <c r="F86" s="53">
        <f>IF(PQ!F91="","",PQ!F91)</f>
        <v>58</v>
      </c>
      <c r="G86" s="367">
        <f>IF(PQ!G91="","",PQ!G91)</f>
        <v>313.5</v>
      </c>
      <c r="H86" s="293" cm="1">
        <f t="array" aca="1" ref="H86" ca="1">INDIRECT($C86&amp;"!E6")</f>
        <v>0</v>
      </c>
      <c r="I86" s="293" cm="1">
        <f t="array" aca="1" ref="I86" ca="1">INDIRECT($C86&amp;"!E9")</f>
        <v>143.80000000000001</v>
      </c>
      <c r="J86" s="293" cm="1">
        <f t="array" aca="1" ref="J86" ca="1">INDIRECT($C86&amp;"!E5")</f>
        <v>143.80000000000001</v>
      </c>
      <c r="K86" s="293" cm="1">
        <f t="array" aca="1" ref="K86" ca="1">INDIRECT($C86&amp;"!E7")</f>
        <v>169.7</v>
      </c>
      <c r="L86" s="293" cm="1">
        <f t="array" aca="1" ref="L86" ca="1">INDIRECT($C86&amp;"!E8")</f>
        <v>0</v>
      </c>
      <c r="M86" s="123" cm="1">
        <f t="array" aca="1" ref="M86" ca="1">INDIRECT($C86&amp;"!G6")</f>
        <v>0</v>
      </c>
      <c r="N86" s="123" cm="1">
        <f t="array" aca="1" ref="N86" ca="1">INDIRECT($C86&amp;"!G9")</f>
        <v>8340.4000000000015</v>
      </c>
      <c r="O86" s="123" cm="1">
        <f t="array" aca="1" ref="O86" ca="1">INDIRECT($C86&amp;"!G5")</f>
        <v>8340.4000000000015</v>
      </c>
      <c r="P86" s="123" cm="1">
        <f t="array" aca="1" ref="P86" ca="1">INDIRECT($C86&amp;"!G7")</f>
        <v>9842.5999999999985</v>
      </c>
      <c r="Q86" s="123" cm="1">
        <f t="array" aca="1" ref="Q86" ca="1">INDIRECT($C86&amp;"!G8")</f>
        <v>0</v>
      </c>
      <c r="R86" s="368">
        <f t="shared" ref="R86:R87" ca="1" si="46">IF(ISERROR(J86/G86),0,J86/G86)</f>
        <v>0.45869218500797454</v>
      </c>
      <c r="S86" s="369">
        <f t="shared" ref="S86:S87" ca="1" si="47">IF(R86&gt;1,R86-1,0)</f>
        <v>0</v>
      </c>
    </row>
    <row r="87" spans="2:19" ht="19.899999999999999" customHeight="1" x14ac:dyDescent="0.25">
      <c r="B87" s="282" t="str">
        <f t="shared" si="42"/>
        <v>LINK</v>
      </c>
      <c r="C87" s="285" t="str">
        <f>IF(PQ!B92="","",PQ!B92)</f>
        <v>D.4.2</v>
      </c>
      <c r="D87" s="51" t="str">
        <f>IF(PQ!C92="","",PQ!C92)</f>
        <v>Dissipador de energia - DES 88-264 - areia, brita e pedra de mão comerciais</v>
      </c>
      <c r="E87" s="66" t="str">
        <f>IF(PQ!E92="","",PQ!E92)</f>
        <v>und.</v>
      </c>
      <c r="F87" s="53">
        <f>IF(PQ!F92="","",PQ!F92)</f>
        <v>959.24</v>
      </c>
      <c r="G87" s="371">
        <f>IF(PQ!G92="","",PQ!G92)</f>
        <v>5</v>
      </c>
      <c r="H87" s="295" cm="1">
        <f t="array" aca="1" ref="H87" ca="1">INDIRECT($C87&amp;"!E6")</f>
        <v>0</v>
      </c>
      <c r="I87" s="295" cm="1">
        <f t="array" aca="1" ref="I87" ca="1">INDIRECT($C87&amp;"!E9")</f>
        <v>0</v>
      </c>
      <c r="J87" s="295" cm="1">
        <f t="array" aca="1" ref="J87" ca="1">INDIRECT($C87&amp;"!E5")</f>
        <v>0</v>
      </c>
      <c r="K87" s="295" cm="1">
        <f t="array" aca="1" ref="K87" ca="1">INDIRECT($C87&amp;"!E7")</f>
        <v>5</v>
      </c>
      <c r="L87" s="295" cm="1">
        <f t="array" aca="1" ref="L87" ca="1">INDIRECT($C87&amp;"!E8")</f>
        <v>0</v>
      </c>
      <c r="M87" s="124" cm="1">
        <f t="array" aca="1" ref="M87" ca="1">INDIRECT($C87&amp;"!G6")</f>
        <v>0</v>
      </c>
      <c r="N87" s="124" cm="1">
        <f t="array" aca="1" ref="N87" ca="1">INDIRECT($C87&amp;"!G9")</f>
        <v>0</v>
      </c>
      <c r="O87" s="124" cm="1">
        <f t="array" aca="1" ref="O87" ca="1">INDIRECT($C87&amp;"!G5")</f>
        <v>0</v>
      </c>
      <c r="P87" s="124" cm="1">
        <f t="array" aca="1" ref="P87" ca="1">INDIRECT($C87&amp;"!G7")</f>
        <v>4796.2</v>
      </c>
      <c r="Q87" s="124" cm="1">
        <f t="array" aca="1" ref="Q87" ca="1">INDIRECT($C87&amp;"!G8")</f>
        <v>0</v>
      </c>
      <c r="R87" s="372">
        <f t="shared" ca="1" si="46"/>
        <v>0</v>
      </c>
      <c r="S87" s="316">
        <f t="shared" ca="1" si="47"/>
        <v>0</v>
      </c>
    </row>
    <row r="88" spans="2:19" ht="19.899999999999999" customHeight="1" x14ac:dyDescent="0.25">
      <c r="B88" s="114"/>
      <c r="C88" s="276" t="str">
        <f>IF(PQ!B93="","",PQ!B93)</f>
        <v>E.</v>
      </c>
      <c r="D88" s="59" t="str">
        <f>IF(PQ!C93="","",PQ!C93)</f>
        <v>Sinalização Horizontal, Vertical e Elementos de Proteção e Segurança</v>
      </c>
      <c r="E88" s="60" t="str">
        <f>IF(PQ!E93="","",PQ!E93)</f>
        <v/>
      </c>
      <c r="F88" s="61" t="str">
        <f>IF(PQ!F93="","",PQ!F93)</f>
        <v/>
      </c>
      <c r="G88" s="291" t="str">
        <f>IF(PQ!G93="","",PQ!G93)</f>
        <v/>
      </c>
      <c r="H88" s="291"/>
      <c r="I88" s="291"/>
      <c r="J88" s="291"/>
      <c r="K88" s="291"/>
      <c r="L88" s="291"/>
      <c r="M88" s="73">
        <f ca="1">SUBTOTAL(9,M89)</f>
        <v>19282.616328449087</v>
      </c>
      <c r="N88" s="73">
        <f t="shared" ref="N88:Q88" ca="1" si="48">SUBTOTAL(9,N89)</f>
        <v>0</v>
      </c>
      <c r="O88" s="73">
        <f t="shared" ca="1" si="48"/>
        <v>19282.616328449087</v>
      </c>
      <c r="P88" s="73">
        <f t="shared" ca="1" si="48"/>
        <v>119708.45367155092</v>
      </c>
      <c r="Q88" s="73">
        <f t="shared" ca="1" si="48"/>
        <v>0</v>
      </c>
      <c r="R88" s="73"/>
      <c r="S88" s="74"/>
    </row>
    <row r="89" spans="2:19" ht="19.899999999999999" customHeight="1" x14ac:dyDescent="0.25">
      <c r="B89" s="322" t="str">
        <f>HYPERLINK("#"&amp;"'"&amp;C89&amp;"'"&amp;"!A1","LINK")</f>
        <v>LINK</v>
      </c>
      <c r="C89" s="323" t="str">
        <f>IF(PQ!B94="","",PQ!B94)</f>
        <v>E.1</v>
      </c>
      <c r="D89" s="287" t="str">
        <f>IF(PQ!C94="","",PQ!C94)</f>
        <v>Manutenção/recomposição de sinalização - pintura de faixa com tinta acrílica emulsionada em água - espessura de 0,3 / 0,5 mm</v>
      </c>
      <c r="E89" s="288" t="str">
        <f>IF(PQ!E94="","",PQ!E94)</f>
        <v>m²</v>
      </c>
      <c r="F89" s="289">
        <f>IF(PQ!F94="","",PQ!F94)</f>
        <v>47.689998524603105</v>
      </c>
      <c r="G89" s="373">
        <f>IF(PQ!G94="","",PQ!G94)</f>
        <v>2914.47</v>
      </c>
      <c r="H89" s="324" cm="1">
        <f t="array" aca="1" ref="H89" ca="1">INDIRECT($C89&amp;"!E6")</f>
        <v>404.33250000000004</v>
      </c>
      <c r="I89" s="324" cm="1">
        <f t="array" aca="1" ref="I89" ca="1">INDIRECT($C89&amp;"!E9")</f>
        <v>0</v>
      </c>
      <c r="J89" s="324" cm="1">
        <f t="array" aca="1" ref="J89" ca="1">INDIRECT($C89&amp;"!E5")</f>
        <v>404.33250000000004</v>
      </c>
      <c r="K89" s="324" cm="1">
        <f t="array" aca="1" ref="K89" ca="1">INDIRECT($C89&amp;"!E7")</f>
        <v>2510.1374999999998</v>
      </c>
      <c r="L89" s="324" cm="1">
        <f t="array" aca="1" ref="L89" ca="1">INDIRECT($C89&amp;"!E8")</f>
        <v>0</v>
      </c>
      <c r="M89" s="325" cm="1">
        <f t="array" aca="1" ref="M89" ca="1">INDIRECT($C89&amp;"!G6")</f>
        <v>19282.616328449087</v>
      </c>
      <c r="N89" s="325" cm="1">
        <f t="array" aca="1" ref="N89" ca="1">INDIRECT($C89&amp;"!G9")</f>
        <v>0</v>
      </c>
      <c r="O89" s="325" cm="1">
        <f t="array" aca="1" ref="O89" ca="1">INDIRECT($C89&amp;"!G5")</f>
        <v>19282.616328449087</v>
      </c>
      <c r="P89" s="325" cm="1">
        <f t="array" aca="1" ref="P89" ca="1">INDIRECT($C89&amp;"!G7")</f>
        <v>119708.45367155092</v>
      </c>
      <c r="Q89" s="325" cm="1">
        <f t="array" aca="1" ref="Q89" ca="1">INDIRECT($C89&amp;"!G8")</f>
        <v>0</v>
      </c>
      <c r="R89" s="374">
        <f ca="1">IF(ISERROR(J89/G89),0,J89/G89)</f>
        <v>0.13873277131004955</v>
      </c>
      <c r="S89" s="375">
        <f ca="1">IF(R89&gt;1,R89-1,0)</f>
        <v>0</v>
      </c>
    </row>
    <row r="90" spans="2:19" ht="19.899999999999999" customHeight="1" x14ac:dyDescent="0.25">
      <c r="B90" s="317"/>
      <c r="C90" s="318" t="str">
        <f>IF(PQ!B95="","",PQ!B95)</f>
        <v>F.</v>
      </c>
      <c r="D90" s="261" t="str">
        <f>IF(PQ!C95="","",PQ!C95)</f>
        <v>Mão de Obra e Equipamentos</v>
      </c>
      <c r="E90" s="262" t="str">
        <f>IF(PQ!E95="","",PQ!E95)</f>
        <v/>
      </c>
      <c r="F90" s="263" t="str">
        <f>IF(PQ!F95="","",PQ!F95)</f>
        <v/>
      </c>
      <c r="G90" s="319" t="str">
        <f>IF(PQ!G95="","",PQ!G95)</f>
        <v/>
      </c>
      <c r="H90" s="319"/>
      <c r="I90" s="319"/>
      <c r="J90" s="319"/>
      <c r="K90" s="319"/>
      <c r="L90" s="319"/>
      <c r="M90" s="320">
        <f ca="1">SUBTOTAL(9,M91:M100)</f>
        <v>0</v>
      </c>
      <c r="N90" s="320">
        <f t="shared" ref="N90:Q90" ca="1" si="49">SUBTOTAL(9,N91:N100)</f>
        <v>102841.20535349999</v>
      </c>
      <c r="O90" s="320">
        <f t="shared" ca="1" si="49"/>
        <v>102841.20535349999</v>
      </c>
      <c r="P90" s="320">
        <f t="shared" ca="1" si="49"/>
        <v>126251.23464649997</v>
      </c>
      <c r="Q90" s="320">
        <f t="shared" ca="1" si="49"/>
        <v>45730.190671800003</v>
      </c>
      <c r="R90" s="320"/>
      <c r="S90" s="321"/>
    </row>
    <row r="91" spans="2:19" ht="19.899999999999999" customHeight="1" x14ac:dyDescent="0.25">
      <c r="B91" s="115"/>
      <c r="C91" s="277" t="str">
        <f>IF(PQ!B96="","",PQ!B96)</f>
        <v>F.1</v>
      </c>
      <c r="D91" s="63" t="str">
        <f>IF(PQ!C96="","",PQ!C96)</f>
        <v>Mão de Obra</v>
      </c>
      <c r="E91" s="64" t="str">
        <f>IF(PQ!E96="","",PQ!E96)</f>
        <v/>
      </c>
      <c r="F91" s="65" t="str">
        <f>IF(PQ!F96="","",PQ!F96)</f>
        <v/>
      </c>
      <c r="G91" s="292" t="str">
        <f>IF(PQ!G96="","",PQ!G96)</f>
        <v/>
      </c>
      <c r="H91" s="292"/>
      <c r="I91" s="292"/>
      <c r="J91" s="292"/>
      <c r="K91" s="292"/>
      <c r="L91" s="292"/>
      <c r="M91" s="72">
        <f ca="1">SUBTOTAL(9,M92:M94)</f>
        <v>0</v>
      </c>
      <c r="N91" s="72">
        <f t="shared" ref="N91:Q91" ca="1" si="50">SUBTOTAL(9,N92:N94)</f>
        <v>12969.48</v>
      </c>
      <c r="O91" s="72">
        <f t="shared" ca="1" si="50"/>
        <v>12969.48</v>
      </c>
      <c r="P91" s="72">
        <f t="shared" ca="1" si="50"/>
        <v>6484.74</v>
      </c>
      <c r="Q91" s="72">
        <f t="shared" ca="1" si="50"/>
        <v>6484.74</v>
      </c>
      <c r="R91" s="127"/>
      <c r="S91" s="75"/>
    </row>
    <row r="92" spans="2:19" ht="19.899999999999999" customHeight="1" x14ac:dyDescent="0.25">
      <c r="B92" s="281" t="str">
        <f t="shared" ref="B92:B94" si="51">HYPERLINK("#"&amp;"'"&amp;C92&amp;"'"&amp;"!A1","LINK")</f>
        <v>LINK</v>
      </c>
      <c r="C92" s="284" t="str">
        <f>IF(PQ!B97="","",PQ!B97)</f>
        <v>F.1.1</v>
      </c>
      <c r="D92" s="51" t="str">
        <f>IF(PQ!C97="","",PQ!C97)</f>
        <v>Encarregado</v>
      </c>
      <c r="E92" s="66" t="str">
        <f>IF(PQ!E97="","",PQ!E97)</f>
        <v>h</v>
      </c>
      <c r="F92" s="53">
        <f>IF(PQ!F97="","",PQ!F97)</f>
        <v>70.817037037037039</v>
      </c>
      <c r="G92" s="367">
        <f>IF(PQ!G97="","",PQ!G97)</f>
        <v>54</v>
      </c>
      <c r="H92" s="293" cm="1">
        <f t="array" aca="1" ref="H92" ca="1">INDIRECT($C92&amp;"!E6")</f>
        <v>0</v>
      </c>
      <c r="I92" s="293" cm="1">
        <f t="array" aca="1" ref="I92" ca="1">INDIRECT($C92&amp;"!E9")</f>
        <v>36</v>
      </c>
      <c r="J92" s="293" cm="1">
        <f t="array" aca="1" ref="J92" ca="1">INDIRECT($C92&amp;"!E5")</f>
        <v>36</v>
      </c>
      <c r="K92" s="293" cm="1">
        <f t="array" aca="1" ref="K92" ca="1">INDIRECT($C92&amp;"!E7")</f>
        <v>18</v>
      </c>
      <c r="L92" s="293" cm="1">
        <f t="array" aca="1" ref="L92" ca="1">INDIRECT($C92&amp;"!E8")</f>
        <v>18</v>
      </c>
      <c r="M92" s="123" cm="1">
        <f t="array" aca="1" ref="M92" ca="1">INDIRECT($C92&amp;"!G6")</f>
        <v>0</v>
      </c>
      <c r="N92" s="123" cm="1">
        <f t="array" aca="1" ref="N92" ca="1">INDIRECT($C92&amp;"!G9")</f>
        <v>2549.4133333333334</v>
      </c>
      <c r="O92" s="123" cm="1">
        <f t="array" aca="1" ref="O92" ca="1">INDIRECT($C92&amp;"!G5")</f>
        <v>2549.4133333333334</v>
      </c>
      <c r="P92" s="123" cm="1">
        <f t="array" aca="1" ref="P92" ca="1">INDIRECT($C92&amp;"!G7")</f>
        <v>1274.7066666666667</v>
      </c>
      <c r="Q92" s="123" cm="1">
        <f t="array" aca="1" ref="Q92" ca="1">INDIRECT($C92&amp;"!G8")</f>
        <v>1274.7066666666667</v>
      </c>
      <c r="R92" s="368">
        <f t="shared" ref="R92:R94" ca="1" si="52">IF(ISERROR(J92/G92),0,J92/G92)</f>
        <v>0.66666666666666663</v>
      </c>
      <c r="S92" s="369">
        <f t="shared" ref="S92:S94" ca="1" si="53">IF(R92&gt;1,R92-1,0)</f>
        <v>0</v>
      </c>
    </row>
    <row r="93" spans="2:19" ht="19.899999999999999" customHeight="1" x14ac:dyDescent="0.25">
      <c r="B93" s="282" t="str">
        <f t="shared" si="51"/>
        <v>LINK</v>
      </c>
      <c r="C93" s="285" t="str">
        <f>IF(PQ!B98="","",PQ!B98)</f>
        <v>F.1.2</v>
      </c>
      <c r="D93" s="51" t="str">
        <f>IF(PQ!C98="","",PQ!C98)</f>
        <v>Oficial</v>
      </c>
      <c r="E93" s="66" t="str">
        <f>IF(PQ!E98="","",PQ!E98)</f>
        <v>h</v>
      </c>
      <c r="F93" s="53">
        <f>IF(PQ!F98="","",PQ!F98)</f>
        <v>40.883209876543212</v>
      </c>
      <c r="G93" s="290">
        <f>IF(PQ!G98="","",PQ!G98)</f>
        <v>162</v>
      </c>
      <c r="H93" s="294" cm="1">
        <f t="array" aca="1" ref="H93" ca="1">INDIRECT($C93&amp;"!E6")</f>
        <v>0</v>
      </c>
      <c r="I93" s="294" cm="1">
        <f t="array" aca="1" ref="I93" ca="1">INDIRECT($C93&amp;"!E9")</f>
        <v>108</v>
      </c>
      <c r="J93" s="294" cm="1">
        <f t="array" aca="1" ref="J93" ca="1">INDIRECT($C93&amp;"!E5")</f>
        <v>108</v>
      </c>
      <c r="K93" s="294" cm="1">
        <f t="array" aca="1" ref="K93" ca="1">INDIRECT($C93&amp;"!E7")</f>
        <v>54</v>
      </c>
      <c r="L93" s="294" cm="1">
        <f t="array" aca="1" ref="L93" ca="1">INDIRECT($C93&amp;"!E8")</f>
        <v>54</v>
      </c>
      <c r="M93" s="70" cm="1">
        <f t="array" aca="1" ref="M93" ca="1">INDIRECT($C93&amp;"!G6")</f>
        <v>0</v>
      </c>
      <c r="N93" s="70" cm="1">
        <f t="array" aca="1" ref="N93" ca="1">INDIRECT($C93&amp;"!G9")</f>
        <v>4415.3866666666672</v>
      </c>
      <c r="O93" s="70" cm="1">
        <f t="array" aca="1" ref="O93" ca="1">INDIRECT($C93&amp;"!G5")</f>
        <v>4415.3866666666672</v>
      </c>
      <c r="P93" s="70" cm="1">
        <f t="array" aca="1" ref="P93" ca="1">INDIRECT($C93&amp;"!G7")</f>
        <v>2207.6933333333336</v>
      </c>
      <c r="Q93" s="70" cm="1">
        <f t="array" aca="1" ref="Q93" ca="1">INDIRECT($C93&amp;"!G8")</f>
        <v>2207.6933333333336</v>
      </c>
      <c r="R93" s="370">
        <f t="shared" ca="1" si="52"/>
        <v>0.66666666666666663</v>
      </c>
      <c r="S93" s="128">
        <f t="shared" ca="1" si="53"/>
        <v>0</v>
      </c>
    </row>
    <row r="94" spans="2:19" ht="19.899999999999999" customHeight="1" x14ac:dyDescent="0.25">
      <c r="B94" s="282" t="str">
        <f t="shared" si="51"/>
        <v>LINK</v>
      </c>
      <c r="C94" s="285" t="str">
        <f>IF(PQ!B99="","",PQ!B99)</f>
        <v>F.1.3</v>
      </c>
      <c r="D94" s="51" t="str">
        <f>IF(PQ!C99="","",PQ!C99)</f>
        <v>Servente</v>
      </c>
      <c r="E94" s="66" t="str">
        <f>IF(PQ!E99="","",PQ!E99)</f>
        <v>h</v>
      </c>
      <c r="F94" s="53">
        <f>IF(PQ!F99="","",PQ!F99)</f>
        <v>33.359333333333332</v>
      </c>
      <c r="G94" s="371">
        <f>IF(PQ!G99="","",PQ!G99)</f>
        <v>270</v>
      </c>
      <c r="H94" s="295" cm="1">
        <f t="array" aca="1" ref="H94" ca="1">INDIRECT($C94&amp;"!E6")</f>
        <v>0</v>
      </c>
      <c r="I94" s="295" cm="1">
        <f t="array" aca="1" ref="I94" ca="1">INDIRECT($C94&amp;"!E9")</f>
        <v>180</v>
      </c>
      <c r="J94" s="295" cm="1">
        <f t="array" aca="1" ref="J94" ca="1">INDIRECT($C94&amp;"!E5")</f>
        <v>180</v>
      </c>
      <c r="K94" s="295" cm="1">
        <f t="array" aca="1" ref="K94" ca="1">INDIRECT($C94&amp;"!E7")</f>
        <v>90</v>
      </c>
      <c r="L94" s="295" cm="1">
        <f t="array" aca="1" ref="L94" ca="1">INDIRECT($C94&amp;"!E8")</f>
        <v>90</v>
      </c>
      <c r="M94" s="124" cm="1">
        <f t="array" aca="1" ref="M94" ca="1">INDIRECT($C94&amp;"!G6")</f>
        <v>0</v>
      </c>
      <c r="N94" s="124" cm="1">
        <f t="array" aca="1" ref="N94" ca="1">INDIRECT($C94&amp;"!G9")</f>
        <v>6004.6799999999994</v>
      </c>
      <c r="O94" s="124" cm="1">
        <f t="array" aca="1" ref="O94" ca="1">INDIRECT($C94&amp;"!G5")</f>
        <v>6004.6799999999994</v>
      </c>
      <c r="P94" s="124" cm="1">
        <f t="array" aca="1" ref="P94" ca="1">INDIRECT($C94&amp;"!G7")</f>
        <v>3002.3399999999997</v>
      </c>
      <c r="Q94" s="124" cm="1">
        <f t="array" aca="1" ref="Q94" ca="1">INDIRECT($C94&amp;"!G8")</f>
        <v>3002.3399999999997</v>
      </c>
      <c r="R94" s="372">
        <f t="shared" ca="1" si="52"/>
        <v>0.66666666666666663</v>
      </c>
      <c r="S94" s="316">
        <f t="shared" ca="1" si="53"/>
        <v>0</v>
      </c>
    </row>
    <row r="95" spans="2:19" ht="19.899999999999999" customHeight="1" x14ac:dyDescent="0.25">
      <c r="B95" s="115"/>
      <c r="C95" s="277" t="str">
        <f>IF(PQ!B100="","",PQ!B100)</f>
        <v>F.2</v>
      </c>
      <c r="D95" s="63" t="str">
        <f>IF(PQ!C100="","",PQ!C100)</f>
        <v>Equipamentos</v>
      </c>
      <c r="E95" s="64" t="str">
        <f>IF(PQ!E100="","",PQ!E100)</f>
        <v/>
      </c>
      <c r="F95" s="65" t="str">
        <f>IF(PQ!F100="","",PQ!F100)</f>
        <v/>
      </c>
      <c r="G95" s="292" t="str">
        <f>IF(PQ!G100="","",PQ!G100)</f>
        <v/>
      </c>
      <c r="H95" s="292"/>
      <c r="I95" s="292"/>
      <c r="J95" s="292"/>
      <c r="K95" s="292"/>
      <c r="L95" s="292"/>
      <c r="M95" s="72">
        <f ca="1">SUBTOTAL(9,M96:M100)</f>
        <v>0</v>
      </c>
      <c r="N95" s="72">
        <f t="shared" ref="N95:Q95" ca="1" si="54">SUBTOTAL(9,N96:N100)</f>
        <v>89871.725353499991</v>
      </c>
      <c r="O95" s="72">
        <f t="shared" ca="1" si="54"/>
        <v>89871.725353499991</v>
      </c>
      <c r="P95" s="72">
        <f t="shared" ca="1" si="54"/>
        <v>119766.49464649998</v>
      </c>
      <c r="Q95" s="72">
        <f t="shared" ca="1" si="54"/>
        <v>39245.450671799998</v>
      </c>
      <c r="R95" s="127"/>
      <c r="S95" s="75"/>
    </row>
    <row r="96" spans="2:19" ht="19.899999999999999" customHeight="1" x14ac:dyDescent="0.25">
      <c r="B96" s="281" t="str">
        <f t="shared" ref="B96:B100" si="55">HYPERLINK("#"&amp;"'"&amp;C96&amp;"'"&amp;"!A1","LINK")</f>
        <v>LINK</v>
      </c>
      <c r="C96" s="284" t="str">
        <f>IF(PQ!B101="","",PQ!B101)</f>
        <v>F.2.1</v>
      </c>
      <c r="D96" s="51" t="str">
        <f>IF(PQ!C101="","",PQ!C101)</f>
        <v>Trator sobre Esteiras com Lâmina - 127 Kw</v>
      </c>
      <c r="E96" s="66" t="str">
        <f>IF(PQ!E101="","",PQ!E101)</f>
        <v>h</v>
      </c>
      <c r="F96" s="53">
        <f>IF(PQ!F101="","",PQ!F101)</f>
        <v>272.35345679012346</v>
      </c>
      <c r="G96" s="367">
        <f>IF(PQ!G101="","",PQ!G101)</f>
        <v>81</v>
      </c>
      <c r="H96" s="293" cm="1">
        <f t="array" aca="1" ref="H96" ca="1">INDIRECT($C96&amp;"!E6")</f>
        <v>0</v>
      </c>
      <c r="I96" s="293" cm="1">
        <f t="array" aca="1" ref="I96" ca="1">INDIRECT($C96&amp;"!E9")</f>
        <v>21.705353459330038</v>
      </c>
      <c r="J96" s="293" cm="1">
        <f t="array" aca="1" ref="J96" ca="1">INDIRECT($C96&amp;"!E5")</f>
        <v>21.705353459330038</v>
      </c>
      <c r="K96" s="293" cm="1">
        <f t="array" aca="1" ref="K96" ca="1">INDIRECT($C96&amp;"!E7")</f>
        <v>59.294646540669959</v>
      </c>
      <c r="L96" s="293" cm="1">
        <f t="array" aca="1" ref="L96" ca="1">INDIRECT($C96&amp;"!E8")</f>
        <v>6.2015295598085842</v>
      </c>
      <c r="M96" s="123" cm="1">
        <f t="array" aca="1" ref="M96" ca="1">INDIRECT($C96&amp;"!G6")</f>
        <v>0</v>
      </c>
      <c r="N96" s="123" cm="1">
        <f t="array" aca="1" ref="N96" ca="1">INDIRECT($C96&amp;"!G9")</f>
        <v>5911.5280455000002</v>
      </c>
      <c r="O96" s="123" cm="1">
        <f t="array" aca="1" ref="O96" ca="1">INDIRECT($C96&amp;"!G5")</f>
        <v>5911.5280455000002</v>
      </c>
      <c r="P96" s="123" cm="1">
        <f t="array" aca="1" ref="P96" ca="1">INDIRECT($C96&amp;"!G7")</f>
        <v>16149.1019545</v>
      </c>
      <c r="Q96" s="123" cm="1">
        <f t="array" aca="1" ref="Q96" ca="1">INDIRECT($C96&amp;"!G8")</f>
        <v>1689.0080130000006</v>
      </c>
      <c r="R96" s="368">
        <f t="shared" ref="R96:R100" ca="1" si="56">IF(ISERROR(J96/G96),0,J96/G96)</f>
        <v>0.26796732665839551</v>
      </c>
      <c r="S96" s="369">
        <f t="shared" ref="S96:S100" ca="1" si="57">IF(R96&gt;1,R96-1,0)</f>
        <v>0</v>
      </c>
    </row>
    <row r="97" spans="2:19" ht="19.899999999999999" customHeight="1" x14ac:dyDescent="0.25">
      <c r="B97" s="282" t="str">
        <f t="shared" si="55"/>
        <v>LINK</v>
      </c>
      <c r="C97" s="285" t="str">
        <f>IF(PQ!B102="","",PQ!B102)</f>
        <v>F.2.2</v>
      </c>
      <c r="D97" s="51" t="str">
        <f>IF(PQ!C102="","",PQ!C102)</f>
        <v>Escavadeira Hidráulica sobre Esteiras</v>
      </c>
      <c r="E97" s="66" t="str">
        <f>IF(PQ!E102="","",PQ!E102)</f>
        <v>h</v>
      </c>
      <c r="F97" s="53">
        <f>IF(PQ!F102="","",PQ!F102)</f>
        <v>282.33581196581196</v>
      </c>
      <c r="G97" s="290">
        <f>IF(PQ!G102="","",PQ!G102)</f>
        <v>117</v>
      </c>
      <c r="H97" s="294" cm="1">
        <f t="array" aca="1" ref="H97" ca="1">INDIRECT($C97&amp;"!E6")</f>
        <v>0</v>
      </c>
      <c r="I97" s="294" cm="1">
        <f t="array" aca="1" ref="I97" ca="1">INDIRECT($C97&amp;"!E9")</f>
        <v>38.822239738851323</v>
      </c>
      <c r="J97" s="294" cm="1">
        <f t="array" aca="1" ref="J97" ca="1">INDIRECT($C97&amp;"!E5")</f>
        <v>38.822239738851323</v>
      </c>
      <c r="K97" s="294" cm="1">
        <f t="array" aca="1" ref="K97" ca="1">INDIRECT($C97&amp;"!E7")</f>
        <v>78.177760261148677</v>
      </c>
      <c r="L97" s="294" cm="1">
        <f t="array" aca="1" ref="L97" ca="1">INDIRECT($C97&amp;"!E8")</f>
        <v>17.254328772822817</v>
      </c>
      <c r="M97" s="70" cm="1">
        <f t="array" aca="1" ref="M97" ca="1">INDIRECT($C97&amp;"!G6")</f>
        <v>0</v>
      </c>
      <c r="N97" s="70" cm="1">
        <f t="array" aca="1" ref="N97" ca="1">INDIRECT($C97&amp;"!G9")</f>
        <v>10960.908578999999</v>
      </c>
      <c r="O97" s="70" cm="1">
        <f t="array" aca="1" ref="O97" ca="1">INDIRECT($C97&amp;"!G5")</f>
        <v>10960.908578999999</v>
      </c>
      <c r="P97" s="70" cm="1">
        <f t="array" aca="1" ref="P97" ca="1">INDIRECT($C97&amp;"!G7")</f>
        <v>22072.381420999998</v>
      </c>
      <c r="Q97" s="70" cm="1">
        <f t="array" aca="1" ref="Q97" ca="1">INDIRECT($C97&amp;"!G8")</f>
        <v>4871.5149240000019</v>
      </c>
      <c r="R97" s="370">
        <f t="shared" ca="1" si="56"/>
        <v>0.33181401486197715</v>
      </c>
      <c r="S97" s="128">
        <f t="shared" ca="1" si="57"/>
        <v>0</v>
      </c>
    </row>
    <row r="98" spans="2:19" ht="19.899999999999999" customHeight="1" x14ac:dyDescent="0.25">
      <c r="B98" s="282" t="str">
        <f t="shared" si="55"/>
        <v>LINK</v>
      </c>
      <c r="C98" s="285" t="str">
        <f>IF(PQ!B103="","",PQ!B103)</f>
        <v>F.2.3</v>
      </c>
      <c r="D98" s="51" t="str">
        <f>IF(PQ!C103="","",PQ!C103)</f>
        <v>Caminhão Basculante com Capacidade de 16 M³ - 188 Kw</v>
      </c>
      <c r="E98" s="66" t="str">
        <f>IF(PQ!E103="","",PQ!E103)</f>
        <v>h</v>
      </c>
      <c r="F98" s="53">
        <f>IF(PQ!F103="","",PQ!F103)</f>
        <v>230.76025925925924</v>
      </c>
      <c r="G98" s="290">
        <f>IF(PQ!G103="","",PQ!G103)</f>
        <v>540</v>
      </c>
      <c r="H98" s="294" cm="1">
        <f t="array" aca="1" ref="H98" ca="1">INDIRECT($C98&amp;"!E6")</f>
        <v>0</v>
      </c>
      <c r="I98" s="294" cm="1">
        <f t="array" aca="1" ref="I98" ca="1">INDIRECT($C98&amp;"!E9")</f>
        <v>257.52762423981153</v>
      </c>
      <c r="J98" s="294" cm="1">
        <f t="array" aca="1" ref="J98" ca="1">INDIRECT($C98&amp;"!E5")</f>
        <v>257.52762423981153</v>
      </c>
      <c r="K98" s="294" cm="1">
        <f t="array" aca="1" ref="K98" ca="1">INDIRECT($C98&amp;"!E7")</f>
        <v>282.47237576018847</v>
      </c>
      <c r="L98" s="294" cm="1">
        <f t="array" aca="1" ref="L98" ca="1">INDIRECT($C98&amp;"!E8")</f>
        <v>128.76381211990577</v>
      </c>
      <c r="M98" s="70" cm="1">
        <f t="array" aca="1" ref="M98" ca="1">INDIRECT($C98&amp;"!G6")</f>
        <v>0</v>
      </c>
      <c r="N98" s="70" cm="1">
        <f t="array" aca="1" ref="N98" ca="1">INDIRECT($C98&amp;"!G9")</f>
        <v>59427.141336000001</v>
      </c>
      <c r="O98" s="70" cm="1">
        <f t="array" aca="1" ref="O98" ca="1">INDIRECT($C98&amp;"!G5")</f>
        <v>59427.141336000001</v>
      </c>
      <c r="P98" s="70" cm="1">
        <f t="array" aca="1" ref="P98" ca="1">INDIRECT($C98&amp;"!G7")</f>
        <v>65183.398663999986</v>
      </c>
      <c r="Q98" s="70" cm="1">
        <f t="array" aca="1" ref="Q98" ca="1">INDIRECT($C98&amp;"!G8")</f>
        <v>29713.570668</v>
      </c>
      <c r="R98" s="370">
        <f t="shared" ca="1" si="56"/>
        <v>0.47690300785150286</v>
      </c>
      <c r="S98" s="128">
        <f t="shared" ca="1" si="57"/>
        <v>0</v>
      </c>
    </row>
    <row r="99" spans="2:19" ht="19.899999999999999" customHeight="1" x14ac:dyDescent="0.25">
      <c r="B99" s="282" t="str">
        <f t="shared" si="55"/>
        <v>LINK</v>
      </c>
      <c r="C99" s="285" t="str">
        <f>IF(PQ!B104="","",PQ!B104)</f>
        <v>F.2.4</v>
      </c>
      <c r="D99" s="51" t="str">
        <f>IF(PQ!C104="","",PQ!C104)</f>
        <v>Rolo Compactador Pé de Carneiro Vibratório Autopropelido por Pneus de 11,6 T - 82 Kw</v>
      </c>
      <c r="E99" s="66" t="str">
        <f>IF(PQ!E104="","",PQ!E104)</f>
        <v>h</v>
      </c>
      <c r="F99" s="53">
        <f>IF(PQ!F104="","",PQ!F104)</f>
        <v>225.93851851851852</v>
      </c>
      <c r="G99" s="290">
        <f>IF(PQ!G104="","",PQ!G104)</f>
        <v>81</v>
      </c>
      <c r="H99" s="294" cm="1">
        <f t="array" aca="1" ref="H99" ca="1">INDIRECT($C99&amp;"!E6")</f>
        <v>0</v>
      </c>
      <c r="I99" s="294" cm="1">
        <f t="array" aca="1" ref="I99" ca="1">INDIRECT($C99&amp;"!E9")</f>
        <v>46.029113592455502</v>
      </c>
      <c r="J99" s="294" cm="1">
        <f t="array" aca="1" ref="J99" ca="1">INDIRECT($C99&amp;"!E5")</f>
        <v>46.029113592455502</v>
      </c>
      <c r="K99" s="294" cm="1">
        <f t="array" aca="1" ref="K99" ca="1">INDIRECT($C99&amp;"!E7")</f>
        <v>34.970886407544498</v>
      </c>
      <c r="L99" s="294" cm="1">
        <f t="array" aca="1" ref="L99" ca="1">INDIRECT($C99&amp;"!E8")</f>
        <v>13.151175312130135</v>
      </c>
      <c r="M99" s="70" cm="1">
        <f t="array" aca="1" ref="M99" ca="1">INDIRECT($C99&amp;"!G6")</f>
        <v>0</v>
      </c>
      <c r="N99" s="70" cm="1">
        <f t="array" aca="1" ref="N99" ca="1">INDIRECT($C99&amp;"!G9")</f>
        <v>10399.749733799999</v>
      </c>
      <c r="O99" s="70" cm="1">
        <f t="array" aca="1" ref="O99" ca="1">INDIRECT($C99&amp;"!G5")</f>
        <v>10399.749733799999</v>
      </c>
      <c r="P99" s="70" cm="1">
        <f t="array" aca="1" ref="P99" ca="1">INDIRECT($C99&amp;"!G7")</f>
        <v>7901.2702662000002</v>
      </c>
      <c r="Q99" s="70" cm="1">
        <f t="array" aca="1" ref="Q99" ca="1">INDIRECT($C99&amp;"!G8")</f>
        <v>2971.3570667999984</v>
      </c>
      <c r="R99" s="370">
        <f t="shared" ca="1" si="56"/>
        <v>0.56826066163525313</v>
      </c>
      <c r="S99" s="128">
        <f t="shared" ca="1" si="57"/>
        <v>0</v>
      </c>
    </row>
    <row r="100" spans="2:19" ht="19.899999999999999" customHeight="1" thickBot="1" x14ac:dyDescent="0.3">
      <c r="B100" s="326" t="str">
        <f t="shared" si="55"/>
        <v>LINK</v>
      </c>
      <c r="C100" s="327" t="str">
        <f>IF(PQ!B105="","",PQ!B105)</f>
        <v>F.2.5</v>
      </c>
      <c r="D100" s="86" t="str">
        <f>IF(PQ!C105="","",PQ!C105)</f>
        <v>Motoniveladora - 93 Kw</v>
      </c>
      <c r="E100" s="67" t="str">
        <f>IF(PQ!E105="","",PQ!E105)</f>
        <v>h</v>
      </c>
      <c r="F100" s="68">
        <f>IF(PQ!F105="","",PQ!F105)</f>
        <v>430.84222222222223</v>
      </c>
      <c r="G100" s="376">
        <f>IF(PQ!G105="","",PQ!G105)</f>
        <v>27</v>
      </c>
      <c r="H100" s="328" cm="1">
        <f t="array" aca="1" ref="H100" ca="1">INDIRECT($C100&amp;"!E6")</f>
        <v>0</v>
      </c>
      <c r="I100" s="328" cm="1">
        <f t="array" aca="1" ref="I100" ca="1">INDIRECT($C100&amp;"!E9")</f>
        <v>7.3632469047189213</v>
      </c>
      <c r="J100" s="328" cm="1">
        <f t="array" aca="1" ref="J100" ca="1">INDIRECT($C100&amp;"!E5")</f>
        <v>7.3632469047189213</v>
      </c>
      <c r="K100" s="328" cm="1">
        <f t="array" aca="1" ref="K100" ca="1">INDIRECT($C100&amp;"!E7")</f>
        <v>19.63675309528108</v>
      </c>
      <c r="L100" s="328" cm="1">
        <f t="array" aca="1" ref="L100" ca="1">INDIRECT($C100&amp;"!E8")</f>
        <v>0</v>
      </c>
      <c r="M100" s="329" cm="1">
        <f t="array" aca="1" ref="M100" ca="1">INDIRECT($C100&amp;"!G6")</f>
        <v>0</v>
      </c>
      <c r="N100" s="329" cm="1">
        <f t="array" aca="1" ref="N100" ca="1">INDIRECT($C100&amp;"!G9")</f>
        <v>3172.3976591999995</v>
      </c>
      <c r="O100" s="329" cm="1">
        <f t="array" aca="1" ref="O100" ca="1">INDIRECT($C100&amp;"!G5")</f>
        <v>3172.3976591999995</v>
      </c>
      <c r="P100" s="329" cm="1">
        <f t="array" aca="1" ref="P100" ca="1">INDIRECT($C100&amp;"!G7")</f>
        <v>8460.3423408000017</v>
      </c>
      <c r="Q100" s="329" cm="1">
        <f t="array" aca="1" ref="Q100" ca="1">INDIRECT($C100&amp;"!G8")</f>
        <v>0</v>
      </c>
      <c r="R100" s="377">
        <f t="shared" ca="1" si="56"/>
        <v>0.27271284832292303</v>
      </c>
      <c r="S100" s="330">
        <f t="shared" ca="1" si="57"/>
        <v>0</v>
      </c>
    </row>
    <row r="101" spans="2:19" ht="19.899999999999999" customHeight="1" thickTop="1" x14ac:dyDescent="0.25"/>
    <row r="102" spans="2:19" ht="19.899999999999999" customHeight="1" x14ac:dyDescent="0.25">
      <c r="G102" s="364"/>
      <c r="H102" s="365"/>
      <c r="I102" s="362"/>
      <c r="M102" s="363"/>
      <c r="N102" s="363"/>
      <c r="O102" s="363"/>
      <c r="P102" s="363"/>
    </row>
    <row r="103" spans="2:19" ht="19.899999999999999" customHeight="1" x14ac:dyDescent="0.25">
      <c r="G103" s="364"/>
      <c r="H103" s="365"/>
      <c r="I103" s="362"/>
      <c r="M103" s="363"/>
    </row>
    <row r="104" spans="2:19" ht="19.899999999999999" customHeight="1" x14ac:dyDescent="0.25">
      <c r="G104" s="364"/>
      <c r="H104" s="365"/>
      <c r="I104" s="362"/>
      <c r="M104" s="363"/>
    </row>
    <row r="105" spans="2:19" ht="19.899999999999999" customHeight="1" x14ac:dyDescent="0.25">
      <c r="G105" s="364"/>
      <c r="H105" s="365"/>
      <c r="I105" s="362"/>
      <c r="M105" s="363"/>
    </row>
    <row r="106" spans="2:19" ht="19.899999999999999" customHeight="1" x14ac:dyDescent="0.25">
      <c r="G106" s="364"/>
      <c r="H106" s="365"/>
    </row>
  </sheetData>
  <mergeCells count="17">
    <mergeCell ref="F4:F5"/>
    <mergeCell ref="G4:L4"/>
    <mergeCell ref="M4:Q4"/>
    <mergeCell ref="C1:F2"/>
    <mergeCell ref="B4:B5"/>
    <mergeCell ref="G1:M2"/>
    <mergeCell ref="C4:C5"/>
    <mergeCell ref="D4:D5"/>
    <mergeCell ref="E4:E5"/>
    <mergeCell ref="S4:S5"/>
    <mergeCell ref="R1:S1"/>
    <mergeCell ref="R2:S2"/>
    <mergeCell ref="N1:O1"/>
    <mergeCell ref="N2:O2"/>
    <mergeCell ref="P1:Q1"/>
    <mergeCell ref="P2:Q2"/>
    <mergeCell ref="R4:R5"/>
  </mergeCells>
  <phoneticPr fontId="16" type="noConversion"/>
  <conditionalFormatting sqref="K7:K100">
    <cfRule type="cellIs" dxfId="122" priority="1" operator="lessThan">
      <formula>0</formula>
    </cfRule>
  </conditionalFormatting>
  <conditionalFormatting sqref="R8:R100">
    <cfRule type="cellIs" dxfId="121" priority="4" operator="greaterThan">
      <formula>0.95</formula>
    </cfRule>
    <cfRule type="cellIs" dxfId="120" priority="5" operator="between">
      <formula>0.9</formula>
      <formula>0.95</formula>
    </cfRule>
  </conditionalFormatting>
  <printOptions horizontalCentered="1"/>
  <pageMargins left="0.39370078740157483" right="0.39370078740157483" top="0.39370078740157483" bottom="0.39370078740157483" header="0.39370078740157483" footer="0.39370078740157483"/>
  <pageSetup paperSize="9" scale="3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0C27-D9C5-4512-AB86-AA318BA31DD8}">
  <dimension ref="A1:AO107"/>
  <sheetViews>
    <sheetView workbookViewId="0">
      <selection sqref="A1:AO1"/>
    </sheetView>
  </sheetViews>
  <sheetFormatPr defaultColWidth="10.7109375" defaultRowHeight="15" customHeight="1" x14ac:dyDescent="0.25"/>
  <cols>
    <col min="1" max="1" width="10.7109375" style="3"/>
    <col min="2" max="2" width="40.7109375" style="4" customWidth="1"/>
    <col min="3" max="3" width="15.7109375" style="246" customWidth="1"/>
    <col min="4" max="4" width="7.7109375" style="3" customWidth="1"/>
    <col min="5" max="5" width="15.7109375" style="246" customWidth="1"/>
    <col min="6" max="6" width="7.7109375" style="3" customWidth="1"/>
    <col min="7" max="7" width="15.7109375" style="246" customWidth="1"/>
    <col min="8" max="8" width="7.7109375" style="3" customWidth="1"/>
    <col min="9" max="9" width="15.7109375" style="246" customWidth="1"/>
    <col min="10" max="10" width="7.7109375" style="3" customWidth="1"/>
    <col min="11" max="11" width="15.7109375" style="246" customWidth="1"/>
    <col min="12" max="12" width="7.7109375" style="3" customWidth="1"/>
    <col min="13" max="13" width="15.7109375" style="246" customWidth="1"/>
    <col min="14" max="14" width="7.7109375" style="3" customWidth="1"/>
    <col min="15" max="15" width="15.7109375" style="246" customWidth="1"/>
    <col min="16" max="16" width="7.7109375" style="3" customWidth="1"/>
    <col min="17" max="17" width="15.7109375" style="246" customWidth="1"/>
    <col min="18" max="18" width="7.7109375" style="3" customWidth="1"/>
    <col min="19" max="19" width="15.7109375" style="246" customWidth="1"/>
    <col min="20" max="20" width="7.7109375" style="3" customWidth="1"/>
    <col min="21" max="21" width="15.7109375" style="246" customWidth="1"/>
    <col min="22" max="22" width="7.7109375" style="3" customWidth="1"/>
    <col min="23" max="23" width="15.7109375" style="246" customWidth="1"/>
    <col min="24" max="24" width="7.7109375" style="3" customWidth="1"/>
    <col min="25" max="25" width="15.7109375" style="246" customWidth="1"/>
    <col min="26" max="26" width="7.7109375" style="3" customWidth="1"/>
    <col min="27" max="27" width="15.7109375" style="246" customWidth="1"/>
    <col min="28" max="28" width="7.7109375" style="3" customWidth="1"/>
    <col min="29" max="29" width="15.7109375" style="246" customWidth="1"/>
    <col min="30" max="30" width="7.7109375" style="3" customWidth="1"/>
    <col min="31" max="31" width="15.7109375" style="246" customWidth="1"/>
    <col min="32" max="32" width="7.7109375" style="3" customWidth="1"/>
    <col min="33" max="33" width="15.7109375" style="246" customWidth="1"/>
    <col min="34" max="34" width="7.7109375" style="3" customWidth="1"/>
    <col min="35" max="35" width="15.7109375" style="246" customWidth="1"/>
    <col min="36" max="36" width="7.7109375" style="3" customWidth="1"/>
    <col min="37" max="37" width="15.7109375" style="246" customWidth="1"/>
    <col min="38" max="38" width="7.7109375" style="3" customWidth="1"/>
    <col min="39" max="39" width="15.7109375" style="246" customWidth="1"/>
    <col min="40" max="40" width="7.7109375" style="247" customWidth="1"/>
    <col min="41" max="41" width="15.7109375" style="246" customWidth="1"/>
    <col min="42" max="16384" width="10.7109375" style="4"/>
  </cols>
  <sheetData>
    <row r="1" spans="1:41" ht="15" customHeight="1" thickBot="1" x14ac:dyDescent="0.3">
      <c r="A1" s="583" t="s">
        <v>268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  <c r="AA1" s="584"/>
      <c r="AB1" s="584"/>
      <c r="AC1" s="584"/>
      <c r="AD1" s="584"/>
      <c r="AE1" s="584"/>
      <c r="AF1" s="584"/>
      <c r="AG1" s="584"/>
      <c r="AH1" s="584"/>
      <c r="AI1" s="584"/>
      <c r="AJ1" s="584"/>
      <c r="AK1" s="584"/>
      <c r="AL1" s="584"/>
      <c r="AM1" s="584"/>
      <c r="AN1" s="584"/>
      <c r="AO1" s="585"/>
    </row>
    <row r="2" spans="1:41" ht="15" customHeight="1" x14ac:dyDescent="0.25">
      <c r="A2" s="586" t="s">
        <v>269</v>
      </c>
      <c r="B2" s="589" t="s">
        <v>47</v>
      </c>
      <c r="C2" s="592" t="s">
        <v>391</v>
      </c>
      <c r="D2" s="579" t="s">
        <v>270</v>
      </c>
      <c r="E2" s="580"/>
      <c r="F2" s="579" t="s">
        <v>271</v>
      </c>
      <c r="G2" s="580"/>
      <c r="H2" s="579" t="s">
        <v>272</v>
      </c>
      <c r="I2" s="580"/>
      <c r="J2" s="579" t="s">
        <v>273</v>
      </c>
      <c r="K2" s="580"/>
      <c r="L2" s="579" t="s">
        <v>274</v>
      </c>
      <c r="M2" s="580"/>
      <c r="N2" s="579" t="s">
        <v>275</v>
      </c>
      <c r="O2" s="580"/>
      <c r="P2" s="579" t="s">
        <v>276</v>
      </c>
      <c r="Q2" s="580"/>
      <c r="R2" s="579" t="s">
        <v>277</v>
      </c>
      <c r="S2" s="580"/>
      <c r="T2" s="579" t="s">
        <v>278</v>
      </c>
      <c r="U2" s="580"/>
      <c r="V2" s="579" t="s">
        <v>279</v>
      </c>
      <c r="W2" s="580"/>
      <c r="X2" s="579" t="s">
        <v>280</v>
      </c>
      <c r="Y2" s="580"/>
      <c r="Z2" s="579" t="s">
        <v>281</v>
      </c>
      <c r="AA2" s="580"/>
      <c r="AB2" s="579" t="s">
        <v>282</v>
      </c>
      <c r="AC2" s="580"/>
      <c r="AD2" s="579" t="s">
        <v>283</v>
      </c>
      <c r="AE2" s="580"/>
      <c r="AF2" s="579" t="s">
        <v>284</v>
      </c>
      <c r="AG2" s="580"/>
      <c r="AH2" s="579" t="s">
        <v>285</v>
      </c>
      <c r="AI2" s="580"/>
      <c r="AJ2" s="579" t="s">
        <v>286</v>
      </c>
      <c r="AK2" s="580"/>
      <c r="AL2" s="579" t="s">
        <v>287</v>
      </c>
      <c r="AM2" s="580"/>
      <c r="AN2" s="594" t="s">
        <v>23</v>
      </c>
      <c r="AO2" s="595"/>
    </row>
    <row r="3" spans="1:41" ht="15" customHeight="1" x14ac:dyDescent="0.25">
      <c r="A3" s="587"/>
      <c r="B3" s="590"/>
      <c r="C3" s="593"/>
      <c r="D3" s="581"/>
      <c r="E3" s="582"/>
      <c r="F3" s="581"/>
      <c r="G3" s="582"/>
      <c r="H3" s="581"/>
      <c r="I3" s="582"/>
      <c r="J3" s="581"/>
      <c r="K3" s="582"/>
      <c r="L3" s="581"/>
      <c r="M3" s="582"/>
      <c r="N3" s="581"/>
      <c r="O3" s="582"/>
      <c r="P3" s="581"/>
      <c r="Q3" s="582"/>
      <c r="R3" s="581"/>
      <c r="S3" s="582"/>
      <c r="T3" s="581"/>
      <c r="U3" s="582"/>
      <c r="V3" s="581"/>
      <c r="W3" s="582"/>
      <c r="X3" s="581"/>
      <c r="Y3" s="582"/>
      <c r="Z3" s="581"/>
      <c r="AA3" s="582"/>
      <c r="AB3" s="581"/>
      <c r="AC3" s="582"/>
      <c r="AD3" s="581"/>
      <c r="AE3" s="582"/>
      <c r="AF3" s="581"/>
      <c r="AG3" s="582"/>
      <c r="AH3" s="581"/>
      <c r="AI3" s="582"/>
      <c r="AJ3" s="581"/>
      <c r="AK3" s="582"/>
      <c r="AL3" s="581"/>
      <c r="AM3" s="582"/>
      <c r="AN3" s="596"/>
      <c r="AO3" s="597"/>
    </row>
    <row r="4" spans="1:41" ht="15" customHeight="1" thickBot="1" x14ac:dyDescent="0.3">
      <c r="A4" s="588"/>
      <c r="B4" s="591"/>
      <c r="C4" s="241" t="s">
        <v>392</v>
      </c>
      <c r="D4" s="242" t="s">
        <v>58</v>
      </c>
      <c r="E4" s="243" t="s">
        <v>288</v>
      </c>
      <c r="F4" s="242" t="s">
        <v>58</v>
      </c>
      <c r="G4" s="243" t="s">
        <v>288</v>
      </c>
      <c r="H4" s="242" t="s">
        <v>58</v>
      </c>
      <c r="I4" s="243" t="s">
        <v>288</v>
      </c>
      <c r="J4" s="242" t="s">
        <v>58</v>
      </c>
      <c r="K4" s="243" t="s">
        <v>288</v>
      </c>
      <c r="L4" s="242" t="s">
        <v>58</v>
      </c>
      <c r="M4" s="243" t="s">
        <v>288</v>
      </c>
      <c r="N4" s="242" t="s">
        <v>58</v>
      </c>
      <c r="O4" s="243" t="s">
        <v>288</v>
      </c>
      <c r="P4" s="242" t="s">
        <v>58</v>
      </c>
      <c r="Q4" s="243" t="s">
        <v>288</v>
      </c>
      <c r="R4" s="242" t="s">
        <v>58</v>
      </c>
      <c r="S4" s="243" t="s">
        <v>288</v>
      </c>
      <c r="T4" s="242" t="s">
        <v>58</v>
      </c>
      <c r="U4" s="243" t="s">
        <v>288</v>
      </c>
      <c r="V4" s="242" t="s">
        <v>58</v>
      </c>
      <c r="W4" s="243" t="s">
        <v>288</v>
      </c>
      <c r="X4" s="242" t="s">
        <v>58</v>
      </c>
      <c r="Y4" s="243" t="s">
        <v>288</v>
      </c>
      <c r="Z4" s="242" t="s">
        <v>58</v>
      </c>
      <c r="AA4" s="243" t="s">
        <v>288</v>
      </c>
      <c r="AB4" s="242" t="s">
        <v>58</v>
      </c>
      <c r="AC4" s="243" t="s">
        <v>288</v>
      </c>
      <c r="AD4" s="242" t="s">
        <v>58</v>
      </c>
      <c r="AE4" s="243" t="s">
        <v>288</v>
      </c>
      <c r="AF4" s="242" t="s">
        <v>58</v>
      </c>
      <c r="AG4" s="243" t="s">
        <v>288</v>
      </c>
      <c r="AH4" s="242" t="s">
        <v>58</v>
      </c>
      <c r="AI4" s="243" t="s">
        <v>288</v>
      </c>
      <c r="AJ4" s="242" t="s">
        <v>58</v>
      </c>
      <c r="AK4" s="243" t="s">
        <v>288</v>
      </c>
      <c r="AL4" s="242" t="s">
        <v>58</v>
      </c>
      <c r="AM4" s="243" t="s">
        <v>288</v>
      </c>
      <c r="AN4" s="244" t="s">
        <v>58</v>
      </c>
      <c r="AO4" s="245" t="s">
        <v>288</v>
      </c>
    </row>
    <row r="5" spans="1:41" ht="15" customHeight="1" thickBot="1" x14ac:dyDescent="0.3">
      <c r="B5" s="3"/>
    </row>
    <row r="6" spans="1:41" s="91" customFormat="1" ht="15" customHeight="1" thickTop="1" x14ac:dyDescent="0.25">
      <c r="A6" s="170" t="str">
        <f>PQ!B13</f>
        <v>A.</v>
      </c>
      <c r="B6" s="194" t="str">
        <f>PQ!C13</f>
        <v>Custos Indiretos</v>
      </c>
      <c r="C6" s="332">
        <f ca="1">RESUMO!N8</f>
        <v>0</v>
      </c>
      <c r="D6" s="348"/>
      <c r="E6" s="332">
        <f ca="1">SUBTOTAL(9,E7:E9)</f>
        <v>0</v>
      </c>
      <c r="F6" s="348"/>
      <c r="G6" s="332">
        <f ca="1">SUBTOTAL(9,G7:G9)</f>
        <v>0</v>
      </c>
      <c r="H6" s="348"/>
      <c r="I6" s="332">
        <f ca="1">SUBTOTAL(9,I7:I9)</f>
        <v>0</v>
      </c>
      <c r="J6" s="348"/>
      <c r="K6" s="332">
        <f ca="1">SUBTOTAL(9,K7:K9)</f>
        <v>0</v>
      </c>
      <c r="L6" s="348"/>
      <c r="M6" s="332">
        <f ca="1">SUBTOTAL(9,M7:M9)</f>
        <v>0</v>
      </c>
      <c r="N6" s="348"/>
      <c r="O6" s="332">
        <f ca="1">SUBTOTAL(9,O7:O9)</f>
        <v>0</v>
      </c>
      <c r="P6" s="348"/>
      <c r="Q6" s="332">
        <f ca="1">SUBTOTAL(9,Q7:Q9)</f>
        <v>0</v>
      </c>
      <c r="R6" s="348"/>
      <c r="S6" s="332">
        <f ca="1">SUBTOTAL(9,S7:S9)</f>
        <v>0</v>
      </c>
      <c r="T6" s="348"/>
      <c r="U6" s="332">
        <f ca="1">SUBTOTAL(9,U7:U9)</f>
        <v>0</v>
      </c>
      <c r="V6" s="348"/>
      <c r="W6" s="332">
        <f ca="1">SUBTOTAL(9,W7:W9)</f>
        <v>0</v>
      </c>
      <c r="X6" s="348"/>
      <c r="Y6" s="332">
        <f ca="1">SUBTOTAL(9,Y7:Y9)</f>
        <v>0</v>
      </c>
      <c r="Z6" s="348"/>
      <c r="AA6" s="332">
        <f ca="1">SUBTOTAL(9,AA7:AA9)</f>
        <v>0</v>
      </c>
      <c r="AB6" s="348"/>
      <c r="AC6" s="332">
        <f ca="1">SUBTOTAL(9,AC7:AC9)</f>
        <v>0</v>
      </c>
      <c r="AD6" s="348"/>
      <c r="AE6" s="332">
        <f ca="1">SUBTOTAL(9,AE7:AE9)</f>
        <v>0</v>
      </c>
      <c r="AF6" s="348"/>
      <c r="AG6" s="332">
        <f ca="1">SUBTOTAL(9,AG7:AG9)</f>
        <v>0</v>
      </c>
      <c r="AH6" s="348"/>
      <c r="AI6" s="332">
        <f ca="1">SUBTOTAL(9,AI7:AI9)</f>
        <v>0</v>
      </c>
      <c r="AJ6" s="348"/>
      <c r="AK6" s="332">
        <f ca="1">SUBTOTAL(9,AK7:AK9)</f>
        <v>0</v>
      </c>
      <c r="AL6" s="348"/>
      <c r="AM6" s="332">
        <f ca="1">SUBTOTAL(9,AM7:AM9)</f>
        <v>0</v>
      </c>
      <c r="AN6" s="348"/>
      <c r="AO6" s="332">
        <f ca="1">SUBTOTAL(9,AO7:AO9)</f>
        <v>0</v>
      </c>
    </row>
    <row r="7" spans="1:41" s="91" customFormat="1" ht="15" customHeight="1" x14ac:dyDescent="0.25">
      <c r="A7" s="156" t="str">
        <f>PQ!B14</f>
        <v>A.1</v>
      </c>
      <c r="B7" s="195" t="str">
        <f>PQ!C14</f>
        <v>Mobilização e desmobilização</v>
      </c>
      <c r="C7" s="333">
        <f ca="1">RESUMO!N9</f>
        <v>0</v>
      </c>
      <c r="D7" s="349"/>
      <c r="E7" s="333">
        <f ca="1">$C7*D7</f>
        <v>0</v>
      </c>
      <c r="F7" s="349"/>
      <c r="G7" s="333">
        <f ca="1">$C7*F7</f>
        <v>0</v>
      </c>
      <c r="H7" s="349"/>
      <c r="I7" s="333">
        <f ca="1">$C7*H7</f>
        <v>0</v>
      </c>
      <c r="J7" s="349"/>
      <c r="K7" s="333">
        <f ca="1">$C7*J7</f>
        <v>0</v>
      </c>
      <c r="L7" s="349"/>
      <c r="M7" s="333">
        <f ca="1">$C7*L7</f>
        <v>0</v>
      </c>
      <c r="N7" s="349"/>
      <c r="O7" s="333">
        <f ca="1">$C7*N7</f>
        <v>0</v>
      </c>
      <c r="P7" s="349"/>
      <c r="Q7" s="333">
        <f ca="1">$C7*P7</f>
        <v>0</v>
      </c>
      <c r="R7" s="349"/>
      <c r="S7" s="333">
        <f ca="1">$C7*R7</f>
        <v>0</v>
      </c>
      <c r="T7" s="349"/>
      <c r="U7" s="333">
        <f ca="1">$C7*T7</f>
        <v>0</v>
      </c>
      <c r="V7" s="349"/>
      <c r="W7" s="333">
        <f ca="1">$C7*V7</f>
        <v>0</v>
      </c>
      <c r="X7" s="349"/>
      <c r="Y7" s="333">
        <f ca="1">$C7*X7</f>
        <v>0</v>
      </c>
      <c r="Z7" s="349"/>
      <c r="AA7" s="333">
        <f ca="1">$C7*Z7</f>
        <v>0</v>
      </c>
      <c r="AB7" s="349"/>
      <c r="AC7" s="333">
        <f ca="1">$C7*AB7</f>
        <v>0</v>
      </c>
      <c r="AD7" s="349"/>
      <c r="AE7" s="333">
        <f ca="1">$C7*AD7</f>
        <v>0</v>
      </c>
      <c r="AF7" s="349"/>
      <c r="AG7" s="333">
        <f ca="1">$C7*AF7</f>
        <v>0</v>
      </c>
      <c r="AH7" s="349"/>
      <c r="AI7" s="333">
        <f ca="1">$C7*AH7</f>
        <v>0</v>
      </c>
      <c r="AJ7" s="349"/>
      <c r="AK7" s="333">
        <f ca="1">$C7*AJ7</f>
        <v>0</v>
      </c>
      <c r="AL7" s="349"/>
      <c r="AM7" s="333">
        <f ca="1">$C7*AL7</f>
        <v>0</v>
      </c>
      <c r="AN7" s="349">
        <f>SUM(D7,F7,H7,J7,L7,N7,P7,R7,T7,V7,X7,Z7,AB7,AD7,AF7,AH7,AJ7,AL7)</f>
        <v>0</v>
      </c>
      <c r="AO7" s="333">
        <f ca="1">$C7*AN7</f>
        <v>0</v>
      </c>
    </row>
    <row r="8" spans="1:41" ht="15" customHeight="1" x14ac:dyDescent="0.25">
      <c r="A8" s="156" t="str">
        <f>PQ!B15</f>
        <v>A.2</v>
      </c>
      <c r="B8" s="196" t="str">
        <f>PQ!C15</f>
        <v>Sinalização e desvio de tráfego</v>
      </c>
      <c r="C8" s="334">
        <f ca="1">RESUMO!N10</f>
        <v>0</v>
      </c>
      <c r="D8" s="350"/>
      <c r="E8" s="334">
        <f ca="1">$C8*D8</f>
        <v>0</v>
      </c>
      <c r="F8" s="350"/>
      <c r="G8" s="334">
        <f ca="1">$C8*F8</f>
        <v>0</v>
      </c>
      <c r="H8" s="350"/>
      <c r="I8" s="334">
        <f ca="1">$C8*H8</f>
        <v>0</v>
      </c>
      <c r="J8" s="350"/>
      <c r="K8" s="334">
        <f ca="1">$C8*J8</f>
        <v>0</v>
      </c>
      <c r="L8" s="350"/>
      <c r="M8" s="334">
        <f ca="1">$C8*L8</f>
        <v>0</v>
      </c>
      <c r="N8" s="350"/>
      <c r="O8" s="334">
        <f ca="1">$C8*N8</f>
        <v>0</v>
      </c>
      <c r="P8" s="350"/>
      <c r="Q8" s="334">
        <f ca="1">$C8*P8</f>
        <v>0</v>
      </c>
      <c r="R8" s="350"/>
      <c r="S8" s="334">
        <f ca="1">$C8*R8</f>
        <v>0</v>
      </c>
      <c r="T8" s="350"/>
      <c r="U8" s="334">
        <f ca="1">$C8*T8</f>
        <v>0</v>
      </c>
      <c r="V8" s="350"/>
      <c r="W8" s="334">
        <f ca="1">$C8*V8</f>
        <v>0</v>
      </c>
      <c r="X8" s="350"/>
      <c r="Y8" s="334">
        <f ca="1">$C8*X8</f>
        <v>0</v>
      </c>
      <c r="Z8" s="350"/>
      <c r="AA8" s="334">
        <f ca="1">$C8*Z8</f>
        <v>0</v>
      </c>
      <c r="AB8" s="350"/>
      <c r="AC8" s="334">
        <f ca="1">$C8*AB8</f>
        <v>0</v>
      </c>
      <c r="AD8" s="350"/>
      <c r="AE8" s="334">
        <f ca="1">$C8*AD8</f>
        <v>0</v>
      </c>
      <c r="AF8" s="350"/>
      <c r="AG8" s="334">
        <f ca="1">$C8*AF8</f>
        <v>0</v>
      </c>
      <c r="AH8" s="350"/>
      <c r="AI8" s="334">
        <f ca="1">$C8*AH8</f>
        <v>0</v>
      </c>
      <c r="AJ8" s="350"/>
      <c r="AK8" s="334">
        <f ca="1">$C8*AJ8</f>
        <v>0</v>
      </c>
      <c r="AL8" s="350"/>
      <c r="AM8" s="334">
        <f ca="1">$C8*AL8</f>
        <v>0</v>
      </c>
      <c r="AN8" s="350">
        <f>SUM(D8,F8,H8,J8,L8,N8,P8,R8,T8,V8,X8,Z8,AB8,AD8,AF8,AH8,AJ8,AL8)</f>
        <v>0</v>
      </c>
      <c r="AO8" s="334">
        <f ca="1">$C8*AN8</f>
        <v>0</v>
      </c>
    </row>
    <row r="9" spans="1:41" ht="15" customHeight="1" x14ac:dyDescent="0.25">
      <c r="A9" s="156" t="str">
        <f>PQ!B16</f>
        <v>A.3</v>
      </c>
      <c r="B9" s="197" t="str">
        <f>PQ!C16</f>
        <v>Administração local</v>
      </c>
      <c r="C9" s="335">
        <f ca="1">RESUMO!N11</f>
        <v>0</v>
      </c>
      <c r="D9" s="351"/>
      <c r="E9" s="335">
        <f ca="1">$C9*D9</f>
        <v>0</v>
      </c>
      <c r="F9" s="351"/>
      <c r="G9" s="335">
        <f ca="1">$C9*F9</f>
        <v>0</v>
      </c>
      <c r="H9" s="351"/>
      <c r="I9" s="335">
        <f ca="1">$C9*H9</f>
        <v>0</v>
      </c>
      <c r="J9" s="351"/>
      <c r="K9" s="335">
        <f ca="1">$C9*J9</f>
        <v>0</v>
      </c>
      <c r="L9" s="351"/>
      <c r="M9" s="335">
        <f ca="1">$C9*L9</f>
        <v>0</v>
      </c>
      <c r="N9" s="351"/>
      <c r="O9" s="335">
        <f ca="1">$C9*N9</f>
        <v>0</v>
      </c>
      <c r="P9" s="351"/>
      <c r="Q9" s="335">
        <f ca="1">$C9*P9</f>
        <v>0</v>
      </c>
      <c r="R9" s="351"/>
      <c r="S9" s="335">
        <f ca="1">$C9*R9</f>
        <v>0</v>
      </c>
      <c r="T9" s="351"/>
      <c r="U9" s="335">
        <f ca="1">$C9*T9</f>
        <v>0</v>
      </c>
      <c r="V9" s="351"/>
      <c r="W9" s="335">
        <f ca="1">$C9*V9</f>
        <v>0</v>
      </c>
      <c r="X9" s="351"/>
      <c r="Y9" s="335">
        <f ca="1">$C9*X9</f>
        <v>0</v>
      </c>
      <c r="Z9" s="351"/>
      <c r="AA9" s="335">
        <f ca="1">$C9*Z9</f>
        <v>0</v>
      </c>
      <c r="AB9" s="351"/>
      <c r="AC9" s="335">
        <f ca="1">$C9*AB9</f>
        <v>0</v>
      </c>
      <c r="AD9" s="351"/>
      <c r="AE9" s="335">
        <f ca="1">$C9*AD9</f>
        <v>0</v>
      </c>
      <c r="AF9" s="351"/>
      <c r="AG9" s="335">
        <f ca="1">$C9*AF9</f>
        <v>0</v>
      </c>
      <c r="AH9" s="351"/>
      <c r="AI9" s="335">
        <f ca="1">$C9*AH9</f>
        <v>0</v>
      </c>
      <c r="AJ9" s="351"/>
      <c r="AK9" s="335">
        <f ca="1">$C9*AJ9</f>
        <v>0</v>
      </c>
      <c r="AL9" s="351"/>
      <c r="AM9" s="335">
        <f ca="1">$C9*AL9</f>
        <v>0</v>
      </c>
      <c r="AN9" s="351">
        <f>SUM(D9,F9,H9,J9,L9,N9,P9,R9,T9,V9,X9,Z9,AB9,AD9,AF9,AH9,AJ9,AL9)</f>
        <v>0</v>
      </c>
      <c r="AO9" s="335">
        <f ca="1">$C9*AN9</f>
        <v>0</v>
      </c>
    </row>
    <row r="10" spans="1:41" s="344" customFormat="1" ht="15" customHeight="1" x14ac:dyDescent="0.25">
      <c r="A10" s="58" t="str">
        <f>PQ!B17</f>
        <v>B.</v>
      </c>
      <c r="B10" s="198" t="str">
        <f>PQ!C17</f>
        <v>Estabilização de Talude</v>
      </c>
      <c r="C10" s="336">
        <f ca="1">RESUMO!N12</f>
        <v>1870605.7726725701</v>
      </c>
      <c r="D10" s="352"/>
      <c r="E10" s="336">
        <f ca="1">SUBTOTAL(9,E11:E33)</f>
        <v>0</v>
      </c>
      <c r="F10" s="352"/>
      <c r="G10" s="336">
        <f ca="1">SUBTOTAL(9,G11:G33)</f>
        <v>0</v>
      </c>
      <c r="H10" s="352"/>
      <c r="I10" s="336">
        <f ca="1">SUBTOTAL(9,I11:I33)</f>
        <v>0</v>
      </c>
      <c r="J10" s="352"/>
      <c r="K10" s="336">
        <f ca="1">SUBTOTAL(9,K11:K33)</f>
        <v>0</v>
      </c>
      <c r="L10" s="352"/>
      <c r="M10" s="336">
        <f ca="1">SUBTOTAL(9,M11:M33)</f>
        <v>0</v>
      </c>
      <c r="N10" s="352"/>
      <c r="O10" s="336">
        <f ca="1">SUBTOTAL(9,O11:O33)</f>
        <v>0</v>
      </c>
      <c r="P10" s="352"/>
      <c r="Q10" s="336">
        <f ca="1">SUBTOTAL(9,Q11:Q33)</f>
        <v>0</v>
      </c>
      <c r="R10" s="352"/>
      <c r="S10" s="336">
        <f ca="1">SUBTOTAL(9,S11:S33)</f>
        <v>0</v>
      </c>
      <c r="T10" s="352"/>
      <c r="U10" s="336">
        <f ca="1">SUBTOTAL(9,U11:U33)</f>
        <v>0</v>
      </c>
      <c r="V10" s="352"/>
      <c r="W10" s="336">
        <f ca="1">SUBTOTAL(9,W11:W33)</f>
        <v>1870605.7726725701</v>
      </c>
      <c r="X10" s="352"/>
      <c r="Y10" s="336">
        <f ca="1">SUBTOTAL(9,Y11:Y33)</f>
        <v>0</v>
      </c>
      <c r="Z10" s="352"/>
      <c r="AA10" s="336">
        <f ca="1">SUBTOTAL(9,AA11:AA33)</f>
        <v>0</v>
      </c>
      <c r="AB10" s="352"/>
      <c r="AC10" s="336">
        <f ca="1">SUBTOTAL(9,AC11:AC33)</f>
        <v>0</v>
      </c>
      <c r="AD10" s="352"/>
      <c r="AE10" s="336">
        <f ca="1">SUBTOTAL(9,AE11:AE33)</f>
        <v>0</v>
      </c>
      <c r="AF10" s="352"/>
      <c r="AG10" s="336">
        <f ca="1">SUBTOTAL(9,AG11:AG33)</f>
        <v>0</v>
      </c>
      <c r="AH10" s="352"/>
      <c r="AI10" s="336">
        <f ca="1">SUBTOTAL(9,AI11:AI33)</f>
        <v>0</v>
      </c>
      <c r="AJ10" s="352"/>
      <c r="AK10" s="336">
        <f ca="1">SUBTOTAL(9,AK11:AK33)</f>
        <v>0</v>
      </c>
      <c r="AL10" s="352"/>
      <c r="AM10" s="336">
        <f ca="1">SUBTOTAL(9,AM11:AM33)</f>
        <v>0</v>
      </c>
      <c r="AN10" s="352"/>
      <c r="AO10" s="336">
        <f ca="1">SUBTOTAL(9,AO11:AO33)</f>
        <v>1870605.7726725701</v>
      </c>
    </row>
    <row r="11" spans="1:41" s="345" customFormat="1" ht="15" customHeight="1" x14ac:dyDescent="0.25">
      <c r="A11" s="62" t="str">
        <f>PQ!B18</f>
        <v>B.1</v>
      </c>
      <c r="B11" s="199" t="str">
        <f>PQ!C18</f>
        <v>Terraplenagem</v>
      </c>
      <c r="C11" s="337">
        <f ca="1">RESUMO!N13</f>
        <v>877293.30895031011</v>
      </c>
      <c r="D11" s="353"/>
      <c r="E11" s="337">
        <f ca="1">SUBTOTAL(9,E12:E20)</f>
        <v>0</v>
      </c>
      <c r="F11" s="353"/>
      <c r="G11" s="337">
        <f ca="1">SUBTOTAL(9,G12:G20)</f>
        <v>0</v>
      </c>
      <c r="H11" s="353"/>
      <c r="I11" s="337">
        <f ca="1">SUBTOTAL(9,I12:I20)</f>
        <v>0</v>
      </c>
      <c r="J11" s="353"/>
      <c r="K11" s="337">
        <f ca="1">SUBTOTAL(9,K12:K20)</f>
        <v>0</v>
      </c>
      <c r="L11" s="353"/>
      <c r="M11" s="337">
        <f ca="1">SUBTOTAL(9,M12:M20)</f>
        <v>0</v>
      </c>
      <c r="N11" s="353"/>
      <c r="O11" s="337">
        <f ca="1">SUBTOTAL(9,O12:O20)</f>
        <v>0</v>
      </c>
      <c r="P11" s="353"/>
      <c r="Q11" s="337">
        <f ca="1">SUBTOTAL(9,Q12:Q20)</f>
        <v>0</v>
      </c>
      <c r="R11" s="353"/>
      <c r="S11" s="337">
        <f ca="1">SUBTOTAL(9,S12:S20)</f>
        <v>0</v>
      </c>
      <c r="T11" s="353"/>
      <c r="U11" s="337">
        <f ca="1">SUBTOTAL(9,U12:U20)</f>
        <v>0</v>
      </c>
      <c r="V11" s="353"/>
      <c r="W11" s="337">
        <f ca="1">SUBTOTAL(9,W12:W20)</f>
        <v>877293.30895031011</v>
      </c>
      <c r="X11" s="353"/>
      <c r="Y11" s="337">
        <f ca="1">SUBTOTAL(9,Y12:Y20)</f>
        <v>0</v>
      </c>
      <c r="Z11" s="353"/>
      <c r="AA11" s="337">
        <f ca="1">SUBTOTAL(9,AA12:AA20)</f>
        <v>0</v>
      </c>
      <c r="AB11" s="353"/>
      <c r="AC11" s="337">
        <f ca="1">SUBTOTAL(9,AC12:AC20)</f>
        <v>0</v>
      </c>
      <c r="AD11" s="353"/>
      <c r="AE11" s="337">
        <f ca="1">SUBTOTAL(9,AE12:AE20)</f>
        <v>0</v>
      </c>
      <c r="AF11" s="353"/>
      <c r="AG11" s="337">
        <f ca="1">SUBTOTAL(9,AG12:AG20)</f>
        <v>0</v>
      </c>
      <c r="AH11" s="353"/>
      <c r="AI11" s="337">
        <f ca="1">SUBTOTAL(9,AI12:AI20)</f>
        <v>0</v>
      </c>
      <c r="AJ11" s="353"/>
      <c r="AK11" s="337">
        <f ca="1">SUBTOTAL(9,AK12:AK20)</f>
        <v>0</v>
      </c>
      <c r="AL11" s="353"/>
      <c r="AM11" s="337">
        <f ca="1">SUBTOTAL(9,AM12:AM20)</f>
        <v>0</v>
      </c>
      <c r="AN11" s="353"/>
      <c r="AO11" s="337">
        <f ca="1">SUBTOTAL(9,AO12:AO20)</f>
        <v>877293.30895031011</v>
      </c>
    </row>
    <row r="12" spans="1:41" s="91" customFormat="1" ht="15" customHeight="1" x14ac:dyDescent="0.25">
      <c r="A12" s="156" t="str">
        <f>PQ!B19</f>
        <v>B.1.1</v>
      </c>
      <c r="B12" s="195" t="str">
        <f>PQ!C19</f>
        <v>Escavação, carga e transporte de material de 1ª categoria - DMT de 800 a 1.000 m - caminho de serviço pavimentado - com escavadeira e caminhão basculante de 14 m³</v>
      </c>
      <c r="C12" s="333">
        <f ca="1">RESUMO!N14</f>
        <v>0</v>
      </c>
      <c r="D12" s="349"/>
      <c r="E12" s="333">
        <f t="shared" ref="E12:E20" ca="1" si="0">$C12*D12</f>
        <v>0</v>
      </c>
      <c r="F12" s="349"/>
      <c r="G12" s="333">
        <f t="shared" ref="G12:G20" ca="1" si="1">$C12*F12</f>
        <v>0</v>
      </c>
      <c r="H12" s="349"/>
      <c r="I12" s="333">
        <f t="shared" ref="I12:I20" ca="1" si="2">$C12*H12</f>
        <v>0</v>
      </c>
      <c r="J12" s="349"/>
      <c r="K12" s="333">
        <f t="shared" ref="K12:K20" ca="1" si="3">$C12*J12</f>
        <v>0</v>
      </c>
      <c r="L12" s="349"/>
      <c r="M12" s="333">
        <f t="shared" ref="M12:M20" ca="1" si="4">$C12*L12</f>
        <v>0</v>
      </c>
      <c r="N12" s="349"/>
      <c r="O12" s="333">
        <f t="shared" ref="O12:O20" ca="1" si="5">$C12*N12</f>
        <v>0</v>
      </c>
      <c r="P12" s="349"/>
      <c r="Q12" s="333">
        <f t="shared" ref="Q12:Q20" ca="1" si="6">$C12*P12</f>
        <v>0</v>
      </c>
      <c r="R12" s="349"/>
      <c r="S12" s="333">
        <f t="shared" ref="S12:S20" ca="1" si="7">$C12*R12</f>
        <v>0</v>
      </c>
      <c r="T12" s="349"/>
      <c r="U12" s="333">
        <f t="shared" ref="U12:U20" ca="1" si="8">$C12*T12</f>
        <v>0</v>
      </c>
      <c r="V12" s="349"/>
      <c r="W12" s="333">
        <f t="shared" ref="W12:W20" ca="1" si="9">$C12*V12</f>
        <v>0</v>
      </c>
      <c r="X12" s="349"/>
      <c r="Y12" s="333">
        <f t="shared" ref="Y12:Y20" ca="1" si="10">$C12*X12</f>
        <v>0</v>
      </c>
      <c r="Z12" s="349"/>
      <c r="AA12" s="333">
        <f t="shared" ref="AA12:AA20" ca="1" si="11">$C12*Z12</f>
        <v>0</v>
      </c>
      <c r="AB12" s="349"/>
      <c r="AC12" s="333">
        <f t="shared" ref="AC12:AC20" ca="1" si="12">$C12*AB12</f>
        <v>0</v>
      </c>
      <c r="AD12" s="349"/>
      <c r="AE12" s="333">
        <f t="shared" ref="AE12:AE20" ca="1" si="13">$C12*AD12</f>
        <v>0</v>
      </c>
      <c r="AF12" s="349"/>
      <c r="AG12" s="333">
        <f t="shared" ref="AG12:AG20" ca="1" si="14">$C12*AF12</f>
        <v>0</v>
      </c>
      <c r="AH12" s="349"/>
      <c r="AI12" s="333">
        <f t="shared" ref="AI12:AI20" ca="1" si="15">$C12*AH12</f>
        <v>0</v>
      </c>
      <c r="AJ12" s="349"/>
      <c r="AK12" s="333">
        <f t="shared" ref="AK12:AK20" ca="1" si="16">$C12*AJ12</f>
        <v>0</v>
      </c>
      <c r="AL12" s="349"/>
      <c r="AM12" s="333">
        <f t="shared" ref="AM12:AM20" ca="1" si="17">$C12*AL12</f>
        <v>0</v>
      </c>
      <c r="AN12" s="349">
        <f t="shared" ref="AN12:AN33" si="18">SUM(D12,F12,H12,J12,L12,N12,P12,R12,T12,V12,X12,Z12,AB12,AD12,AF12,AH12,AJ12,AL12)</f>
        <v>0</v>
      </c>
      <c r="AO12" s="333">
        <f t="shared" ref="AO12:AO20" ca="1" si="19">$C12*AN12</f>
        <v>0</v>
      </c>
    </row>
    <row r="13" spans="1:41" s="91" customFormat="1" ht="15" customHeight="1" x14ac:dyDescent="0.25">
      <c r="A13" s="156" t="str">
        <f>PQ!B20</f>
        <v>B.1.2</v>
      </c>
      <c r="B13" s="196" t="str">
        <f>PQ!C20</f>
        <v>Escavação e carga de material de 1ª categoria - DMT acima de 3.000 m</v>
      </c>
      <c r="C13" s="334">
        <f ca="1">RESUMO!N15</f>
        <v>97492.676182876341</v>
      </c>
      <c r="D13" s="350"/>
      <c r="E13" s="334">
        <f t="shared" ca="1" si="0"/>
        <v>0</v>
      </c>
      <c r="F13" s="350"/>
      <c r="G13" s="334">
        <f t="shared" ca="1" si="1"/>
        <v>0</v>
      </c>
      <c r="H13" s="350"/>
      <c r="I13" s="334">
        <f t="shared" ca="1" si="2"/>
        <v>0</v>
      </c>
      <c r="J13" s="350"/>
      <c r="K13" s="334">
        <f t="shared" ca="1" si="3"/>
        <v>0</v>
      </c>
      <c r="L13" s="350"/>
      <c r="M13" s="334">
        <f t="shared" ca="1" si="4"/>
        <v>0</v>
      </c>
      <c r="N13" s="350"/>
      <c r="O13" s="334">
        <f t="shared" ca="1" si="5"/>
        <v>0</v>
      </c>
      <c r="P13" s="350"/>
      <c r="Q13" s="334">
        <f t="shared" ca="1" si="6"/>
        <v>0</v>
      </c>
      <c r="R13" s="350"/>
      <c r="S13" s="334">
        <f t="shared" ca="1" si="7"/>
        <v>0</v>
      </c>
      <c r="T13" s="350"/>
      <c r="U13" s="334">
        <f t="shared" ca="1" si="8"/>
        <v>0</v>
      </c>
      <c r="V13" s="350">
        <v>1</v>
      </c>
      <c r="W13" s="334">
        <f t="shared" ca="1" si="9"/>
        <v>97492.676182876341</v>
      </c>
      <c r="X13" s="350"/>
      <c r="Y13" s="334">
        <f t="shared" ca="1" si="10"/>
        <v>0</v>
      </c>
      <c r="Z13" s="350"/>
      <c r="AA13" s="334">
        <f t="shared" ca="1" si="11"/>
        <v>0</v>
      </c>
      <c r="AB13" s="350"/>
      <c r="AC13" s="334">
        <f t="shared" ca="1" si="12"/>
        <v>0</v>
      </c>
      <c r="AD13" s="350"/>
      <c r="AE13" s="334">
        <f t="shared" ca="1" si="13"/>
        <v>0</v>
      </c>
      <c r="AF13" s="350"/>
      <c r="AG13" s="334">
        <f t="shared" ca="1" si="14"/>
        <v>0</v>
      </c>
      <c r="AH13" s="350"/>
      <c r="AI13" s="334">
        <f t="shared" ca="1" si="15"/>
        <v>0</v>
      </c>
      <c r="AJ13" s="350"/>
      <c r="AK13" s="334">
        <f t="shared" ca="1" si="16"/>
        <v>0</v>
      </c>
      <c r="AL13" s="350"/>
      <c r="AM13" s="334">
        <f t="shared" ca="1" si="17"/>
        <v>0</v>
      </c>
      <c r="AN13" s="350">
        <f t="shared" si="18"/>
        <v>1</v>
      </c>
      <c r="AO13" s="334">
        <f t="shared" ca="1" si="19"/>
        <v>97492.676182876341</v>
      </c>
    </row>
    <row r="14" spans="1:41" ht="15" customHeight="1" x14ac:dyDescent="0.25">
      <c r="A14" s="156" t="str">
        <f>PQ!B21</f>
        <v>B.1.3</v>
      </c>
      <c r="B14" s="196" t="str">
        <f>PQ!C21</f>
        <v>Transporte com caminhão basculante de 10 m³ - rodovia pavimentada (DMT 5 Km)</v>
      </c>
      <c r="C14" s="334">
        <f ca="1">RESUMO!N16</f>
        <v>48774.216806908786</v>
      </c>
      <c r="D14" s="350"/>
      <c r="E14" s="334">
        <f t="shared" ca="1" si="0"/>
        <v>0</v>
      </c>
      <c r="F14" s="350"/>
      <c r="G14" s="334">
        <f t="shared" ca="1" si="1"/>
        <v>0</v>
      </c>
      <c r="H14" s="350"/>
      <c r="I14" s="334">
        <f t="shared" ca="1" si="2"/>
        <v>0</v>
      </c>
      <c r="J14" s="350"/>
      <c r="K14" s="334">
        <f t="shared" ca="1" si="3"/>
        <v>0</v>
      </c>
      <c r="L14" s="350"/>
      <c r="M14" s="334">
        <f t="shared" ca="1" si="4"/>
        <v>0</v>
      </c>
      <c r="N14" s="350"/>
      <c r="O14" s="334">
        <f t="shared" ca="1" si="5"/>
        <v>0</v>
      </c>
      <c r="P14" s="350"/>
      <c r="Q14" s="334">
        <f t="shared" ca="1" si="6"/>
        <v>0</v>
      </c>
      <c r="R14" s="350"/>
      <c r="S14" s="334">
        <f t="shared" ca="1" si="7"/>
        <v>0</v>
      </c>
      <c r="T14" s="350"/>
      <c r="U14" s="334">
        <f t="shared" ca="1" si="8"/>
        <v>0</v>
      </c>
      <c r="V14" s="350">
        <v>1</v>
      </c>
      <c r="W14" s="334">
        <f t="shared" ca="1" si="9"/>
        <v>48774.216806908786</v>
      </c>
      <c r="X14" s="350"/>
      <c r="Y14" s="334">
        <f t="shared" ca="1" si="10"/>
        <v>0</v>
      </c>
      <c r="Z14" s="350"/>
      <c r="AA14" s="334">
        <f t="shared" ca="1" si="11"/>
        <v>0</v>
      </c>
      <c r="AB14" s="350"/>
      <c r="AC14" s="334">
        <f t="shared" ca="1" si="12"/>
        <v>0</v>
      </c>
      <c r="AD14" s="350"/>
      <c r="AE14" s="334">
        <f t="shared" ca="1" si="13"/>
        <v>0</v>
      </c>
      <c r="AF14" s="350"/>
      <c r="AG14" s="334">
        <f t="shared" ca="1" si="14"/>
        <v>0</v>
      </c>
      <c r="AH14" s="350"/>
      <c r="AI14" s="334">
        <f t="shared" ca="1" si="15"/>
        <v>0</v>
      </c>
      <c r="AJ14" s="350"/>
      <c r="AK14" s="334">
        <f t="shared" ca="1" si="16"/>
        <v>0</v>
      </c>
      <c r="AL14" s="350"/>
      <c r="AM14" s="334">
        <f t="shared" ca="1" si="17"/>
        <v>0</v>
      </c>
      <c r="AN14" s="350">
        <f t="shared" si="18"/>
        <v>1</v>
      </c>
      <c r="AO14" s="334">
        <f t="shared" ca="1" si="19"/>
        <v>48774.216806908786</v>
      </c>
    </row>
    <row r="15" spans="1:41" ht="15" customHeight="1" x14ac:dyDescent="0.25">
      <c r="A15" s="156" t="str">
        <f>PQ!B22</f>
        <v>B.1.4</v>
      </c>
      <c r="B15" s="196" t="str">
        <f>PQ!C22</f>
        <v>Regularização de bota-fora com espalhamento e execução de hidrossemeadura</v>
      </c>
      <c r="C15" s="334">
        <f ca="1">RESUMO!N17</f>
        <v>0</v>
      </c>
      <c r="D15" s="350"/>
      <c r="E15" s="334">
        <f t="shared" ca="1" si="0"/>
        <v>0</v>
      </c>
      <c r="F15" s="350"/>
      <c r="G15" s="334">
        <f t="shared" ca="1" si="1"/>
        <v>0</v>
      </c>
      <c r="H15" s="350"/>
      <c r="I15" s="334">
        <f t="shared" ca="1" si="2"/>
        <v>0</v>
      </c>
      <c r="J15" s="350"/>
      <c r="K15" s="334">
        <f t="shared" ca="1" si="3"/>
        <v>0</v>
      </c>
      <c r="L15" s="350"/>
      <c r="M15" s="334">
        <f t="shared" ca="1" si="4"/>
        <v>0</v>
      </c>
      <c r="N15" s="350"/>
      <c r="O15" s="334">
        <f t="shared" ca="1" si="5"/>
        <v>0</v>
      </c>
      <c r="P15" s="350"/>
      <c r="Q15" s="334">
        <f t="shared" ca="1" si="6"/>
        <v>0</v>
      </c>
      <c r="R15" s="350"/>
      <c r="S15" s="334">
        <f t="shared" ca="1" si="7"/>
        <v>0</v>
      </c>
      <c r="T15" s="350"/>
      <c r="U15" s="334">
        <f t="shared" ca="1" si="8"/>
        <v>0</v>
      </c>
      <c r="V15" s="350"/>
      <c r="W15" s="334">
        <f t="shared" ca="1" si="9"/>
        <v>0</v>
      </c>
      <c r="X15" s="350"/>
      <c r="Y15" s="334">
        <f t="shared" ca="1" si="10"/>
        <v>0</v>
      </c>
      <c r="Z15" s="350"/>
      <c r="AA15" s="334">
        <f t="shared" ca="1" si="11"/>
        <v>0</v>
      </c>
      <c r="AB15" s="350"/>
      <c r="AC15" s="334">
        <f t="shared" ca="1" si="12"/>
        <v>0</v>
      </c>
      <c r="AD15" s="350"/>
      <c r="AE15" s="334">
        <f t="shared" ca="1" si="13"/>
        <v>0</v>
      </c>
      <c r="AF15" s="350"/>
      <c r="AG15" s="334">
        <f t="shared" ca="1" si="14"/>
        <v>0</v>
      </c>
      <c r="AH15" s="350"/>
      <c r="AI15" s="334">
        <f t="shared" ca="1" si="15"/>
        <v>0</v>
      </c>
      <c r="AJ15" s="350"/>
      <c r="AK15" s="334">
        <f t="shared" ca="1" si="16"/>
        <v>0</v>
      </c>
      <c r="AL15" s="350"/>
      <c r="AM15" s="334">
        <f t="shared" ca="1" si="17"/>
        <v>0</v>
      </c>
      <c r="AN15" s="350">
        <f t="shared" si="18"/>
        <v>0</v>
      </c>
      <c r="AO15" s="334">
        <f t="shared" ca="1" si="19"/>
        <v>0</v>
      </c>
    </row>
    <row r="16" spans="1:41" ht="15" customHeight="1" x14ac:dyDescent="0.25">
      <c r="A16" s="171" t="str">
        <f>PQ!B23</f>
        <v>B.1.5</v>
      </c>
      <c r="B16" s="197" t="str">
        <f>PQ!C23</f>
        <v>Royaltie de bota-fora</v>
      </c>
      <c r="C16" s="335">
        <f ca="1">RESUMO!N18</f>
        <v>0</v>
      </c>
      <c r="D16" s="351"/>
      <c r="E16" s="335">
        <f t="shared" ca="1" si="0"/>
        <v>0</v>
      </c>
      <c r="F16" s="351"/>
      <c r="G16" s="335">
        <f t="shared" ca="1" si="1"/>
        <v>0</v>
      </c>
      <c r="H16" s="351"/>
      <c r="I16" s="335">
        <f t="shared" ca="1" si="2"/>
        <v>0</v>
      </c>
      <c r="J16" s="351"/>
      <c r="K16" s="335">
        <f t="shared" ca="1" si="3"/>
        <v>0</v>
      </c>
      <c r="L16" s="351"/>
      <c r="M16" s="335">
        <f t="shared" ca="1" si="4"/>
        <v>0</v>
      </c>
      <c r="N16" s="351"/>
      <c r="O16" s="335">
        <f t="shared" ca="1" si="5"/>
        <v>0</v>
      </c>
      <c r="P16" s="351"/>
      <c r="Q16" s="335">
        <f t="shared" ca="1" si="6"/>
        <v>0</v>
      </c>
      <c r="R16" s="351"/>
      <c r="S16" s="335">
        <f t="shared" ca="1" si="7"/>
        <v>0</v>
      </c>
      <c r="T16" s="351"/>
      <c r="U16" s="335">
        <f t="shared" ca="1" si="8"/>
        <v>0</v>
      </c>
      <c r="V16" s="351"/>
      <c r="W16" s="335">
        <f t="shared" ca="1" si="9"/>
        <v>0</v>
      </c>
      <c r="X16" s="351"/>
      <c r="Y16" s="335">
        <f t="shared" ca="1" si="10"/>
        <v>0</v>
      </c>
      <c r="Z16" s="351"/>
      <c r="AA16" s="335">
        <f t="shared" ca="1" si="11"/>
        <v>0</v>
      </c>
      <c r="AB16" s="351"/>
      <c r="AC16" s="335">
        <f t="shared" ca="1" si="12"/>
        <v>0</v>
      </c>
      <c r="AD16" s="351"/>
      <c r="AE16" s="335">
        <f t="shared" ca="1" si="13"/>
        <v>0</v>
      </c>
      <c r="AF16" s="351"/>
      <c r="AG16" s="335">
        <f t="shared" ca="1" si="14"/>
        <v>0</v>
      </c>
      <c r="AH16" s="351"/>
      <c r="AI16" s="335">
        <f t="shared" ca="1" si="15"/>
        <v>0</v>
      </c>
      <c r="AJ16" s="351"/>
      <c r="AK16" s="335">
        <f t="shared" ca="1" si="16"/>
        <v>0</v>
      </c>
      <c r="AL16" s="351"/>
      <c r="AM16" s="335">
        <f t="shared" ca="1" si="17"/>
        <v>0</v>
      </c>
      <c r="AN16" s="351">
        <f t="shared" si="18"/>
        <v>0</v>
      </c>
      <c r="AO16" s="335">
        <f t="shared" ca="1" si="19"/>
        <v>0</v>
      </c>
    </row>
    <row r="17" spans="1:41" s="91" customFormat="1" ht="15" customHeight="1" x14ac:dyDescent="0.25">
      <c r="A17" s="268" t="str">
        <f>PQ!B24</f>
        <v>B.1.6</v>
      </c>
      <c r="B17" s="269" t="str">
        <f>PQ!C24</f>
        <v>Desmatamento, destocamento, limpeza de área e estocagem do material de limpeza com árvores de diâmetro até 0,15 m</v>
      </c>
      <c r="C17" s="338">
        <f ca="1">RESUMO!N19</f>
        <v>18277.002345454359</v>
      </c>
      <c r="D17" s="354"/>
      <c r="E17" s="338">
        <f t="shared" ca="1" si="0"/>
        <v>0</v>
      </c>
      <c r="F17" s="354"/>
      <c r="G17" s="338">
        <f t="shared" ca="1" si="1"/>
        <v>0</v>
      </c>
      <c r="H17" s="354"/>
      <c r="I17" s="338">
        <f t="shared" ca="1" si="2"/>
        <v>0</v>
      </c>
      <c r="J17" s="354"/>
      <c r="K17" s="338">
        <f t="shared" ca="1" si="3"/>
        <v>0</v>
      </c>
      <c r="L17" s="354"/>
      <c r="M17" s="338">
        <f t="shared" ca="1" si="4"/>
        <v>0</v>
      </c>
      <c r="N17" s="354"/>
      <c r="O17" s="338">
        <f t="shared" ca="1" si="5"/>
        <v>0</v>
      </c>
      <c r="P17" s="354"/>
      <c r="Q17" s="338">
        <f t="shared" ca="1" si="6"/>
        <v>0</v>
      </c>
      <c r="R17" s="354"/>
      <c r="S17" s="338">
        <f t="shared" ca="1" si="7"/>
        <v>0</v>
      </c>
      <c r="T17" s="354"/>
      <c r="U17" s="338">
        <f t="shared" ca="1" si="8"/>
        <v>0</v>
      </c>
      <c r="V17" s="354">
        <v>1</v>
      </c>
      <c r="W17" s="338">
        <f t="shared" ca="1" si="9"/>
        <v>18277.002345454359</v>
      </c>
      <c r="X17" s="354"/>
      <c r="Y17" s="338">
        <f t="shared" ca="1" si="10"/>
        <v>0</v>
      </c>
      <c r="Z17" s="354"/>
      <c r="AA17" s="338">
        <f t="shared" ca="1" si="11"/>
        <v>0</v>
      </c>
      <c r="AB17" s="354"/>
      <c r="AC17" s="338">
        <f t="shared" ca="1" si="12"/>
        <v>0</v>
      </c>
      <c r="AD17" s="354"/>
      <c r="AE17" s="338">
        <f t="shared" ca="1" si="13"/>
        <v>0</v>
      </c>
      <c r="AF17" s="354"/>
      <c r="AG17" s="338">
        <f t="shared" ca="1" si="14"/>
        <v>0</v>
      </c>
      <c r="AH17" s="354"/>
      <c r="AI17" s="338">
        <f t="shared" ca="1" si="15"/>
        <v>0</v>
      </c>
      <c r="AJ17" s="354"/>
      <c r="AK17" s="338">
        <f t="shared" ca="1" si="16"/>
        <v>0</v>
      </c>
      <c r="AL17" s="354"/>
      <c r="AM17" s="338">
        <f t="shared" ca="1" si="17"/>
        <v>0</v>
      </c>
      <c r="AN17" s="354">
        <f t="shared" si="18"/>
        <v>1</v>
      </c>
      <c r="AO17" s="338">
        <f t="shared" ca="1" si="19"/>
        <v>18277.002345454359</v>
      </c>
    </row>
    <row r="18" spans="1:41" ht="15" customHeight="1" x14ac:dyDescent="0.25">
      <c r="A18" s="268" t="str">
        <f>PQ!B25</f>
        <v>B.1.7</v>
      </c>
      <c r="B18" s="269" t="str">
        <f>PQ!C25</f>
        <v>Escavação, carga e transporte de material de 1ª categoria - DMT de 1.400 a 1.600 m - caminho de serviço pavimentado - com escavadeira e caminhão basculante de 14 m³</v>
      </c>
      <c r="C18" s="338">
        <f ca="1">RESUMO!N20</f>
        <v>695707.05211000226</v>
      </c>
      <c r="D18" s="354"/>
      <c r="E18" s="338">
        <f t="shared" ca="1" si="0"/>
        <v>0</v>
      </c>
      <c r="F18" s="354"/>
      <c r="G18" s="338">
        <f t="shared" ca="1" si="1"/>
        <v>0</v>
      </c>
      <c r="H18" s="354"/>
      <c r="I18" s="338">
        <f t="shared" ca="1" si="2"/>
        <v>0</v>
      </c>
      <c r="J18" s="354"/>
      <c r="K18" s="338">
        <f t="shared" ca="1" si="3"/>
        <v>0</v>
      </c>
      <c r="L18" s="354"/>
      <c r="M18" s="338">
        <f t="shared" ca="1" si="4"/>
        <v>0</v>
      </c>
      <c r="N18" s="354"/>
      <c r="O18" s="338">
        <f t="shared" ca="1" si="5"/>
        <v>0</v>
      </c>
      <c r="P18" s="354"/>
      <c r="Q18" s="338">
        <f t="shared" ca="1" si="6"/>
        <v>0</v>
      </c>
      <c r="R18" s="354"/>
      <c r="S18" s="338">
        <f t="shared" ca="1" si="7"/>
        <v>0</v>
      </c>
      <c r="T18" s="354"/>
      <c r="U18" s="338">
        <f t="shared" ca="1" si="8"/>
        <v>0</v>
      </c>
      <c r="V18" s="354">
        <v>1</v>
      </c>
      <c r="W18" s="338">
        <f t="shared" ca="1" si="9"/>
        <v>695707.05211000226</v>
      </c>
      <c r="X18" s="354"/>
      <c r="Y18" s="338">
        <f t="shared" ca="1" si="10"/>
        <v>0</v>
      </c>
      <c r="Z18" s="354"/>
      <c r="AA18" s="338">
        <f t="shared" ca="1" si="11"/>
        <v>0</v>
      </c>
      <c r="AB18" s="354"/>
      <c r="AC18" s="338">
        <f t="shared" ca="1" si="12"/>
        <v>0</v>
      </c>
      <c r="AD18" s="354"/>
      <c r="AE18" s="338">
        <f t="shared" ca="1" si="13"/>
        <v>0</v>
      </c>
      <c r="AF18" s="354"/>
      <c r="AG18" s="338">
        <f t="shared" ca="1" si="14"/>
        <v>0</v>
      </c>
      <c r="AH18" s="354"/>
      <c r="AI18" s="338">
        <f t="shared" ca="1" si="15"/>
        <v>0</v>
      </c>
      <c r="AJ18" s="354"/>
      <c r="AK18" s="338">
        <f t="shared" ca="1" si="16"/>
        <v>0</v>
      </c>
      <c r="AL18" s="354"/>
      <c r="AM18" s="338">
        <f t="shared" ca="1" si="17"/>
        <v>0</v>
      </c>
      <c r="AN18" s="354">
        <f t="shared" si="18"/>
        <v>1</v>
      </c>
      <c r="AO18" s="338">
        <f t="shared" ca="1" si="19"/>
        <v>695707.05211000226</v>
      </c>
    </row>
    <row r="19" spans="1:41" s="91" customFormat="1" ht="15" customHeight="1" x14ac:dyDescent="0.25">
      <c r="A19" s="268" t="str">
        <f>PQ!B26</f>
        <v>B.1.8</v>
      </c>
      <c r="B19" s="269" t="str">
        <f>PQ!C26</f>
        <v>Escavação e carga de material de 2ª categoria - DMT acima de 3.000 m</v>
      </c>
      <c r="C19" s="338">
        <f ca="1">RESUMO!N21</f>
        <v>2722.6104801405227</v>
      </c>
      <c r="D19" s="354"/>
      <c r="E19" s="338">
        <f t="shared" ca="1" si="0"/>
        <v>0</v>
      </c>
      <c r="F19" s="354"/>
      <c r="G19" s="338">
        <f t="shared" ca="1" si="1"/>
        <v>0</v>
      </c>
      <c r="H19" s="354"/>
      <c r="I19" s="338">
        <f t="shared" ca="1" si="2"/>
        <v>0</v>
      </c>
      <c r="J19" s="354"/>
      <c r="K19" s="338">
        <f t="shared" ca="1" si="3"/>
        <v>0</v>
      </c>
      <c r="L19" s="354"/>
      <c r="M19" s="338">
        <f t="shared" ca="1" si="4"/>
        <v>0</v>
      </c>
      <c r="N19" s="354"/>
      <c r="O19" s="338">
        <f t="shared" ca="1" si="5"/>
        <v>0</v>
      </c>
      <c r="P19" s="354"/>
      <c r="Q19" s="338">
        <f t="shared" ca="1" si="6"/>
        <v>0</v>
      </c>
      <c r="R19" s="354"/>
      <c r="S19" s="338">
        <f t="shared" ca="1" si="7"/>
        <v>0</v>
      </c>
      <c r="T19" s="354"/>
      <c r="U19" s="338">
        <f t="shared" ca="1" si="8"/>
        <v>0</v>
      </c>
      <c r="V19" s="354">
        <v>1</v>
      </c>
      <c r="W19" s="338">
        <f t="shared" ca="1" si="9"/>
        <v>2722.6104801405227</v>
      </c>
      <c r="X19" s="354"/>
      <c r="Y19" s="338">
        <f t="shared" ca="1" si="10"/>
        <v>0</v>
      </c>
      <c r="Z19" s="354"/>
      <c r="AA19" s="338">
        <f t="shared" ca="1" si="11"/>
        <v>0</v>
      </c>
      <c r="AB19" s="354"/>
      <c r="AC19" s="338">
        <f t="shared" ca="1" si="12"/>
        <v>0</v>
      </c>
      <c r="AD19" s="354"/>
      <c r="AE19" s="338">
        <f t="shared" ca="1" si="13"/>
        <v>0</v>
      </c>
      <c r="AF19" s="354"/>
      <c r="AG19" s="338">
        <f t="shared" ca="1" si="14"/>
        <v>0</v>
      </c>
      <c r="AH19" s="354"/>
      <c r="AI19" s="338">
        <f t="shared" ca="1" si="15"/>
        <v>0</v>
      </c>
      <c r="AJ19" s="354"/>
      <c r="AK19" s="338">
        <f t="shared" ca="1" si="16"/>
        <v>0</v>
      </c>
      <c r="AL19" s="354"/>
      <c r="AM19" s="338">
        <f t="shared" ca="1" si="17"/>
        <v>0</v>
      </c>
      <c r="AN19" s="354">
        <f t="shared" si="18"/>
        <v>1</v>
      </c>
      <c r="AO19" s="338">
        <f t="shared" ca="1" si="19"/>
        <v>2722.6104801405227</v>
      </c>
    </row>
    <row r="20" spans="1:41" ht="15" customHeight="1" x14ac:dyDescent="0.25">
      <c r="A20" s="268" t="str">
        <f>PQ!B27</f>
        <v>B.1.9</v>
      </c>
      <c r="B20" s="269" t="str">
        <f>PQ!C27</f>
        <v>Regularização de bota-fora</v>
      </c>
      <c r="C20" s="338">
        <f ca="1">RESUMO!N22</f>
        <v>14319.751024927797</v>
      </c>
      <c r="D20" s="354"/>
      <c r="E20" s="338">
        <f t="shared" ca="1" si="0"/>
        <v>0</v>
      </c>
      <c r="F20" s="354"/>
      <c r="G20" s="338">
        <f t="shared" ca="1" si="1"/>
        <v>0</v>
      </c>
      <c r="H20" s="354"/>
      <c r="I20" s="338">
        <f t="shared" ca="1" si="2"/>
        <v>0</v>
      </c>
      <c r="J20" s="354"/>
      <c r="K20" s="338">
        <f t="shared" ca="1" si="3"/>
        <v>0</v>
      </c>
      <c r="L20" s="354"/>
      <c r="M20" s="338">
        <f t="shared" ca="1" si="4"/>
        <v>0</v>
      </c>
      <c r="N20" s="354"/>
      <c r="O20" s="338">
        <f t="shared" ca="1" si="5"/>
        <v>0</v>
      </c>
      <c r="P20" s="354"/>
      <c r="Q20" s="338">
        <f t="shared" ca="1" si="6"/>
        <v>0</v>
      </c>
      <c r="R20" s="354"/>
      <c r="S20" s="338">
        <f t="shared" ca="1" si="7"/>
        <v>0</v>
      </c>
      <c r="T20" s="354"/>
      <c r="U20" s="338">
        <f t="shared" ca="1" si="8"/>
        <v>0</v>
      </c>
      <c r="V20" s="354">
        <v>1</v>
      </c>
      <c r="W20" s="338">
        <f t="shared" ca="1" si="9"/>
        <v>14319.751024927797</v>
      </c>
      <c r="X20" s="354"/>
      <c r="Y20" s="338">
        <f t="shared" ca="1" si="10"/>
        <v>0</v>
      </c>
      <c r="Z20" s="354"/>
      <c r="AA20" s="338">
        <f t="shared" ca="1" si="11"/>
        <v>0</v>
      </c>
      <c r="AB20" s="354"/>
      <c r="AC20" s="338">
        <f t="shared" ca="1" si="12"/>
        <v>0</v>
      </c>
      <c r="AD20" s="354"/>
      <c r="AE20" s="338">
        <f t="shared" ca="1" si="13"/>
        <v>0</v>
      </c>
      <c r="AF20" s="354"/>
      <c r="AG20" s="338">
        <f t="shared" ca="1" si="14"/>
        <v>0</v>
      </c>
      <c r="AH20" s="354"/>
      <c r="AI20" s="338">
        <f t="shared" ca="1" si="15"/>
        <v>0</v>
      </c>
      <c r="AJ20" s="354"/>
      <c r="AK20" s="338">
        <f t="shared" ca="1" si="16"/>
        <v>0</v>
      </c>
      <c r="AL20" s="354"/>
      <c r="AM20" s="338">
        <f t="shared" ca="1" si="17"/>
        <v>0</v>
      </c>
      <c r="AN20" s="354">
        <f t="shared" si="18"/>
        <v>1</v>
      </c>
      <c r="AO20" s="338">
        <f t="shared" ca="1" si="19"/>
        <v>14319.751024927797</v>
      </c>
    </row>
    <row r="21" spans="1:41" s="345" customFormat="1" ht="15" customHeight="1" x14ac:dyDescent="0.25">
      <c r="A21" s="62" t="str">
        <f>PQ!B28</f>
        <v>B.2</v>
      </c>
      <c r="B21" s="199" t="str">
        <f>PQ!C28</f>
        <v>Drenagem e OACs</v>
      </c>
      <c r="C21" s="337">
        <f ca="1">RESUMO!N23</f>
        <v>372089.89349999995</v>
      </c>
      <c r="D21" s="353"/>
      <c r="E21" s="337">
        <f ca="1">SUBTOTAL(9,E22:E30)</f>
        <v>0</v>
      </c>
      <c r="F21" s="353"/>
      <c r="G21" s="337">
        <f ca="1">SUBTOTAL(9,G22:G30)</f>
        <v>0</v>
      </c>
      <c r="H21" s="353"/>
      <c r="I21" s="337">
        <f ca="1">SUBTOTAL(9,I22:I30)</f>
        <v>0</v>
      </c>
      <c r="J21" s="353"/>
      <c r="K21" s="337">
        <f ca="1">SUBTOTAL(9,K22:K30)</f>
        <v>0</v>
      </c>
      <c r="L21" s="353"/>
      <c r="M21" s="337">
        <f ca="1">SUBTOTAL(9,M22:M30)</f>
        <v>0</v>
      </c>
      <c r="N21" s="353"/>
      <c r="O21" s="337">
        <f ca="1">SUBTOTAL(9,O22:O30)</f>
        <v>0</v>
      </c>
      <c r="P21" s="353"/>
      <c r="Q21" s="337">
        <f ca="1">SUBTOTAL(9,Q22:Q30)</f>
        <v>0</v>
      </c>
      <c r="R21" s="353"/>
      <c r="S21" s="337">
        <f ca="1">SUBTOTAL(9,S22:S30)</f>
        <v>0</v>
      </c>
      <c r="T21" s="353"/>
      <c r="U21" s="337">
        <f ca="1">SUBTOTAL(9,U22:U30)</f>
        <v>0</v>
      </c>
      <c r="V21" s="353"/>
      <c r="W21" s="337">
        <f ca="1">SUBTOTAL(9,W22:W30)</f>
        <v>372089.89349999995</v>
      </c>
      <c r="X21" s="353"/>
      <c r="Y21" s="337">
        <f ca="1">SUBTOTAL(9,Y22:Y30)</f>
        <v>0</v>
      </c>
      <c r="Z21" s="353"/>
      <c r="AA21" s="337">
        <f ca="1">SUBTOTAL(9,AA22:AA30)</f>
        <v>0</v>
      </c>
      <c r="AB21" s="353"/>
      <c r="AC21" s="337">
        <f ca="1">SUBTOTAL(9,AC22:AC30)</f>
        <v>0</v>
      </c>
      <c r="AD21" s="353"/>
      <c r="AE21" s="337">
        <f ca="1">SUBTOTAL(9,AE22:AE30)</f>
        <v>0</v>
      </c>
      <c r="AF21" s="353"/>
      <c r="AG21" s="337">
        <f ca="1">SUBTOTAL(9,AG22:AG30)</f>
        <v>0</v>
      </c>
      <c r="AH21" s="353"/>
      <c r="AI21" s="337">
        <f ca="1">SUBTOTAL(9,AI22:AI30)</f>
        <v>0</v>
      </c>
      <c r="AJ21" s="353"/>
      <c r="AK21" s="337">
        <f ca="1">SUBTOTAL(9,AK22:AK30)</f>
        <v>0</v>
      </c>
      <c r="AL21" s="353"/>
      <c r="AM21" s="337">
        <f ca="1">SUBTOTAL(9,AM22:AM30)</f>
        <v>0</v>
      </c>
      <c r="AN21" s="353"/>
      <c r="AO21" s="337">
        <f ca="1">SUBTOTAL(9,AO22:AO30)</f>
        <v>372089.89349999995</v>
      </c>
    </row>
    <row r="22" spans="1:41" ht="15" customHeight="1" x14ac:dyDescent="0.25">
      <c r="A22" s="161" t="str">
        <f>PQ!B29</f>
        <v>B.2.1</v>
      </c>
      <c r="B22" s="195" t="str">
        <f>PQ!C29</f>
        <v>Demolição de dispositivos de drenagem</v>
      </c>
      <c r="C22" s="333">
        <f ca="1">RESUMO!N24</f>
        <v>0</v>
      </c>
      <c r="D22" s="349"/>
      <c r="E22" s="333">
        <f t="shared" ref="E22:E30" ca="1" si="20">$C22*D22</f>
        <v>0</v>
      </c>
      <c r="F22" s="349"/>
      <c r="G22" s="333">
        <f t="shared" ref="G22:G30" ca="1" si="21">$C22*F22</f>
        <v>0</v>
      </c>
      <c r="H22" s="349"/>
      <c r="I22" s="333">
        <f t="shared" ref="I22:I30" ca="1" si="22">$C22*H22</f>
        <v>0</v>
      </c>
      <c r="J22" s="349"/>
      <c r="K22" s="333">
        <f t="shared" ref="K22:K30" ca="1" si="23">$C22*J22</f>
        <v>0</v>
      </c>
      <c r="L22" s="349"/>
      <c r="M22" s="333">
        <f t="shared" ref="M22:M30" ca="1" si="24">$C22*L22</f>
        <v>0</v>
      </c>
      <c r="N22" s="349"/>
      <c r="O22" s="333">
        <f t="shared" ref="O22:O30" ca="1" si="25">$C22*N22</f>
        <v>0</v>
      </c>
      <c r="P22" s="349"/>
      <c r="Q22" s="333">
        <f t="shared" ref="Q22:Q30" ca="1" si="26">$C22*P22</f>
        <v>0</v>
      </c>
      <c r="R22" s="349"/>
      <c r="S22" s="333">
        <f t="shared" ref="S22:S30" ca="1" si="27">$C22*R22</f>
        <v>0</v>
      </c>
      <c r="T22" s="349"/>
      <c r="U22" s="333">
        <f t="shared" ref="U22:U30" ca="1" si="28">$C22*T22</f>
        <v>0</v>
      </c>
      <c r="V22" s="349"/>
      <c r="W22" s="333">
        <f t="shared" ref="W22:W30" ca="1" si="29">$C22*V22</f>
        <v>0</v>
      </c>
      <c r="X22" s="349"/>
      <c r="Y22" s="333">
        <f t="shared" ref="Y22:Y30" ca="1" si="30">$C22*X22</f>
        <v>0</v>
      </c>
      <c r="Z22" s="349"/>
      <c r="AA22" s="333">
        <f t="shared" ref="AA22:AA30" ca="1" si="31">$C22*Z22</f>
        <v>0</v>
      </c>
      <c r="AB22" s="349"/>
      <c r="AC22" s="333">
        <f t="shared" ref="AC22:AC30" ca="1" si="32">$C22*AB22</f>
        <v>0</v>
      </c>
      <c r="AD22" s="349"/>
      <c r="AE22" s="333">
        <f t="shared" ref="AE22:AE30" ca="1" si="33">$C22*AD22</f>
        <v>0</v>
      </c>
      <c r="AF22" s="349"/>
      <c r="AG22" s="333">
        <f t="shared" ref="AG22:AG30" ca="1" si="34">$C22*AF22</f>
        <v>0</v>
      </c>
      <c r="AH22" s="349"/>
      <c r="AI22" s="333">
        <f t="shared" ref="AI22:AI30" ca="1" si="35">$C22*AH22</f>
        <v>0</v>
      </c>
      <c r="AJ22" s="349"/>
      <c r="AK22" s="333">
        <f t="shared" ref="AK22:AK30" ca="1" si="36">$C22*AJ22</f>
        <v>0</v>
      </c>
      <c r="AL22" s="349"/>
      <c r="AM22" s="333">
        <f t="shared" ref="AM22:AM30" ca="1" si="37">$C22*AL22</f>
        <v>0</v>
      </c>
      <c r="AN22" s="349">
        <f t="shared" si="18"/>
        <v>0</v>
      </c>
      <c r="AO22" s="333">
        <f t="shared" ref="AO22:AO30" ca="1" si="38">$C22*AN22</f>
        <v>0</v>
      </c>
    </row>
    <row r="23" spans="1:41" ht="15" customHeight="1" x14ac:dyDescent="0.25">
      <c r="A23" s="156" t="str">
        <f>PQ!B30</f>
        <v>B.2.2</v>
      </c>
      <c r="B23" s="196" t="str">
        <f>PQ!C30</f>
        <v>Sarjeta triangular de concreto - STC 150-30 - escavação mecânica - areia e brita comerciais</v>
      </c>
      <c r="C23" s="334">
        <f ca="1">RESUMO!N25</f>
        <v>0</v>
      </c>
      <c r="D23" s="350"/>
      <c r="E23" s="334">
        <f t="shared" ca="1" si="20"/>
        <v>0</v>
      </c>
      <c r="F23" s="350"/>
      <c r="G23" s="334">
        <f t="shared" ca="1" si="21"/>
        <v>0</v>
      </c>
      <c r="H23" s="350"/>
      <c r="I23" s="334">
        <f t="shared" ca="1" si="22"/>
        <v>0</v>
      </c>
      <c r="J23" s="350"/>
      <c r="K23" s="334">
        <f t="shared" ca="1" si="23"/>
        <v>0</v>
      </c>
      <c r="L23" s="350"/>
      <c r="M23" s="334">
        <f t="shared" ca="1" si="24"/>
        <v>0</v>
      </c>
      <c r="N23" s="350"/>
      <c r="O23" s="334">
        <f t="shared" ca="1" si="25"/>
        <v>0</v>
      </c>
      <c r="P23" s="350"/>
      <c r="Q23" s="334">
        <f t="shared" ca="1" si="26"/>
        <v>0</v>
      </c>
      <c r="R23" s="350"/>
      <c r="S23" s="334">
        <f t="shared" ca="1" si="27"/>
        <v>0</v>
      </c>
      <c r="T23" s="350"/>
      <c r="U23" s="334">
        <f t="shared" ca="1" si="28"/>
        <v>0</v>
      </c>
      <c r="V23" s="350"/>
      <c r="W23" s="334">
        <f t="shared" ca="1" si="29"/>
        <v>0</v>
      </c>
      <c r="X23" s="350"/>
      <c r="Y23" s="334">
        <f t="shared" ca="1" si="30"/>
        <v>0</v>
      </c>
      <c r="Z23" s="350"/>
      <c r="AA23" s="334">
        <f t="shared" ca="1" si="31"/>
        <v>0</v>
      </c>
      <c r="AB23" s="350"/>
      <c r="AC23" s="334">
        <f t="shared" ca="1" si="32"/>
        <v>0</v>
      </c>
      <c r="AD23" s="350"/>
      <c r="AE23" s="334">
        <f t="shared" ca="1" si="33"/>
        <v>0</v>
      </c>
      <c r="AF23" s="350"/>
      <c r="AG23" s="334">
        <f t="shared" ca="1" si="34"/>
        <v>0</v>
      </c>
      <c r="AH23" s="350"/>
      <c r="AI23" s="334">
        <f t="shared" ca="1" si="35"/>
        <v>0</v>
      </c>
      <c r="AJ23" s="350"/>
      <c r="AK23" s="334">
        <f t="shared" ca="1" si="36"/>
        <v>0</v>
      </c>
      <c r="AL23" s="350"/>
      <c r="AM23" s="334">
        <f t="shared" ca="1" si="37"/>
        <v>0</v>
      </c>
      <c r="AN23" s="350">
        <f t="shared" si="18"/>
        <v>0</v>
      </c>
      <c r="AO23" s="334">
        <f t="shared" ca="1" si="38"/>
        <v>0</v>
      </c>
    </row>
    <row r="24" spans="1:41" ht="15" customHeight="1" x14ac:dyDescent="0.25">
      <c r="A24" s="156" t="str">
        <f>PQ!B31</f>
        <v>B.2.3</v>
      </c>
      <c r="B24" s="196" t="str">
        <f>PQ!C31</f>
        <v>Valeta de proteção de cortes com revestimento de concreto - VPC 04 - areia e brita comerciais</v>
      </c>
      <c r="C24" s="334">
        <f ca="1">RESUMO!N26</f>
        <v>0</v>
      </c>
      <c r="D24" s="350"/>
      <c r="E24" s="334">
        <f t="shared" ca="1" si="20"/>
        <v>0</v>
      </c>
      <c r="F24" s="350"/>
      <c r="G24" s="334">
        <f t="shared" ca="1" si="21"/>
        <v>0</v>
      </c>
      <c r="H24" s="350"/>
      <c r="I24" s="334">
        <f t="shared" ca="1" si="22"/>
        <v>0</v>
      </c>
      <c r="J24" s="350"/>
      <c r="K24" s="334">
        <f t="shared" ca="1" si="23"/>
        <v>0</v>
      </c>
      <c r="L24" s="350"/>
      <c r="M24" s="334">
        <f t="shared" ca="1" si="24"/>
        <v>0</v>
      </c>
      <c r="N24" s="350"/>
      <c r="O24" s="334">
        <f t="shared" ca="1" si="25"/>
        <v>0</v>
      </c>
      <c r="P24" s="350"/>
      <c r="Q24" s="334">
        <f t="shared" ca="1" si="26"/>
        <v>0</v>
      </c>
      <c r="R24" s="350"/>
      <c r="S24" s="334">
        <f t="shared" ca="1" si="27"/>
        <v>0</v>
      </c>
      <c r="T24" s="350"/>
      <c r="U24" s="334">
        <f t="shared" ca="1" si="28"/>
        <v>0</v>
      </c>
      <c r="V24" s="350"/>
      <c r="W24" s="334">
        <f t="shared" ca="1" si="29"/>
        <v>0</v>
      </c>
      <c r="X24" s="350"/>
      <c r="Y24" s="334">
        <f t="shared" ca="1" si="30"/>
        <v>0</v>
      </c>
      <c r="Z24" s="350"/>
      <c r="AA24" s="334">
        <f t="shared" ca="1" si="31"/>
        <v>0</v>
      </c>
      <c r="AB24" s="350"/>
      <c r="AC24" s="334">
        <f t="shared" ca="1" si="32"/>
        <v>0</v>
      </c>
      <c r="AD24" s="350"/>
      <c r="AE24" s="334">
        <f t="shared" ca="1" si="33"/>
        <v>0</v>
      </c>
      <c r="AF24" s="350"/>
      <c r="AG24" s="334">
        <f t="shared" ca="1" si="34"/>
        <v>0</v>
      </c>
      <c r="AH24" s="350"/>
      <c r="AI24" s="334">
        <f t="shared" ca="1" si="35"/>
        <v>0</v>
      </c>
      <c r="AJ24" s="350"/>
      <c r="AK24" s="334">
        <f t="shared" ca="1" si="36"/>
        <v>0</v>
      </c>
      <c r="AL24" s="350"/>
      <c r="AM24" s="334">
        <f t="shared" ca="1" si="37"/>
        <v>0</v>
      </c>
      <c r="AN24" s="350">
        <f t="shared" si="18"/>
        <v>0</v>
      </c>
      <c r="AO24" s="334">
        <f t="shared" ca="1" si="38"/>
        <v>0</v>
      </c>
    </row>
    <row r="25" spans="1:41" ht="15" customHeight="1" x14ac:dyDescent="0.25">
      <c r="A25" s="156" t="str">
        <f>PQ!B32</f>
        <v>B.2.4</v>
      </c>
      <c r="B25" s="196" t="str">
        <f>PQ!C32</f>
        <v>Caixa coletora A6 - CCS 200-60A</v>
      </c>
      <c r="C25" s="334">
        <f ca="1">RESUMO!N27</f>
        <v>0</v>
      </c>
      <c r="D25" s="350"/>
      <c r="E25" s="334">
        <f t="shared" ca="1" si="20"/>
        <v>0</v>
      </c>
      <c r="F25" s="350"/>
      <c r="G25" s="334">
        <f t="shared" ca="1" si="21"/>
        <v>0</v>
      </c>
      <c r="H25" s="350"/>
      <c r="I25" s="334">
        <f t="shared" ca="1" si="22"/>
        <v>0</v>
      </c>
      <c r="J25" s="350"/>
      <c r="K25" s="334">
        <f t="shared" ca="1" si="23"/>
        <v>0</v>
      </c>
      <c r="L25" s="350"/>
      <c r="M25" s="334">
        <f t="shared" ca="1" si="24"/>
        <v>0</v>
      </c>
      <c r="N25" s="350"/>
      <c r="O25" s="334">
        <f t="shared" ca="1" si="25"/>
        <v>0</v>
      </c>
      <c r="P25" s="350"/>
      <c r="Q25" s="334">
        <f t="shared" ca="1" si="26"/>
        <v>0</v>
      </c>
      <c r="R25" s="350"/>
      <c r="S25" s="334">
        <f t="shared" ca="1" si="27"/>
        <v>0</v>
      </c>
      <c r="T25" s="350"/>
      <c r="U25" s="334">
        <f t="shared" ca="1" si="28"/>
        <v>0</v>
      </c>
      <c r="V25" s="350"/>
      <c r="W25" s="334">
        <f t="shared" ca="1" si="29"/>
        <v>0</v>
      </c>
      <c r="X25" s="350"/>
      <c r="Y25" s="334">
        <f t="shared" ca="1" si="30"/>
        <v>0</v>
      </c>
      <c r="Z25" s="350"/>
      <c r="AA25" s="334">
        <f t="shared" ca="1" si="31"/>
        <v>0</v>
      </c>
      <c r="AB25" s="350"/>
      <c r="AC25" s="334">
        <f t="shared" ca="1" si="32"/>
        <v>0</v>
      </c>
      <c r="AD25" s="350"/>
      <c r="AE25" s="334">
        <f t="shared" ca="1" si="33"/>
        <v>0</v>
      </c>
      <c r="AF25" s="350"/>
      <c r="AG25" s="334">
        <f t="shared" ca="1" si="34"/>
        <v>0</v>
      </c>
      <c r="AH25" s="350"/>
      <c r="AI25" s="334">
        <f t="shared" ca="1" si="35"/>
        <v>0</v>
      </c>
      <c r="AJ25" s="350"/>
      <c r="AK25" s="334">
        <f t="shared" ca="1" si="36"/>
        <v>0</v>
      </c>
      <c r="AL25" s="350"/>
      <c r="AM25" s="334">
        <f t="shared" ca="1" si="37"/>
        <v>0</v>
      </c>
      <c r="AN25" s="350">
        <f t="shared" si="18"/>
        <v>0</v>
      </c>
      <c r="AO25" s="334">
        <f t="shared" ca="1" si="38"/>
        <v>0</v>
      </c>
    </row>
    <row r="26" spans="1:41" ht="15" customHeight="1" x14ac:dyDescent="0.25">
      <c r="A26" s="156" t="str">
        <f>PQ!B33</f>
        <v>B.2.5</v>
      </c>
      <c r="B26" s="197" t="str">
        <f>PQ!C33</f>
        <v>Descida d'água de cortes em degraus - DCD 02 - areia e brita comerciais</v>
      </c>
      <c r="C26" s="335">
        <f ca="1">RESUMO!N28</f>
        <v>0</v>
      </c>
      <c r="D26" s="351"/>
      <c r="E26" s="335">
        <f t="shared" ca="1" si="20"/>
        <v>0</v>
      </c>
      <c r="F26" s="351"/>
      <c r="G26" s="335">
        <f t="shared" ca="1" si="21"/>
        <v>0</v>
      </c>
      <c r="H26" s="351"/>
      <c r="I26" s="335">
        <f t="shared" ca="1" si="22"/>
        <v>0</v>
      </c>
      <c r="J26" s="351"/>
      <c r="K26" s="335">
        <f t="shared" ca="1" si="23"/>
        <v>0</v>
      </c>
      <c r="L26" s="351"/>
      <c r="M26" s="335">
        <f t="shared" ca="1" si="24"/>
        <v>0</v>
      </c>
      <c r="N26" s="351"/>
      <c r="O26" s="335">
        <f t="shared" ca="1" si="25"/>
        <v>0</v>
      </c>
      <c r="P26" s="351"/>
      <c r="Q26" s="335">
        <f t="shared" ca="1" si="26"/>
        <v>0</v>
      </c>
      <c r="R26" s="351"/>
      <c r="S26" s="335">
        <f t="shared" ca="1" si="27"/>
        <v>0</v>
      </c>
      <c r="T26" s="351"/>
      <c r="U26" s="335">
        <f t="shared" ca="1" si="28"/>
        <v>0</v>
      </c>
      <c r="V26" s="351"/>
      <c r="W26" s="335">
        <f t="shared" ca="1" si="29"/>
        <v>0</v>
      </c>
      <c r="X26" s="351"/>
      <c r="Y26" s="335">
        <f t="shared" ca="1" si="30"/>
        <v>0</v>
      </c>
      <c r="Z26" s="351"/>
      <c r="AA26" s="335">
        <f t="shared" ca="1" si="31"/>
        <v>0</v>
      </c>
      <c r="AB26" s="351"/>
      <c r="AC26" s="335">
        <f t="shared" ca="1" si="32"/>
        <v>0</v>
      </c>
      <c r="AD26" s="351"/>
      <c r="AE26" s="335">
        <f t="shared" ca="1" si="33"/>
        <v>0</v>
      </c>
      <c r="AF26" s="351"/>
      <c r="AG26" s="335">
        <f t="shared" ca="1" si="34"/>
        <v>0</v>
      </c>
      <c r="AH26" s="351"/>
      <c r="AI26" s="335">
        <f t="shared" ca="1" si="35"/>
        <v>0</v>
      </c>
      <c r="AJ26" s="351"/>
      <c r="AK26" s="335">
        <f t="shared" ca="1" si="36"/>
        <v>0</v>
      </c>
      <c r="AL26" s="351"/>
      <c r="AM26" s="335">
        <f t="shared" ca="1" si="37"/>
        <v>0</v>
      </c>
      <c r="AN26" s="351">
        <f t="shared" si="18"/>
        <v>0</v>
      </c>
      <c r="AO26" s="335">
        <f t="shared" ca="1" si="38"/>
        <v>0</v>
      </c>
    </row>
    <row r="27" spans="1:41" ht="15" customHeight="1" x14ac:dyDescent="0.25">
      <c r="A27" s="156" t="str">
        <f>PQ!B34</f>
        <v>B.2.6</v>
      </c>
      <c r="B27" s="197" t="str">
        <f>PQ!C34</f>
        <v>Descida d'água de cortes em degraus - DCD 100-50 - areia e brita comerciais</v>
      </c>
      <c r="C27" s="335">
        <f ca="1">RESUMO!N29</f>
        <v>116366.35999999999</v>
      </c>
      <c r="D27" s="351"/>
      <c r="E27" s="335">
        <f t="shared" ca="1" si="20"/>
        <v>0</v>
      </c>
      <c r="F27" s="351"/>
      <c r="G27" s="335">
        <f t="shared" ca="1" si="21"/>
        <v>0</v>
      </c>
      <c r="H27" s="351"/>
      <c r="I27" s="335">
        <f t="shared" ca="1" si="22"/>
        <v>0</v>
      </c>
      <c r="J27" s="351"/>
      <c r="K27" s="335">
        <f t="shared" ca="1" si="23"/>
        <v>0</v>
      </c>
      <c r="L27" s="351"/>
      <c r="M27" s="335">
        <f t="shared" ca="1" si="24"/>
        <v>0</v>
      </c>
      <c r="N27" s="351"/>
      <c r="O27" s="335">
        <f t="shared" ca="1" si="25"/>
        <v>0</v>
      </c>
      <c r="P27" s="351"/>
      <c r="Q27" s="335">
        <f t="shared" ca="1" si="26"/>
        <v>0</v>
      </c>
      <c r="R27" s="351"/>
      <c r="S27" s="335">
        <f t="shared" ca="1" si="27"/>
        <v>0</v>
      </c>
      <c r="T27" s="351"/>
      <c r="U27" s="335">
        <f t="shared" ca="1" si="28"/>
        <v>0</v>
      </c>
      <c r="V27" s="351">
        <v>1</v>
      </c>
      <c r="W27" s="335">
        <f t="shared" ca="1" si="29"/>
        <v>116366.35999999999</v>
      </c>
      <c r="X27" s="351"/>
      <c r="Y27" s="335">
        <f t="shared" ca="1" si="30"/>
        <v>0</v>
      </c>
      <c r="Z27" s="351"/>
      <c r="AA27" s="335">
        <f t="shared" ca="1" si="31"/>
        <v>0</v>
      </c>
      <c r="AB27" s="351"/>
      <c r="AC27" s="335">
        <f t="shared" ca="1" si="32"/>
        <v>0</v>
      </c>
      <c r="AD27" s="351"/>
      <c r="AE27" s="335">
        <f t="shared" ca="1" si="33"/>
        <v>0</v>
      </c>
      <c r="AF27" s="351"/>
      <c r="AG27" s="335">
        <f t="shared" ca="1" si="34"/>
        <v>0</v>
      </c>
      <c r="AH27" s="351"/>
      <c r="AI27" s="335">
        <f t="shared" ca="1" si="35"/>
        <v>0</v>
      </c>
      <c r="AJ27" s="351"/>
      <c r="AK27" s="335">
        <f t="shared" ca="1" si="36"/>
        <v>0</v>
      </c>
      <c r="AL27" s="351"/>
      <c r="AM27" s="335">
        <f t="shared" ca="1" si="37"/>
        <v>0</v>
      </c>
      <c r="AN27" s="351">
        <f t="shared" si="18"/>
        <v>1</v>
      </c>
      <c r="AO27" s="335">
        <f t="shared" ca="1" si="38"/>
        <v>116366.35999999999</v>
      </c>
    </row>
    <row r="28" spans="1:41" ht="15" customHeight="1" x14ac:dyDescent="0.25">
      <c r="A28" s="156" t="str">
        <f>PQ!B35</f>
        <v>B.2.7</v>
      </c>
      <c r="B28" s="197" t="str">
        <f>PQ!C35</f>
        <v>Valeta de proteção de cortes com revestimento de concreto - VPCC 120-30 - escavação mecânica - areia e brita comerciais</v>
      </c>
      <c r="C28" s="335">
        <f ca="1">RESUMO!N30</f>
        <v>214620.43349999996</v>
      </c>
      <c r="D28" s="351"/>
      <c r="E28" s="335">
        <f t="shared" ca="1" si="20"/>
        <v>0</v>
      </c>
      <c r="F28" s="351"/>
      <c r="G28" s="335">
        <f t="shared" ca="1" si="21"/>
        <v>0</v>
      </c>
      <c r="H28" s="351"/>
      <c r="I28" s="335">
        <f t="shared" ca="1" si="22"/>
        <v>0</v>
      </c>
      <c r="J28" s="351"/>
      <c r="K28" s="335">
        <f t="shared" ca="1" si="23"/>
        <v>0</v>
      </c>
      <c r="L28" s="351"/>
      <c r="M28" s="335">
        <f t="shared" ca="1" si="24"/>
        <v>0</v>
      </c>
      <c r="N28" s="351"/>
      <c r="O28" s="335">
        <f t="shared" ca="1" si="25"/>
        <v>0</v>
      </c>
      <c r="P28" s="351"/>
      <c r="Q28" s="335">
        <f t="shared" ca="1" si="26"/>
        <v>0</v>
      </c>
      <c r="R28" s="351"/>
      <c r="S28" s="335">
        <f t="shared" ca="1" si="27"/>
        <v>0</v>
      </c>
      <c r="T28" s="351"/>
      <c r="U28" s="335">
        <f t="shared" ca="1" si="28"/>
        <v>0</v>
      </c>
      <c r="V28" s="351">
        <v>1</v>
      </c>
      <c r="W28" s="335">
        <f t="shared" ca="1" si="29"/>
        <v>214620.43349999996</v>
      </c>
      <c r="X28" s="351"/>
      <c r="Y28" s="335">
        <f t="shared" ca="1" si="30"/>
        <v>0</v>
      </c>
      <c r="Z28" s="351"/>
      <c r="AA28" s="335">
        <f t="shared" ca="1" si="31"/>
        <v>0</v>
      </c>
      <c r="AB28" s="351"/>
      <c r="AC28" s="335">
        <f t="shared" ca="1" si="32"/>
        <v>0</v>
      </c>
      <c r="AD28" s="351"/>
      <c r="AE28" s="335">
        <f t="shared" ca="1" si="33"/>
        <v>0</v>
      </c>
      <c r="AF28" s="351"/>
      <c r="AG28" s="335">
        <f t="shared" ca="1" si="34"/>
        <v>0</v>
      </c>
      <c r="AH28" s="351"/>
      <c r="AI28" s="335">
        <f t="shared" ca="1" si="35"/>
        <v>0</v>
      </c>
      <c r="AJ28" s="351"/>
      <c r="AK28" s="335">
        <f t="shared" ca="1" si="36"/>
        <v>0</v>
      </c>
      <c r="AL28" s="351"/>
      <c r="AM28" s="335">
        <f t="shared" ca="1" si="37"/>
        <v>0</v>
      </c>
      <c r="AN28" s="351">
        <f t="shared" si="18"/>
        <v>1</v>
      </c>
      <c r="AO28" s="335">
        <f t="shared" ca="1" si="38"/>
        <v>214620.43349999996</v>
      </c>
    </row>
    <row r="29" spans="1:41" ht="15" customHeight="1" x14ac:dyDescent="0.25">
      <c r="A29" s="156" t="str">
        <f>PQ!B36</f>
        <v>B.2.8</v>
      </c>
      <c r="B29" s="197" t="str">
        <f>PQ!C36</f>
        <v>Caixa coletora de sarjeta - CCS 250-120 A - com grelha de concreto - areia e brita comerciais</v>
      </c>
      <c r="C29" s="335">
        <f ca="1">RESUMO!N31</f>
        <v>29887.64</v>
      </c>
      <c r="D29" s="351"/>
      <c r="E29" s="335">
        <f t="shared" ca="1" si="20"/>
        <v>0</v>
      </c>
      <c r="F29" s="351"/>
      <c r="G29" s="335">
        <f t="shared" ca="1" si="21"/>
        <v>0</v>
      </c>
      <c r="H29" s="351"/>
      <c r="I29" s="335">
        <f t="shared" ca="1" si="22"/>
        <v>0</v>
      </c>
      <c r="J29" s="351"/>
      <c r="K29" s="335">
        <f t="shared" ca="1" si="23"/>
        <v>0</v>
      </c>
      <c r="L29" s="351"/>
      <c r="M29" s="335">
        <f t="shared" ca="1" si="24"/>
        <v>0</v>
      </c>
      <c r="N29" s="351"/>
      <c r="O29" s="335">
        <f t="shared" ca="1" si="25"/>
        <v>0</v>
      </c>
      <c r="P29" s="351"/>
      <c r="Q29" s="335">
        <f t="shared" ca="1" si="26"/>
        <v>0</v>
      </c>
      <c r="R29" s="351"/>
      <c r="S29" s="335">
        <f t="shared" ca="1" si="27"/>
        <v>0</v>
      </c>
      <c r="T29" s="351"/>
      <c r="U29" s="335">
        <f t="shared" ca="1" si="28"/>
        <v>0</v>
      </c>
      <c r="V29" s="351">
        <v>1</v>
      </c>
      <c r="W29" s="335">
        <f t="shared" ca="1" si="29"/>
        <v>29887.64</v>
      </c>
      <c r="X29" s="351"/>
      <c r="Y29" s="335">
        <f t="shared" ca="1" si="30"/>
        <v>0</v>
      </c>
      <c r="Z29" s="351"/>
      <c r="AA29" s="335">
        <f t="shared" ca="1" si="31"/>
        <v>0</v>
      </c>
      <c r="AB29" s="351"/>
      <c r="AC29" s="335">
        <f t="shared" ca="1" si="32"/>
        <v>0</v>
      </c>
      <c r="AD29" s="351"/>
      <c r="AE29" s="335">
        <f t="shared" ca="1" si="33"/>
        <v>0</v>
      </c>
      <c r="AF29" s="351"/>
      <c r="AG29" s="335">
        <f t="shared" ca="1" si="34"/>
        <v>0</v>
      </c>
      <c r="AH29" s="351"/>
      <c r="AI29" s="335">
        <f t="shared" ca="1" si="35"/>
        <v>0</v>
      </c>
      <c r="AJ29" s="351"/>
      <c r="AK29" s="335">
        <f t="shared" ca="1" si="36"/>
        <v>0</v>
      </c>
      <c r="AL29" s="351"/>
      <c r="AM29" s="335">
        <f t="shared" ca="1" si="37"/>
        <v>0</v>
      </c>
      <c r="AN29" s="351">
        <f t="shared" si="18"/>
        <v>1</v>
      </c>
      <c r="AO29" s="335">
        <f t="shared" ca="1" si="38"/>
        <v>29887.64</v>
      </c>
    </row>
    <row r="30" spans="1:41" ht="15" customHeight="1" x14ac:dyDescent="0.25">
      <c r="A30" s="156" t="str">
        <f>PQ!B37</f>
        <v>B.2.9</v>
      </c>
      <c r="B30" s="197" t="str">
        <f>PQ!C37</f>
        <v>Sarjeta triangular de concreto - STC 88-20 - escavação mecânica - areia e brita comerciais</v>
      </c>
      <c r="C30" s="335">
        <f ca="1">RESUMO!N32</f>
        <v>11215.460000000001</v>
      </c>
      <c r="D30" s="351"/>
      <c r="E30" s="335">
        <f t="shared" ca="1" si="20"/>
        <v>0</v>
      </c>
      <c r="F30" s="351"/>
      <c r="G30" s="335">
        <f t="shared" ca="1" si="21"/>
        <v>0</v>
      </c>
      <c r="H30" s="351"/>
      <c r="I30" s="335">
        <f t="shared" ca="1" si="22"/>
        <v>0</v>
      </c>
      <c r="J30" s="351"/>
      <c r="K30" s="335">
        <f t="shared" ca="1" si="23"/>
        <v>0</v>
      </c>
      <c r="L30" s="351"/>
      <c r="M30" s="335">
        <f t="shared" ca="1" si="24"/>
        <v>0</v>
      </c>
      <c r="N30" s="351"/>
      <c r="O30" s="335">
        <f t="shared" ca="1" si="25"/>
        <v>0</v>
      </c>
      <c r="P30" s="351"/>
      <c r="Q30" s="335">
        <f t="shared" ca="1" si="26"/>
        <v>0</v>
      </c>
      <c r="R30" s="351"/>
      <c r="S30" s="335">
        <f t="shared" ca="1" si="27"/>
        <v>0</v>
      </c>
      <c r="T30" s="351"/>
      <c r="U30" s="335">
        <f t="shared" ca="1" si="28"/>
        <v>0</v>
      </c>
      <c r="V30" s="351">
        <v>1</v>
      </c>
      <c r="W30" s="335">
        <f t="shared" ca="1" si="29"/>
        <v>11215.460000000001</v>
      </c>
      <c r="X30" s="351"/>
      <c r="Y30" s="335">
        <f t="shared" ca="1" si="30"/>
        <v>0</v>
      </c>
      <c r="Z30" s="351"/>
      <c r="AA30" s="335">
        <f t="shared" ca="1" si="31"/>
        <v>0</v>
      </c>
      <c r="AB30" s="351"/>
      <c r="AC30" s="335">
        <f t="shared" ca="1" si="32"/>
        <v>0</v>
      </c>
      <c r="AD30" s="351"/>
      <c r="AE30" s="335">
        <f t="shared" ca="1" si="33"/>
        <v>0</v>
      </c>
      <c r="AF30" s="351"/>
      <c r="AG30" s="335">
        <f t="shared" ca="1" si="34"/>
        <v>0</v>
      </c>
      <c r="AH30" s="351"/>
      <c r="AI30" s="335">
        <f t="shared" ca="1" si="35"/>
        <v>0</v>
      </c>
      <c r="AJ30" s="351"/>
      <c r="AK30" s="335">
        <f t="shared" ca="1" si="36"/>
        <v>0</v>
      </c>
      <c r="AL30" s="351"/>
      <c r="AM30" s="335">
        <f t="shared" ca="1" si="37"/>
        <v>0</v>
      </c>
      <c r="AN30" s="351">
        <f t="shared" si="18"/>
        <v>1</v>
      </c>
      <c r="AO30" s="335">
        <f t="shared" ca="1" si="38"/>
        <v>11215.460000000001</v>
      </c>
    </row>
    <row r="31" spans="1:41" s="345" customFormat="1" ht="15" customHeight="1" x14ac:dyDescent="0.25">
      <c r="A31" s="62" t="str">
        <f>PQ!B38</f>
        <v>B.3</v>
      </c>
      <c r="B31" s="199" t="str">
        <f>PQ!C38</f>
        <v>Revestimento Vegetal</v>
      </c>
      <c r="C31" s="337">
        <f ca="1">RESUMO!N33</f>
        <v>621222.57022226008</v>
      </c>
      <c r="D31" s="353"/>
      <c r="E31" s="337">
        <f ca="1">SUBTOTAL(9,E32:E33)</f>
        <v>0</v>
      </c>
      <c r="F31" s="353"/>
      <c r="G31" s="337">
        <f ca="1">SUBTOTAL(9,G32:G33)</f>
        <v>0</v>
      </c>
      <c r="H31" s="353"/>
      <c r="I31" s="337">
        <f ca="1">SUBTOTAL(9,I32:I33)</f>
        <v>0</v>
      </c>
      <c r="J31" s="353"/>
      <c r="K31" s="337">
        <f ca="1">SUBTOTAL(9,K32:K33)</f>
        <v>0</v>
      </c>
      <c r="L31" s="353"/>
      <c r="M31" s="337">
        <f ca="1">SUBTOTAL(9,M32:M33)</f>
        <v>0</v>
      </c>
      <c r="N31" s="353"/>
      <c r="O31" s="337">
        <f ca="1">SUBTOTAL(9,O32:O33)</f>
        <v>0</v>
      </c>
      <c r="P31" s="353"/>
      <c r="Q31" s="337">
        <f ca="1">SUBTOTAL(9,Q32:Q33)</f>
        <v>0</v>
      </c>
      <c r="R31" s="353"/>
      <c r="S31" s="337">
        <f ca="1">SUBTOTAL(9,S32:S33)</f>
        <v>0</v>
      </c>
      <c r="T31" s="353"/>
      <c r="U31" s="337">
        <f ca="1">SUBTOTAL(9,U32:U33)</f>
        <v>0</v>
      </c>
      <c r="V31" s="353"/>
      <c r="W31" s="337">
        <f ca="1">SUBTOTAL(9,W32:W33)</f>
        <v>621222.57022226008</v>
      </c>
      <c r="X31" s="353"/>
      <c r="Y31" s="337">
        <f ca="1">SUBTOTAL(9,Y32:Y33)</f>
        <v>0</v>
      </c>
      <c r="Z31" s="353"/>
      <c r="AA31" s="337">
        <f ca="1">SUBTOTAL(9,AA32:AA33)</f>
        <v>0</v>
      </c>
      <c r="AB31" s="353"/>
      <c r="AC31" s="337">
        <f ca="1">SUBTOTAL(9,AC32:AC33)</f>
        <v>0</v>
      </c>
      <c r="AD31" s="353"/>
      <c r="AE31" s="337">
        <f ca="1">SUBTOTAL(9,AE32:AE33)</f>
        <v>0</v>
      </c>
      <c r="AF31" s="353"/>
      <c r="AG31" s="337">
        <f ca="1">SUBTOTAL(9,AG32:AG33)</f>
        <v>0</v>
      </c>
      <c r="AH31" s="353"/>
      <c r="AI31" s="337">
        <f ca="1">SUBTOTAL(9,AI32:AI33)</f>
        <v>0</v>
      </c>
      <c r="AJ31" s="353"/>
      <c r="AK31" s="337">
        <f ca="1">SUBTOTAL(9,AK32:AK33)</f>
        <v>0</v>
      </c>
      <c r="AL31" s="353"/>
      <c r="AM31" s="337">
        <f ca="1">SUBTOTAL(9,AM32:AM33)</f>
        <v>0</v>
      </c>
      <c r="AN31" s="353"/>
      <c r="AO31" s="337">
        <f ca="1">SUBTOTAL(9,AO32:AO33)</f>
        <v>621222.57022226008</v>
      </c>
    </row>
    <row r="32" spans="1:41" ht="15" customHeight="1" x14ac:dyDescent="0.25">
      <c r="A32" s="296" t="str">
        <f>PQ!B39</f>
        <v>B.3.1</v>
      </c>
      <c r="B32" s="297" t="str">
        <f>PQ!C39</f>
        <v>Proteção Vegetal (Hidrossemeadura + Biomanta)</v>
      </c>
      <c r="C32" s="339">
        <f ca="1">RESUMO!N34</f>
        <v>574843.77022226003</v>
      </c>
      <c r="D32" s="355"/>
      <c r="E32" s="339">
        <f ca="1">$C32*D32</f>
        <v>0</v>
      </c>
      <c r="F32" s="355"/>
      <c r="G32" s="339">
        <f ca="1">$C32*F32</f>
        <v>0</v>
      </c>
      <c r="H32" s="355"/>
      <c r="I32" s="339">
        <f ca="1">$C32*H32</f>
        <v>0</v>
      </c>
      <c r="J32" s="355"/>
      <c r="K32" s="339">
        <f ca="1">$C32*J32</f>
        <v>0</v>
      </c>
      <c r="L32" s="355"/>
      <c r="M32" s="339">
        <f ca="1">$C32*L32</f>
        <v>0</v>
      </c>
      <c r="N32" s="355"/>
      <c r="O32" s="339">
        <f ca="1">$C32*N32</f>
        <v>0</v>
      </c>
      <c r="P32" s="355"/>
      <c r="Q32" s="339">
        <f ca="1">$C32*P32</f>
        <v>0</v>
      </c>
      <c r="R32" s="355"/>
      <c r="S32" s="339">
        <f ca="1">$C32*R32</f>
        <v>0</v>
      </c>
      <c r="T32" s="355"/>
      <c r="U32" s="339">
        <f ca="1">$C32*T32</f>
        <v>0</v>
      </c>
      <c r="V32" s="355">
        <v>1</v>
      </c>
      <c r="W32" s="339">
        <f ca="1">$C32*V32</f>
        <v>574843.77022226003</v>
      </c>
      <c r="X32" s="355"/>
      <c r="Y32" s="339">
        <f ca="1">$C32*X32</f>
        <v>0</v>
      </c>
      <c r="Z32" s="355"/>
      <c r="AA32" s="339">
        <f ca="1">$C32*Z32</f>
        <v>0</v>
      </c>
      <c r="AB32" s="355"/>
      <c r="AC32" s="339">
        <f ca="1">$C32*AB32</f>
        <v>0</v>
      </c>
      <c r="AD32" s="355"/>
      <c r="AE32" s="339">
        <f ca="1">$C32*AD32</f>
        <v>0</v>
      </c>
      <c r="AF32" s="355"/>
      <c r="AG32" s="339">
        <f ca="1">$C32*AF32</f>
        <v>0</v>
      </c>
      <c r="AH32" s="355"/>
      <c r="AI32" s="339">
        <f ca="1">$C32*AH32</f>
        <v>0</v>
      </c>
      <c r="AJ32" s="355"/>
      <c r="AK32" s="339">
        <f ca="1">$C32*AJ32</f>
        <v>0</v>
      </c>
      <c r="AL32" s="355"/>
      <c r="AM32" s="339">
        <f ca="1">$C32*AL32</f>
        <v>0</v>
      </c>
      <c r="AN32" s="355">
        <f t="shared" si="18"/>
        <v>1</v>
      </c>
      <c r="AO32" s="339">
        <f ca="1">$C32*AN32</f>
        <v>574843.77022226003</v>
      </c>
    </row>
    <row r="33" spans="1:41" ht="15" customHeight="1" x14ac:dyDescent="0.25">
      <c r="A33" s="300" t="str">
        <f>PQ!B40</f>
        <v>B.3.2</v>
      </c>
      <c r="B33" s="301" t="str">
        <f>PQ!C40</f>
        <v>Cerca com 4 fios de arame farpado e mourão de concreto de seção quadrada de 11 cm a cada 2,5 m e esticador de 15 cm a cada 50 m - areia e brita comerciais</v>
      </c>
      <c r="C33" s="340">
        <f ca="1">RESUMO!N35</f>
        <v>46378.799999999996</v>
      </c>
      <c r="D33" s="356"/>
      <c r="E33" s="340">
        <f ca="1">$C33*D33</f>
        <v>0</v>
      </c>
      <c r="F33" s="356"/>
      <c r="G33" s="340">
        <f ca="1">$C33*F33</f>
        <v>0</v>
      </c>
      <c r="H33" s="356"/>
      <c r="I33" s="340">
        <f ca="1">$C33*H33</f>
        <v>0</v>
      </c>
      <c r="J33" s="356"/>
      <c r="K33" s="340">
        <f ca="1">$C33*J33</f>
        <v>0</v>
      </c>
      <c r="L33" s="356"/>
      <c r="M33" s="340">
        <f ca="1">$C33*L33</f>
        <v>0</v>
      </c>
      <c r="N33" s="356"/>
      <c r="O33" s="340">
        <f ca="1">$C33*N33</f>
        <v>0</v>
      </c>
      <c r="P33" s="356"/>
      <c r="Q33" s="340">
        <f ca="1">$C33*P33</f>
        <v>0</v>
      </c>
      <c r="R33" s="356"/>
      <c r="S33" s="340">
        <f ca="1">$C33*R33</f>
        <v>0</v>
      </c>
      <c r="T33" s="356"/>
      <c r="U33" s="340">
        <f ca="1">$C33*T33</f>
        <v>0</v>
      </c>
      <c r="V33" s="356">
        <v>1</v>
      </c>
      <c r="W33" s="340">
        <f ca="1">$C33*V33</f>
        <v>46378.799999999996</v>
      </c>
      <c r="X33" s="356"/>
      <c r="Y33" s="340">
        <f ca="1">$C33*X33</f>
        <v>0</v>
      </c>
      <c r="Z33" s="356"/>
      <c r="AA33" s="340">
        <f ca="1">$C33*Z33</f>
        <v>0</v>
      </c>
      <c r="AB33" s="356"/>
      <c r="AC33" s="340">
        <f ca="1">$C33*AB33</f>
        <v>0</v>
      </c>
      <c r="AD33" s="356"/>
      <c r="AE33" s="340">
        <f ca="1">$C33*AD33</f>
        <v>0</v>
      </c>
      <c r="AF33" s="356"/>
      <c r="AG33" s="340">
        <f ca="1">$C33*AF33</f>
        <v>0</v>
      </c>
      <c r="AH33" s="356"/>
      <c r="AI33" s="340">
        <f ca="1">$C33*AH33</f>
        <v>0</v>
      </c>
      <c r="AJ33" s="356"/>
      <c r="AK33" s="340">
        <f ca="1">$C33*AJ33</f>
        <v>0</v>
      </c>
      <c r="AL33" s="356"/>
      <c r="AM33" s="340">
        <f ca="1">$C33*AL33</f>
        <v>0</v>
      </c>
      <c r="AN33" s="356">
        <f t="shared" si="18"/>
        <v>1</v>
      </c>
      <c r="AO33" s="340">
        <f ca="1">$C33*AN33</f>
        <v>46378.799999999996</v>
      </c>
    </row>
    <row r="34" spans="1:41" s="344" customFormat="1" ht="15" customHeight="1" x14ac:dyDescent="0.25">
      <c r="A34" s="58" t="str">
        <f>PQ!B41</f>
        <v>C.</v>
      </c>
      <c r="B34" s="198" t="str">
        <f>PQ!C41</f>
        <v>Implantação de Desvio 1 - Km 303+450 - Leste</v>
      </c>
      <c r="C34" s="336">
        <f ca="1">RESUMO!N36</f>
        <v>26511.599999999995</v>
      </c>
      <c r="D34" s="352"/>
      <c r="E34" s="336">
        <f ca="1">SUBTOTAL(9,E35:E60)</f>
        <v>0</v>
      </c>
      <c r="F34" s="352"/>
      <c r="G34" s="336">
        <f ca="1">SUBTOTAL(9,G35:G60)</f>
        <v>0</v>
      </c>
      <c r="H34" s="352"/>
      <c r="I34" s="336">
        <f ca="1">SUBTOTAL(9,I35:I60)</f>
        <v>0</v>
      </c>
      <c r="J34" s="352"/>
      <c r="K34" s="336">
        <f ca="1">SUBTOTAL(9,K35:K60)</f>
        <v>0</v>
      </c>
      <c r="L34" s="352"/>
      <c r="M34" s="336">
        <f ca="1">SUBTOTAL(9,M35:M60)</f>
        <v>0</v>
      </c>
      <c r="N34" s="352"/>
      <c r="O34" s="336">
        <f ca="1">SUBTOTAL(9,O35:O60)</f>
        <v>0</v>
      </c>
      <c r="P34" s="352"/>
      <c r="Q34" s="336">
        <f ca="1">SUBTOTAL(9,Q35:Q60)</f>
        <v>0</v>
      </c>
      <c r="R34" s="352"/>
      <c r="S34" s="336">
        <f ca="1">SUBTOTAL(9,S35:S60)</f>
        <v>0</v>
      </c>
      <c r="T34" s="352"/>
      <c r="U34" s="336">
        <f ca="1">SUBTOTAL(9,U35:U60)</f>
        <v>0</v>
      </c>
      <c r="V34" s="352"/>
      <c r="W34" s="336">
        <f ca="1">SUBTOTAL(9,W35:W60)</f>
        <v>26511.599999999995</v>
      </c>
      <c r="X34" s="352"/>
      <c r="Y34" s="336">
        <f ca="1">SUBTOTAL(9,Y35:Y60)</f>
        <v>0</v>
      </c>
      <c r="Z34" s="352"/>
      <c r="AA34" s="336">
        <f ca="1">SUBTOTAL(9,AA35:AA60)</f>
        <v>0</v>
      </c>
      <c r="AB34" s="352"/>
      <c r="AC34" s="336">
        <f ca="1">SUBTOTAL(9,AC35:AC60)</f>
        <v>0</v>
      </c>
      <c r="AD34" s="352"/>
      <c r="AE34" s="336">
        <f ca="1">SUBTOTAL(9,AE35:AE60)</f>
        <v>0</v>
      </c>
      <c r="AF34" s="352"/>
      <c r="AG34" s="336">
        <f ca="1">SUBTOTAL(9,AG35:AG60)</f>
        <v>0</v>
      </c>
      <c r="AH34" s="352"/>
      <c r="AI34" s="336">
        <f ca="1">SUBTOTAL(9,AI35:AI60)</f>
        <v>0</v>
      </c>
      <c r="AJ34" s="352"/>
      <c r="AK34" s="336">
        <f ca="1">SUBTOTAL(9,AK35:AK60)</f>
        <v>0</v>
      </c>
      <c r="AL34" s="352"/>
      <c r="AM34" s="336">
        <f ca="1">SUBTOTAL(9,AM35:AM60)</f>
        <v>0</v>
      </c>
      <c r="AN34" s="352"/>
      <c r="AO34" s="336">
        <f ca="1">SUBTOTAL(9,AO35:AO60)</f>
        <v>26511.599999999995</v>
      </c>
    </row>
    <row r="35" spans="1:41" s="345" customFormat="1" ht="15" customHeight="1" x14ac:dyDescent="0.25">
      <c r="A35" s="62" t="str">
        <f>PQ!B42</f>
        <v>C.1</v>
      </c>
      <c r="B35" s="199" t="str">
        <f>PQ!C42</f>
        <v>Terraplenagem</v>
      </c>
      <c r="C35" s="337">
        <f ca="1">RESUMO!N37</f>
        <v>0</v>
      </c>
      <c r="D35" s="353"/>
      <c r="E35" s="337">
        <f ca="1">SUBTOTAL(9,E36:E40)</f>
        <v>0</v>
      </c>
      <c r="F35" s="353"/>
      <c r="G35" s="337">
        <f ca="1">SUBTOTAL(9,G36:G40)</f>
        <v>0</v>
      </c>
      <c r="H35" s="353"/>
      <c r="I35" s="337">
        <f ca="1">SUBTOTAL(9,I36:I40)</f>
        <v>0</v>
      </c>
      <c r="J35" s="353"/>
      <c r="K35" s="337">
        <f ca="1">SUBTOTAL(9,K36:K40)</f>
        <v>0</v>
      </c>
      <c r="L35" s="353"/>
      <c r="M35" s="337">
        <f ca="1">SUBTOTAL(9,M36:M40)</f>
        <v>0</v>
      </c>
      <c r="N35" s="353"/>
      <c r="O35" s="337">
        <f ca="1">SUBTOTAL(9,O36:O40)</f>
        <v>0</v>
      </c>
      <c r="P35" s="353"/>
      <c r="Q35" s="337">
        <f ca="1">SUBTOTAL(9,Q36:Q40)</f>
        <v>0</v>
      </c>
      <c r="R35" s="353"/>
      <c r="S35" s="337">
        <f ca="1">SUBTOTAL(9,S36:S40)</f>
        <v>0</v>
      </c>
      <c r="T35" s="353"/>
      <c r="U35" s="337">
        <f ca="1">SUBTOTAL(9,U36:U40)</f>
        <v>0</v>
      </c>
      <c r="V35" s="353"/>
      <c r="W35" s="337">
        <f ca="1">SUBTOTAL(9,W36:W40)</f>
        <v>0</v>
      </c>
      <c r="X35" s="353"/>
      <c r="Y35" s="337">
        <f ca="1">SUBTOTAL(9,Y36:Y40)</f>
        <v>0</v>
      </c>
      <c r="Z35" s="353"/>
      <c r="AA35" s="337">
        <f ca="1">SUBTOTAL(9,AA36:AA40)</f>
        <v>0</v>
      </c>
      <c r="AB35" s="353"/>
      <c r="AC35" s="337">
        <f ca="1">SUBTOTAL(9,AC36:AC40)</f>
        <v>0</v>
      </c>
      <c r="AD35" s="353"/>
      <c r="AE35" s="337">
        <f ca="1">SUBTOTAL(9,AE36:AE40)</f>
        <v>0</v>
      </c>
      <c r="AF35" s="353"/>
      <c r="AG35" s="337">
        <f ca="1">SUBTOTAL(9,AG36:AG40)</f>
        <v>0</v>
      </c>
      <c r="AH35" s="353"/>
      <c r="AI35" s="337">
        <f ca="1">SUBTOTAL(9,AI36:AI40)</f>
        <v>0</v>
      </c>
      <c r="AJ35" s="353"/>
      <c r="AK35" s="337">
        <f ca="1">SUBTOTAL(9,AK36:AK40)</f>
        <v>0</v>
      </c>
      <c r="AL35" s="353"/>
      <c r="AM35" s="337">
        <f ca="1">SUBTOTAL(9,AM36:AM40)</f>
        <v>0</v>
      </c>
      <c r="AN35" s="353"/>
      <c r="AO35" s="337">
        <f ca="1">SUBTOTAL(9,AO36:AO40)</f>
        <v>0</v>
      </c>
    </row>
    <row r="36" spans="1:41" ht="15" customHeight="1" x14ac:dyDescent="0.25">
      <c r="A36" s="161" t="str">
        <f>PQ!B43</f>
        <v>C.1.1</v>
      </c>
      <c r="B36" s="195" t="str">
        <f>PQ!C43</f>
        <v>Desmatamento, destocamento, limpeza de área e estocagem do material de limpeza com árvores de diâmetro até 0,15 m</v>
      </c>
      <c r="C36" s="333">
        <f ca="1">RESUMO!N38</f>
        <v>0</v>
      </c>
      <c r="D36" s="349"/>
      <c r="E36" s="333">
        <f ca="1">$C36*D36</f>
        <v>0</v>
      </c>
      <c r="F36" s="349"/>
      <c r="G36" s="333">
        <f ca="1">$C36*F36</f>
        <v>0</v>
      </c>
      <c r="H36" s="349"/>
      <c r="I36" s="333">
        <f ca="1">$C36*H36</f>
        <v>0</v>
      </c>
      <c r="J36" s="349"/>
      <c r="K36" s="333">
        <f ca="1">$C36*J36</f>
        <v>0</v>
      </c>
      <c r="L36" s="349"/>
      <c r="M36" s="333">
        <f ca="1">$C36*L36</f>
        <v>0</v>
      </c>
      <c r="N36" s="349"/>
      <c r="O36" s="333">
        <f ca="1">$C36*N36</f>
        <v>0</v>
      </c>
      <c r="P36" s="349"/>
      <c r="Q36" s="333">
        <f ca="1">$C36*P36</f>
        <v>0</v>
      </c>
      <c r="R36" s="349"/>
      <c r="S36" s="333">
        <f ca="1">$C36*R36</f>
        <v>0</v>
      </c>
      <c r="T36" s="349"/>
      <c r="U36" s="333">
        <f ca="1">$C36*T36</f>
        <v>0</v>
      </c>
      <c r="V36" s="349"/>
      <c r="W36" s="333">
        <f ca="1">$C36*V36</f>
        <v>0</v>
      </c>
      <c r="X36" s="349"/>
      <c r="Y36" s="333">
        <f ca="1">$C36*X36</f>
        <v>0</v>
      </c>
      <c r="Z36" s="349"/>
      <c r="AA36" s="333">
        <f ca="1">$C36*Z36</f>
        <v>0</v>
      </c>
      <c r="AB36" s="349"/>
      <c r="AC36" s="333">
        <f ca="1">$C36*AB36</f>
        <v>0</v>
      </c>
      <c r="AD36" s="349"/>
      <c r="AE36" s="333">
        <f ca="1">$C36*AD36</f>
        <v>0</v>
      </c>
      <c r="AF36" s="349"/>
      <c r="AG36" s="333">
        <f ca="1">$C36*AF36</f>
        <v>0</v>
      </c>
      <c r="AH36" s="349"/>
      <c r="AI36" s="333">
        <f ca="1">$C36*AH36</f>
        <v>0</v>
      </c>
      <c r="AJ36" s="349"/>
      <c r="AK36" s="333">
        <f ca="1">$C36*AJ36</f>
        <v>0</v>
      </c>
      <c r="AL36" s="349"/>
      <c r="AM36" s="333">
        <f ca="1">$C36*AL36</f>
        <v>0</v>
      </c>
      <c r="AN36" s="349">
        <f t="shared" ref="AN36:AN40" si="39">SUM(D36,F36,H36,J36,L36,N36,P36,R36,T36,V36,X36,Z36,AB36,AD36,AF36,AH36,AJ36,AL36)</f>
        <v>0</v>
      </c>
      <c r="AO36" s="333">
        <f ca="1">$C36*AN36</f>
        <v>0</v>
      </c>
    </row>
    <row r="37" spans="1:41" ht="15" customHeight="1" x14ac:dyDescent="0.25">
      <c r="A37" s="156" t="str">
        <f>PQ!B44</f>
        <v>C.1.2</v>
      </c>
      <c r="B37" s="196" t="str">
        <f>PQ!C44</f>
        <v>Transporte com caminhão basculante de 14 m³ - rodovia pavimentada</v>
      </c>
      <c r="C37" s="334">
        <f ca="1">RESUMO!N39</f>
        <v>0</v>
      </c>
      <c r="D37" s="350"/>
      <c r="E37" s="334">
        <f ca="1">$C37*D37</f>
        <v>0</v>
      </c>
      <c r="F37" s="350"/>
      <c r="G37" s="334">
        <f ca="1">$C37*F37</f>
        <v>0</v>
      </c>
      <c r="H37" s="350"/>
      <c r="I37" s="334">
        <f ca="1">$C37*H37</f>
        <v>0</v>
      </c>
      <c r="J37" s="350"/>
      <c r="K37" s="334">
        <f ca="1">$C37*J37</f>
        <v>0</v>
      </c>
      <c r="L37" s="350"/>
      <c r="M37" s="334">
        <f ca="1">$C37*L37</f>
        <v>0</v>
      </c>
      <c r="N37" s="350"/>
      <c r="O37" s="334">
        <f ca="1">$C37*N37</f>
        <v>0</v>
      </c>
      <c r="P37" s="350"/>
      <c r="Q37" s="334">
        <f ca="1">$C37*P37</f>
        <v>0</v>
      </c>
      <c r="R37" s="350"/>
      <c r="S37" s="334">
        <f ca="1">$C37*R37</f>
        <v>0</v>
      </c>
      <c r="T37" s="350"/>
      <c r="U37" s="334">
        <f ca="1">$C37*T37</f>
        <v>0</v>
      </c>
      <c r="V37" s="350"/>
      <c r="W37" s="334">
        <f ca="1">$C37*V37</f>
        <v>0</v>
      </c>
      <c r="X37" s="350"/>
      <c r="Y37" s="334">
        <f ca="1">$C37*X37</f>
        <v>0</v>
      </c>
      <c r="Z37" s="350"/>
      <c r="AA37" s="334">
        <f ca="1">$C37*Z37</f>
        <v>0</v>
      </c>
      <c r="AB37" s="350"/>
      <c r="AC37" s="334">
        <f ca="1">$C37*AB37</f>
        <v>0</v>
      </c>
      <c r="AD37" s="350"/>
      <c r="AE37" s="334">
        <f ca="1">$C37*AD37</f>
        <v>0</v>
      </c>
      <c r="AF37" s="350"/>
      <c r="AG37" s="334">
        <f ca="1">$C37*AF37</f>
        <v>0</v>
      </c>
      <c r="AH37" s="350"/>
      <c r="AI37" s="334">
        <f ca="1">$C37*AH37</f>
        <v>0</v>
      </c>
      <c r="AJ37" s="350"/>
      <c r="AK37" s="334">
        <f ca="1">$C37*AJ37</f>
        <v>0</v>
      </c>
      <c r="AL37" s="350"/>
      <c r="AM37" s="334">
        <f ca="1">$C37*AL37</f>
        <v>0</v>
      </c>
      <c r="AN37" s="350">
        <f t="shared" si="39"/>
        <v>0</v>
      </c>
      <c r="AO37" s="334">
        <f ca="1">$C37*AN37</f>
        <v>0</v>
      </c>
    </row>
    <row r="38" spans="1:41" ht="15" customHeight="1" x14ac:dyDescent="0.25">
      <c r="A38" s="161" t="str">
        <f>PQ!B45</f>
        <v>C.1.3</v>
      </c>
      <c r="B38" s="196" t="str">
        <f>PQ!C45</f>
        <v>Escavação, carga e transporte de material de 1ª categoria - DMT de 1.000 a 1.200 m -  com escavadeira e caminhão basculante de 14 m³</v>
      </c>
      <c r="C38" s="334">
        <f ca="1">RESUMO!N40</f>
        <v>0</v>
      </c>
      <c r="D38" s="350"/>
      <c r="E38" s="334">
        <f ca="1">$C38*D38</f>
        <v>0</v>
      </c>
      <c r="F38" s="350"/>
      <c r="G38" s="334">
        <f ca="1">$C38*F38</f>
        <v>0</v>
      </c>
      <c r="H38" s="350"/>
      <c r="I38" s="334">
        <f ca="1">$C38*H38</f>
        <v>0</v>
      </c>
      <c r="J38" s="350"/>
      <c r="K38" s="334">
        <f ca="1">$C38*J38</f>
        <v>0</v>
      </c>
      <c r="L38" s="350"/>
      <c r="M38" s="334">
        <f ca="1">$C38*L38</f>
        <v>0</v>
      </c>
      <c r="N38" s="350"/>
      <c r="O38" s="334">
        <f ca="1">$C38*N38</f>
        <v>0</v>
      </c>
      <c r="P38" s="350"/>
      <c r="Q38" s="334">
        <f ca="1">$C38*P38</f>
        <v>0</v>
      </c>
      <c r="R38" s="350"/>
      <c r="S38" s="334">
        <f ca="1">$C38*R38</f>
        <v>0</v>
      </c>
      <c r="T38" s="350"/>
      <c r="U38" s="334">
        <f ca="1">$C38*T38</f>
        <v>0</v>
      </c>
      <c r="V38" s="350"/>
      <c r="W38" s="334">
        <f ca="1">$C38*V38</f>
        <v>0</v>
      </c>
      <c r="X38" s="350"/>
      <c r="Y38" s="334">
        <f ca="1">$C38*X38</f>
        <v>0</v>
      </c>
      <c r="Z38" s="350"/>
      <c r="AA38" s="334">
        <f ca="1">$C38*Z38</f>
        <v>0</v>
      </c>
      <c r="AB38" s="350"/>
      <c r="AC38" s="334">
        <f ca="1">$C38*AB38</f>
        <v>0</v>
      </c>
      <c r="AD38" s="350"/>
      <c r="AE38" s="334">
        <f ca="1">$C38*AD38</f>
        <v>0</v>
      </c>
      <c r="AF38" s="350"/>
      <c r="AG38" s="334">
        <f ca="1">$C38*AF38</f>
        <v>0</v>
      </c>
      <c r="AH38" s="350"/>
      <c r="AI38" s="334">
        <f ca="1">$C38*AH38</f>
        <v>0</v>
      </c>
      <c r="AJ38" s="350"/>
      <c r="AK38" s="334">
        <f ca="1">$C38*AJ38</f>
        <v>0</v>
      </c>
      <c r="AL38" s="350"/>
      <c r="AM38" s="334">
        <f ca="1">$C38*AL38</f>
        <v>0</v>
      </c>
      <c r="AN38" s="350">
        <f t="shared" si="39"/>
        <v>0</v>
      </c>
      <c r="AO38" s="334">
        <f ca="1">$C38*AN38</f>
        <v>0</v>
      </c>
    </row>
    <row r="39" spans="1:41" ht="15" customHeight="1" x14ac:dyDescent="0.25">
      <c r="A39" s="156" t="str">
        <f>PQ!B46</f>
        <v>C.1.4</v>
      </c>
      <c r="B39" s="197" t="str">
        <f>PQ!C46</f>
        <v>Regularização de bota-fora com espalhamento e execução de hidrossemeadura</v>
      </c>
      <c r="C39" s="335">
        <f ca="1">RESUMO!N41</f>
        <v>0</v>
      </c>
      <c r="D39" s="351"/>
      <c r="E39" s="335">
        <f ca="1">$C39*D39</f>
        <v>0</v>
      </c>
      <c r="F39" s="351"/>
      <c r="G39" s="335">
        <f ca="1">$C39*F39</f>
        <v>0</v>
      </c>
      <c r="H39" s="351"/>
      <c r="I39" s="335">
        <f ca="1">$C39*H39</f>
        <v>0</v>
      </c>
      <c r="J39" s="351"/>
      <c r="K39" s="335">
        <f ca="1">$C39*J39</f>
        <v>0</v>
      </c>
      <c r="L39" s="351"/>
      <c r="M39" s="335">
        <f ca="1">$C39*L39</f>
        <v>0</v>
      </c>
      <c r="N39" s="351"/>
      <c r="O39" s="335">
        <f ca="1">$C39*N39</f>
        <v>0</v>
      </c>
      <c r="P39" s="351"/>
      <c r="Q39" s="335">
        <f ca="1">$C39*P39</f>
        <v>0</v>
      </c>
      <c r="R39" s="351"/>
      <c r="S39" s="335">
        <f ca="1">$C39*R39</f>
        <v>0</v>
      </c>
      <c r="T39" s="351"/>
      <c r="U39" s="335">
        <f ca="1">$C39*T39</f>
        <v>0</v>
      </c>
      <c r="V39" s="351"/>
      <c r="W39" s="335">
        <f ca="1">$C39*V39</f>
        <v>0</v>
      </c>
      <c r="X39" s="351"/>
      <c r="Y39" s="335">
        <f ca="1">$C39*X39</f>
        <v>0</v>
      </c>
      <c r="Z39" s="351"/>
      <c r="AA39" s="335">
        <f ca="1">$C39*Z39</f>
        <v>0</v>
      </c>
      <c r="AB39" s="351"/>
      <c r="AC39" s="335">
        <f ca="1">$C39*AB39</f>
        <v>0</v>
      </c>
      <c r="AD39" s="351"/>
      <c r="AE39" s="335">
        <f ca="1">$C39*AD39</f>
        <v>0</v>
      </c>
      <c r="AF39" s="351"/>
      <c r="AG39" s="335">
        <f ca="1">$C39*AF39</f>
        <v>0</v>
      </c>
      <c r="AH39" s="351"/>
      <c r="AI39" s="335">
        <f ca="1">$C39*AH39</f>
        <v>0</v>
      </c>
      <c r="AJ39" s="351"/>
      <c r="AK39" s="335">
        <f ca="1">$C39*AJ39</f>
        <v>0</v>
      </c>
      <c r="AL39" s="351"/>
      <c r="AM39" s="335">
        <f ca="1">$C39*AL39</f>
        <v>0</v>
      </c>
      <c r="AN39" s="351">
        <f t="shared" si="39"/>
        <v>0</v>
      </c>
      <c r="AO39" s="335">
        <f ca="1">$C39*AN39</f>
        <v>0</v>
      </c>
    </row>
    <row r="40" spans="1:41" ht="15" customHeight="1" x14ac:dyDescent="0.25">
      <c r="A40" s="161" t="str">
        <f>PQ!B47</f>
        <v>C.1.5</v>
      </c>
      <c r="B40" s="197" t="str">
        <f>PQ!C47</f>
        <v>Regularização de bota-fora</v>
      </c>
      <c r="C40" s="335">
        <f ca="1">RESUMO!N42</f>
        <v>0</v>
      </c>
      <c r="D40" s="351"/>
      <c r="E40" s="335">
        <f ca="1">$C40*D40</f>
        <v>0</v>
      </c>
      <c r="F40" s="351"/>
      <c r="G40" s="335">
        <f ca="1">$C40*F40</f>
        <v>0</v>
      </c>
      <c r="H40" s="351"/>
      <c r="I40" s="335">
        <f ca="1">$C40*H40</f>
        <v>0</v>
      </c>
      <c r="J40" s="351"/>
      <c r="K40" s="335">
        <f ca="1">$C40*J40</f>
        <v>0</v>
      </c>
      <c r="L40" s="351"/>
      <c r="M40" s="335">
        <f ca="1">$C40*L40</f>
        <v>0</v>
      </c>
      <c r="N40" s="351"/>
      <c r="O40" s="335">
        <f ca="1">$C40*N40</f>
        <v>0</v>
      </c>
      <c r="P40" s="351"/>
      <c r="Q40" s="335">
        <f ca="1">$C40*P40</f>
        <v>0</v>
      </c>
      <c r="R40" s="351"/>
      <c r="S40" s="335">
        <f ca="1">$C40*R40</f>
        <v>0</v>
      </c>
      <c r="T40" s="351"/>
      <c r="U40" s="335">
        <f ca="1">$C40*T40</f>
        <v>0</v>
      </c>
      <c r="V40" s="351"/>
      <c r="W40" s="335">
        <f ca="1">$C40*V40</f>
        <v>0</v>
      </c>
      <c r="X40" s="351"/>
      <c r="Y40" s="335">
        <f ca="1">$C40*X40</f>
        <v>0</v>
      </c>
      <c r="Z40" s="351"/>
      <c r="AA40" s="335">
        <f ca="1">$C40*Z40</f>
        <v>0</v>
      </c>
      <c r="AB40" s="351"/>
      <c r="AC40" s="335">
        <f ca="1">$C40*AB40</f>
        <v>0</v>
      </c>
      <c r="AD40" s="351"/>
      <c r="AE40" s="335">
        <f ca="1">$C40*AD40</f>
        <v>0</v>
      </c>
      <c r="AF40" s="351"/>
      <c r="AG40" s="335">
        <f ca="1">$C40*AF40</f>
        <v>0</v>
      </c>
      <c r="AH40" s="351"/>
      <c r="AI40" s="335">
        <f ca="1">$C40*AH40</f>
        <v>0</v>
      </c>
      <c r="AJ40" s="351"/>
      <c r="AK40" s="335">
        <f ca="1">$C40*AJ40</f>
        <v>0</v>
      </c>
      <c r="AL40" s="351"/>
      <c r="AM40" s="335">
        <f ca="1">$C40*AL40</f>
        <v>0</v>
      </c>
      <c r="AN40" s="351">
        <f t="shared" si="39"/>
        <v>0</v>
      </c>
      <c r="AO40" s="335">
        <f ca="1">$C40*AN40</f>
        <v>0</v>
      </c>
    </row>
    <row r="41" spans="1:41" s="345" customFormat="1" ht="15" customHeight="1" x14ac:dyDescent="0.25">
      <c r="A41" s="62" t="str">
        <f>PQ!B48</f>
        <v>C.2</v>
      </c>
      <c r="B41" s="199" t="str">
        <f>PQ!C48</f>
        <v>Pavimentação</v>
      </c>
      <c r="C41" s="337">
        <f ca="1">RESUMO!N43</f>
        <v>0</v>
      </c>
      <c r="D41" s="353"/>
      <c r="E41" s="337">
        <f ca="1">SUBTOTAL(9,E42:E47)</f>
        <v>0</v>
      </c>
      <c r="F41" s="353"/>
      <c r="G41" s="337">
        <f ca="1">SUBTOTAL(9,G42:G47)</f>
        <v>0</v>
      </c>
      <c r="H41" s="353"/>
      <c r="I41" s="337">
        <f ca="1">SUBTOTAL(9,I42:I47)</f>
        <v>0</v>
      </c>
      <c r="J41" s="353"/>
      <c r="K41" s="337">
        <f ca="1">SUBTOTAL(9,K42:K47)</f>
        <v>0</v>
      </c>
      <c r="L41" s="353"/>
      <c r="M41" s="337">
        <f ca="1">SUBTOTAL(9,M42:M47)</f>
        <v>0</v>
      </c>
      <c r="N41" s="353"/>
      <c r="O41" s="337">
        <f ca="1">SUBTOTAL(9,O42:O47)</f>
        <v>0</v>
      </c>
      <c r="P41" s="353"/>
      <c r="Q41" s="337">
        <f ca="1">SUBTOTAL(9,Q42:Q47)</f>
        <v>0</v>
      </c>
      <c r="R41" s="353"/>
      <c r="S41" s="337">
        <f ca="1">SUBTOTAL(9,S42:S47)</f>
        <v>0</v>
      </c>
      <c r="T41" s="353"/>
      <c r="U41" s="337">
        <f ca="1">SUBTOTAL(9,U42:U47)</f>
        <v>0</v>
      </c>
      <c r="V41" s="353"/>
      <c r="W41" s="337">
        <f ca="1">SUBTOTAL(9,W42:W47)</f>
        <v>0</v>
      </c>
      <c r="X41" s="353"/>
      <c r="Y41" s="337">
        <f ca="1">SUBTOTAL(9,Y42:Y47)</f>
        <v>0</v>
      </c>
      <c r="Z41" s="353"/>
      <c r="AA41" s="337">
        <f ca="1">SUBTOTAL(9,AA42:AA47)</f>
        <v>0</v>
      </c>
      <c r="AB41" s="353"/>
      <c r="AC41" s="337">
        <f ca="1">SUBTOTAL(9,AC42:AC47)</f>
        <v>0</v>
      </c>
      <c r="AD41" s="353"/>
      <c r="AE41" s="337">
        <f ca="1">SUBTOTAL(9,AE42:AE47)</f>
        <v>0</v>
      </c>
      <c r="AF41" s="353"/>
      <c r="AG41" s="337">
        <f ca="1">SUBTOTAL(9,AG42:AG47)</f>
        <v>0</v>
      </c>
      <c r="AH41" s="353"/>
      <c r="AI41" s="337">
        <f ca="1">SUBTOTAL(9,AI42:AI47)</f>
        <v>0</v>
      </c>
      <c r="AJ41" s="353"/>
      <c r="AK41" s="337">
        <f ca="1">SUBTOTAL(9,AK42:AK47)</f>
        <v>0</v>
      </c>
      <c r="AL41" s="353"/>
      <c r="AM41" s="337">
        <f ca="1">SUBTOTAL(9,AM42:AM47)</f>
        <v>0</v>
      </c>
      <c r="AN41" s="353"/>
      <c r="AO41" s="337">
        <f ca="1">SUBTOTAL(9,AO42:AO47)</f>
        <v>0</v>
      </c>
    </row>
    <row r="42" spans="1:41" ht="15" customHeight="1" x14ac:dyDescent="0.25">
      <c r="A42" s="161" t="str">
        <f>PQ!B49</f>
        <v>C.2.1</v>
      </c>
      <c r="B42" s="195" t="str">
        <f>PQ!C49</f>
        <v>Preparo e melhoramento do subleito</v>
      </c>
      <c r="C42" s="333">
        <f ca="1">RESUMO!N44</f>
        <v>0</v>
      </c>
      <c r="D42" s="349"/>
      <c r="E42" s="333">
        <f t="shared" ref="E42:E47" ca="1" si="40">$C42*D42</f>
        <v>0</v>
      </c>
      <c r="F42" s="349"/>
      <c r="G42" s="333">
        <f t="shared" ref="G42:G47" ca="1" si="41">$C42*F42</f>
        <v>0</v>
      </c>
      <c r="H42" s="349"/>
      <c r="I42" s="333">
        <f t="shared" ref="I42:I47" ca="1" si="42">$C42*H42</f>
        <v>0</v>
      </c>
      <c r="J42" s="349"/>
      <c r="K42" s="333">
        <f t="shared" ref="K42:K47" ca="1" si="43">$C42*J42</f>
        <v>0</v>
      </c>
      <c r="L42" s="349"/>
      <c r="M42" s="333">
        <f t="shared" ref="M42:M47" ca="1" si="44">$C42*L42</f>
        <v>0</v>
      </c>
      <c r="N42" s="349"/>
      <c r="O42" s="333">
        <f t="shared" ref="O42:O47" ca="1" si="45">$C42*N42</f>
        <v>0</v>
      </c>
      <c r="P42" s="349"/>
      <c r="Q42" s="333">
        <f t="shared" ref="Q42:Q47" ca="1" si="46">$C42*P42</f>
        <v>0</v>
      </c>
      <c r="R42" s="349"/>
      <c r="S42" s="333">
        <f t="shared" ref="S42:S47" ca="1" si="47">$C42*R42</f>
        <v>0</v>
      </c>
      <c r="T42" s="349"/>
      <c r="U42" s="333">
        <f t="shared" ref="U42:U47" ca="1" si="48">$C42*T42</f>
        <v>0</v>
      </c>
      <c r="V42" s="349"/>
      <c r="W42" s="333">
        <f t="shared" ref="W42:W47" ca="1" si="49">$C42*V42</f>
        <v>0</v>
      </c>
      <c r="X42" s="349"/>
      <c r="Y42" s="333">
        <f t="shared" ref="Y42:Y47" ca="1" si="50">$C42*X42</f>
        <v>0</v>
      </c>
      <c r="Z42" s="349"/>
      <c r="AA42" s="333">
        <f t="shared" ref="AA42:AA47" ca="1" si="51">$C42*Z42</f>
        <v>0</v>
      </c>
      <c r="AB42" s="349"/>
      <c r="AC42" s="333">
        <f t="shared" ref="AC42:AC47" ca="1" si="52">$C42*AB42</f>
        <v>0</v>
      </c>
      <c r="AD42" s="349"/>
      <c r="AE42" s="333">
        <f t="shared" ref="AE42:AE47" ca="1" si="53">$C42*AD42</f>
        <v>0</v>
      </c>
      <c r="AF42" s="349"/>
      <c r="AG42" s="333">
        <f t="shared" ref="AG42:AG47" ca="1" si="54">$C42*AF42</f>
        <v>0</v>
      </c>
      <c r="AH42" s="349"/>
      <c r="AI42" s="333">
        <f t="shared" ref="AI42:AI47" ca="1" si="55">$C42*AH42</f>
        <v>0</v>
      </c>
      <c r="AJ42" s="349"/>
      <c r="AK42" s="333">
        <f t="shared" ref="AK42:AK47" ca="1" si="56">$C42*AJ42</f>
        <v>0</v>
      </c>
      <c r="AL42" s="349"/>
      <c r="AM42" s="333">
        <f t="shared" ref="AM42:AM47" ca="1" si="57">$C42*AL42</f>
        <v>0</v>
      </c>
      <c r="AN42" s="349">
        <f t="shared" ref="AN42:AN47" si="58">SUM(D42,F42,H42,J42,L42,N42,P42,R42,T42,V42,X42,Z42,AB42,AD42,AF42,AH42,AJ42,AL42)</f>
        <v>0</v>
      </c>
      <c r="AO42" s="333">
        <f t="shared" ref="AO42:AO47" ca="1" si="59">$C42*AN42</f>
        <v>0</v>
      </c>
    </row>
    <row r="43" spans="1:41" ht="15" customHeight="1" x14ac:dyDescent="0.25">
      <c r="A43" s="156" t="str">
        <f>PQ!B50</f>
        <v>C.2.2</v>
      </c>
      <c r="B43" s="196" t="str">
        <f>PQ!C50</f>
        <v>Rachão ou pedra de mão</v>
      </c>
      <c r="C43" s="334">
        <f ca="1">RESUMO!N45</f>
        <v>0</v>
      </c>
      <c r="D43" s="350"/>
      <c r="E43" s="334">
        <f t="shared" ca="1" si="40"/>
        <v>0</v>
      </c>
      <c r="F43" s="350"/>
      <c r="G43" s="334">
        <f t="shared" ca="1" si="41"/>
        <v>0</v>
      </c>
      <c r="H43" s="350"/>
      <c r="I43" s="334">
        <f t="shared" ca="1" si="42"/>
        <v>0</v>
      </c>
      <c r="J43" s="350"/>
      <c r="K43" s="334">
        <f t="shared" ca="1" si="43"/>
        <v>0</v>
      </c>
      <c r="L43" s="350"/>
      <c r="M43" s="334">
        <f t="shared" ca="1" si="44"/>
        <v>0</v>
      </c>
      <c r="N43" s="350"/>
      <c r="O43" s="334">
        <f t="shared" ca="1" si="45"/>
        <v>0</v>
      </c>
      <c r="P43" s="350"/>
      <c r="Q43" s="334">
        <f t="shared" ca="1" si="46"/>
        <v>0</v>
      </c>
      <c r="R43" s="350"/>
      <c r="S43" s="334">
        <f t="shared" ca="1" si="47"/>
        <v>0</v>
      </c>
      <c r="T43" s="350"/>
      <c r="U43" s="334">
        <f t="shared" ca="1" si="48"/>
        <v>0</v>
      </c>
      <c r="V43" s="350"/>
      <c r="W43" s="334">
        <f t="shared" ca="1" si="49"/>
        <v>0</v>
      </c>
      <c r="X43" s="350"/>
      <c r="Y43" s="334">
        <f t="shared" ca="1" si="50"/>
        <v>0</v>
      </c>
      <c r="Z43" s="350"/>
      <c r="AA43" s="334">
        <f t="shared" ca="1" si="51"/>
        <v>0</v>
      </c>
      <c r="AB43" s="350"/>
      <c r="AC43" s="334">
        <f t="shared" ca="1" si="52"/>
        <v>0</v>
      </c>
      <c r="AD43" s="350"/>
      <c r="AE43" s="334">
        <f t="shared" ca="1" si="53"/>
        <v>0</v>
      </c>
      <c r="AF43" s="350"/>
      <c r="AG43" s="334">
        <f t="shared" ca="1" si="54"/>
        <v>0</v>
      </c>
      <c r="AH43" s="350"/>
      <c r="AI43" s="334">
        <f t="shared" ca="1" si="55"/>
        <v>0</v>
      </c>
      <c r="AJ43" s="350"/>
      <c r="AK43" s="334">
        <f t="shared" ca="1" si="56"/>
        <v>0</v>
      </c>
      <c r="AL43" s="350"/>
      <c r="AM43" s="334">
        <f t="shared" ca="1" si="57"/>
        <v>0</v>
      </c>
      <c r="AN43" s="350">
        <f t="shared" si="58"/>
        <v>0</v>
      </c>
      <c r="AO43" s="334">
        <f t="shared" ca="1" si="59"/>
        <v>0</v>
      </c>
    </row>
    <row r="44" spans="1:41" ht="15" customHeight="1" x14ac:dyDescent="0.25">
      <c r="A44" s="156" t="str">
        <f>PQ!B51</f>
        <v>C.2.3</v>
      </c>
      <c r="B44" s="196" t="str">
        <f>PQ!C51</f>
        <v>Sub-base ou base de brita graduada simples (BGS)</v>
      </c>
      <c r="C44" s="334">
        <f ca="1">RESUMO!N46</f>
        <v>0</v>
      </c>
      <c r="D44" s="350"/>
      <c r="E44" s="334">
        <f t="shared" ca="1" si="40"/>
        <v>0</v>
      </c>
      <c r="F44" s="350"/>
      <c r="G44" s="334">
        <f t="shared" ca="1" si="41"/>
        <v>0</v>
      </c>
      <c r="H44" s="350"/>
      <c r="I44" s="334">
        <f t="shared" ca="1" si="42"/>
        <v>0</v>
      </c>
      <c r="J44" s="350"/>
      <c r="K44" s="334">
        <f t="shared" ca="1" si="43"/>
        <v>0</v>
      </c>
      <c r="L44" s="350"/>
      <c r="M44" s="334">
        <f t="shared" ca="1" si="44"/>
        <v>0</v>
      </c>
      <c r="N44" s="350"/>
      <c r="O44" s="334">
        <f t="shared" ca="1" si="45"/>
        <v>0</v>
      </c>
      <c r="P44" s="350"/>
      <c r="Q44" s="334">
        <f t="shared" ca="1" si="46"/>
        <v>0</v>
      </c>
      <c r="R44" s="350"/>
      <c r="S44" s="334">
        <f t="shared" ca="1" si="47"/>
        <v>0</v>
      </c>
      <c r="T44" s="350"/>
      <c r="U44" s="334">
        <f t="shared" ca="1" si="48"/>
        <v>0</v>
      </c>
      <c r="V44" s="350"/>
      <c r="W44" s="334">
        <f t="shared" ca="1" si="49"/>
        <v>0</v>
      </c>
      <c r="X44" s="350"/>
      <c r="Y44" s="334">
        <f t="shared" ca="1" si="50"/>
        <v>0</v>
      </c>
      <c r="Z44" s="350"/>
      <c r="AA44" s="334">
        <f t="shared" ca="1" si="51"/>
        <v>0</v>
      </c>
      <c r="AB44" s="350"/>
      <c r="AC44" s="334">
        <f t="shared" ca="1" si="52"/>
        <v>0</v>
      </c>
      <c r="AD44" s="350"/>
      <c r="AE44" s="334">
        <f t="shared" ca="1" si="53"/>
        <v>0</v>
      </c>
      <c r="AF44" s="350"/>
      <c r="AG44" s="334">
        <f t="shared" ca="1" si="54"/>
        <v>0</v>
      </c>
      <c r="AH44" s="350"/>
      <c r="AI44" s="334">
        <f t="shared" ca="1" si="55"/>
        <v>0</v>
      </c>
      <c r="AJ44" s="350"/>
      <c r="AK44" s="334">
        <f t="shared" ca="1" si="56"/>
        <v>0</v>
      </c>
      <c r="AL44" s="350"/>
      <c r="AM44" s="334">
        <f t="shared" ca="1" si="57"/>
        <v>0</v>
      </c>
      <c r="AN44" s="350">
        <f t="shared" si="58"/>
        <v>0</v>
      </c>
      <c r="AO44" s="334">
        <f t="shared" ca="1" si="59"/>
        <v>0</v>
      </c>
    </row>
    <row r="45" spans="1:41" ht="15" customHeight="1" x14ac:dyDescent="0.25">
      <c r="A45" s="156" t="str">
        <f>PQ!B52</f>
        <v>C.2.4</v>
      </c>
      <c r="B45" s="196" t="str">
        <f>PQ!C52</f>
        <v>Imprimadura betuminosa impermeabilizante</v>
      </c>
      <c r="C45" s="334">
        <f ca="1">RESUMO!N47</f>
        <v>0</v>
      </c>
      <c r="D45" s="350"/>
      <c r="E45" s="334">
        <f t="shared" ca="1" si="40"/>
        <v>0</v>
      </c>
      <c r="F45" s="350"/>
      <c r="G45" s="334">
        <f t="shared" ca="1" si="41"/>
        <v>0</v>
      </c>
      <c r="H45" s="350"/>
      <c r="I45" s="334">
        <f t="shared" ca="1" si="42"/>
        <v>0</v>
      </c>
      <c r="J45" s="350"/>
      <c r="K45" s="334">
        <f t="shared" ca="1" si="43"/>
        <v>0</v>
      </c>
      <c r="L45" s="350"/>
      <c r="M45" s="334">
        <f t="shared" ca="1" si="44"/>
        <v>0</v>
      </c>
      <c r="N45" s="350"/>
      <c r="O45" s="334">
        <f t="shared" ca="1" si="45"/>
        <v>0</v>
      </c>
      <c r="P45" s="350"/>
      <c r="Q45" s="334">
        <f t="shared" ca="1" si="46"/>
        <v>0</v>
      </c>
      <c r="R45" s="350"/>
      <c r="S45" s="334">
        <f t="shared" ca="1" si="47"/>
        <v>0</v>
      </c>
      <c r="T45" s="350"/>
      <c r="U45" s="334">
        <f t="shared" ca="1" si="48"/>
        <v>0</v>
      </c>
      <c r="V45" s="350"/>
      <c r="W45" s="334">
        <f t="shared" ca="1" si="49"/>
        <v>0</v>
      </c>
      <c r="X45" s="350"/>
      <c r="Y45" s="334">
        <f t="shared" ca="1" si="50"/>
        <v>0</v>
      </c>
      <c r="Z45" s="350"/>
      <c r="AA45" s="334">
        <f t="shared" ca="1" si="51"/>
        <v>0</v>
      </c>
      <c r="AB45" s="350"/>
      <c r="AC45" s="334">
        <f t="shared" ca="1" si="52"/>
        <v>0</v>
      </c>
      <c r="AD45" s="350"/>
      <c r="AE45" s="334">
        <f t="shared" ca="1" si="53"/>
        <v>0</v>
      </c>
      <c r="AF45" s="350"/>
      <c r="AG45" s="334">
        <f t="shared" ca="1" si="54"/>
        <v>0</v>
      </c>
      <c r="AH45" s="350"/>
      <c r="AI45" s="334">
        <f t="shared" ca="1" si="55"/>
        <v>0</v>
      </c>
      <c r="AJ45" s="350"/>
      <c r="AK45" s="334">
        <f t="shared" ca="1" si="56"/>
        <v>0</v>
      </c>
      <c r="AL45" s="350"/>
      <c r="AM45" s="334">
        <f t="shared" ca="1" si="57"/>
        <v>0</v>
      </c>
      <c r="AN45" s="350">
        <f t="shared" si="58"/>
        <v>0</v>
      </c>
      <c r="AO45" s="334">
        <f t="shared" ca="1" si="59"/>
        <v>0</v>
      </c>
    </row>
    <row r="46" spans="1:41" ht="15" customHeight="1" x14ac:dyDescent="0.25">
      <c r="A46" s="156" t="str">
        <f>PQ!B53</f>
        <v>C.2.5</v>
      </c>
      <c r="B46" s="196" t="str">
        <f>PQ!C53</f>
        <v>Imprimadura betuminosa ligante</v>
      </c>
      <c r="C46" s="334">
        <f ca="1">RESUMO!N48</f>
        <v>0</v>
      </c>
      <c r="D46" s="350"/>
      <c r="E46" s="334">
        <f t="shared" ca="1" si="40"/>
        <v>0</v>
      </c>
      <c r="F46" s="350"/>
      <c r="G46" s="334">
        <f t="shared" ca="1" si="41"/>
        <v>0</v>
      </c>
      <c r="H46" s="350"/>
      <c r="I46" s="334">
        <f t="shared" ca="1" si="42"/>
        <v>0</v>
      </c>
      <c r="J46" s="350"/>
      <c r="K46" s="334">
        <f t="shared" ca="1" si="43"/>
        <v>0</v>
      </c>
      <c r="L46" s="350"/>
      <c r="M46" s="334">
        <f t="shared" ca="1" si="44"/>
        <v>0</v>
      </c>
      <c r="N46" s="350"/>
      <c r="O46" s="334">
        <f t="shared" ca="1" si="45"/>
        <v>0</v>
      </c>
      <c r="P46" s="350"/>
      <c r="Q46" s="334">
        <f t="shared" ca="1" si="46"/>
        <v>0</v>
      </c>
      <c r="R46" s="350"/>
      <c r="S46" s="334">
        <f t="shared" ca="1" si="47"/>
        <v>0</v>
      </c>
      <c r="T46" s="350"/>
      <c r="U46" s="334">
        <f t="shared" ca="1" si="48"/>
        <v>0</v>
      </c>
      <c r="V46" s="350"/>
      <c r="W46" s="334">
        <f t="shared" ca="1" si="49"/>
        <v>0</v>
      </c>
      <c r="X46" s="350"/>
      <c r="Y46" s="334">
        <f t="shared" ca="1" si="50"/>
        <v>0</v>
      </c>
      <c r="Z46" s="350"/>
      <c r="AA46" s="334">
        <f t="shared" ca="1" si="51"/>
        <v>0</v>
      </c>
      <c r="AB46" s="350"/>
      <c r="AC46" s="334">
        <f t="shared" ca="1" si="52"/>
        <v>0</v>
      </c>
      <c r="AD46" s="350"/>
      <c r="AE46" s="334">
        <f t="shared" ca="1" si="53"/>
        <v>0</v>
      </c>
      <c r="AF46" s="350"/>
      <c r="AG46" s="334">
        <f t="shared" ca="1" si="54"/>
        <v>0</v>
      </c>
      <c r="AH46" s="350"/>
      <c r="AI46" s="334">
        <f t="shared" ca="1" si="55"/>
        <v>0</v>
      </c>
      <c r="AJ46" s="350"/>
      <c r="AK46" s="334">
        <f t="shared" ca="1" si="56"/>
        <v>0</v>
      </c>
      <c r="AL46" s="350"/>
      <c r="AM46" s="334">
        <f t="shared" ca="1" si="57"/>
        <v>0</v>
      </c>
      <c r="AN46" s="350">
        <f t="shared" si="58"/>
        <v>0</v>
      </c>
      <c r="AO46" s="334">
        <f t="shared" ca="1" si="59"/>
        <v>0</v>
      </c>
    </row>
    <row r="47" spans="1:41" ht="15" customHeight="1" x14ac:dyDescent="0.25">
      <c r="A47" s="171" t="str">
        <f>PQ!B54</f>
        <v>C.2.6</v>
      </c>
      <c r="B47" s="197" t="str">
        <f>PQ!C54</f>
        <v>CBUQ  Faixa C/D c/ DOP ou polímero similar</v>
      </c>
      <c r="C47" s="335">
        <f ca="1">RESUMO!N49</f>
        <v>0</v>
      </c>
      <c r="D47" s="351"/>
      <c r="E47" s="335">
        <f t="shared" ca="1" si="40"/>
        <v>0</v>
      </c>
      <c r="F47" s="351"/>
      <c r="G47" s="335">
        <f t="shared" ca="1" si="41"/>
        <v>0</v>
      </c>
      <c r="H47" s="351"/>
      <c r="I47" s="335">
        <f t="shared" ca="1" si="42"/>
        <v>0</v>
      </c>
      <c r="J47" s="351"/>
      <c r="K47" s="335">
        <f t="shared" ca="1" si="43"/>
        <v>0</v>
      </c>
      <c r="L47" s="351"/>
      <c r="M47" s="335">
        <f t="shared" ca="1" si="44"/>
        <v>0</v>
      </c>
      <c r="N47" s="351"/>
      <c r="O47" s="335">
        <f t="shared" ca="1" si="45"/>
        <v>0</v>
      </c>
      <c r="P47" s="351"/>
      <c r="Q47" s="335">
        <f t="shared" ca="1" si="46"/>
        <v>0</v>
      </c>
      <c r="R47" s="351"/>
      <c r="S47" s="335">
        <f t="shared" ca="1" si="47"/>
        <v>0</v>
      </c>
      <c r="T47" s="351"/>
      <c r="U47" s="335">
        <f t="shared" ca="1" si="48"/>
        <v>0</v>
      </c>
      <c r="V47" s="351"/>
      <c r="W47" s="335">
        <f t="shared" ca="1" si="49"/>
        <v>0</v>
      </c>
      <c r="X47" s="351"/>
      <c r="Y47" s="335">
        <f t="shared" ca="1" si="50"/>
        <v>0</v>
      </c>
      <c r="Z47" s="351"/>
      <c r="AA47" s="335">
        <f t="shared" ca="1" si="51"/>
        <v>0</v>
      </c>
      <c r="AB47" s="351"/>
      <c r="AC47" s="335">
        <f t="shared" ca="1" si="52"/>
        <v>0</v>
      </c>
      <c r="AD47" s="351"/>
      <c r="AE47" s="335">
        <f t="shared" ca="1" si="53"/>
        <v>0</v>
      </c>
      <c r="AF47" s="351"/>
      <c r="AG47" s="335">
        <f t="shared" ca="1" si="54"/>
        <v>0</v>
      </c>
      <c r="AH47" s="351"/>
      <c r="AI47" s="335">
        <f t="shared" ca="1" si="55"/>
        <v>0</v>
      </c>
      <c r="AJ47" s="351"/>
      <c r="AK47" s="335">
        <f t="shared" ca="1" si="56"/>
        <v>0</v>
      </c>
      <c r="AL47" s="351"/>
      <c r="AM47" s="335">
        <f t="shared" ca="1" si="57"/>
        <v>0</v>
      </c>
      <c r="AN47" s="351">
        <f t="shared" si="58"/>
        <v>0</v>
      </c>
      <c r="AO47" s="335">
        <f t="shared" ca="1" si="59"/>
        <v>0</v>
      </c>
    </row>
    <row r="48" spans="1:41" s="345" customFormat="1" ht="15" customHeight="1" x14ac:dyDescent="0.25">
      <c r="A48" s="62" t="str">
        <f>PQ!B55</f>
        <v>C.3</v>
      </c>
      <c r="B48" s="199" t="str">
        <f>PQ!C55</f>
        <v>Material Betuminoso e Transportes</v>
      </c>
      <c r="C48" s="337">
        <f ca="1">RESUMO!N50</f>
        <v>0</v>
      </c>
      <c r="D48" s="353"/>
      <c r="E48" s="337">
        <f ca="1">SUBTOTAL(9,E49:E54)</f>
        <v>0</v>
      </c>
      <c r="F48" s="353"/>
      <c r="G48" s="337">
        <f ca="1">SUBTOTAL(9,G49:G54)</f>
        <v>0</v>
      </c>
      <c r="H48" s="353"/>
      <c r="I48" s="337">
        <f ca="1">SUBTOTAL(9,I49:I54)</f>
        <v>0</v>
      </c>
      <c r="J48" s="353"/>
      <c r="K48" s="337">
        <f ca="1">SUBTOTAL(9,K49:K54)</f>
        <v>0</v>
      </c>
      <c r="L48" s="353"/>
      <c r="M48" s="337">
        <f ca="1">SUBTOTAL(9,M49:M54)</f>
        <v>0</v>
      </c>
      <c r="N48" s="353"/>
      <c r="O48" s="337">
        <f ca="1">SUBTOTAL(9,O49:O54)</f>
        <v>0</v>
      </c>
      <c r="P48" s="353"/>
      <c r="Q48" s="337">
        <f ca="1">SUBTOTAL(9,Q49:Q54)</f>
        <v>0</v>
      </c>
      <c r="R48" s="353"/>
      <c r="S48" s="337">
        <f ca="1">SUBTOTAL(9,S49:S54)</f>
        <v>0</v>
      </c>
      <c r="T48" s="353"/>
      <c r="U48" s="337">
        <f ca="1">SUBTOTAL(9,U49:U54)</f>
        <v>0</v>
      </c>
      <c r="V48" s="353"/>
      <c r="W48" s="337">
        <f ca="1">SUBTOTAL(9,W49:W54)</f>
        <v>0</v>
      </c>
      <c r="X48" s="353"/>
      <c r="Y48" s="337">
        <f ca="1">SUBTOTAL(9,Y49:Y54)</f>
        <v>0</v>
      </c>
      <c r="Z48" s="353"/>
      <c r="AA48" s="337">
        <f ca="1">SUBTOTAL(9,AA49:AA54)</f>
        <v>0</v>
      </c>
      <c r="AB48" s="353"/>
      <c r="AC48" s="337">
        <f ca="1">SUBTOTAL(9,AC49:AC54)</f>
        <v>0</v>
      </c>
      <c r="AD48" s="353"/>
      <c r="AE48" s="337">
        <f ca="1">SUBTOTAL(9,AE49:AE54)</f>
        <v>0</v>
      </c>
      <c r="AF48" s="353"/>
      <c r="AG48" s="337">
        <f ca="1">SUBTOTAL(9,AG49:AG54)</f>
        <v>0</v>
      </c>
      <c r="AH48" s="353"/>
      <c r="AI48" s="337">
        <f ca="1">SUBTOTAL(9,AI49:AI54)</f>
        <v>0</v>
      </c>
      <c r="AJ48" s="353"/>
      <c r="AK48" s="337">
        <f ca="1">SUBTOTAL(9,AK49:AK54)</f>
        <v>0</v>
      </c>
      <c r="AL48" s="353"/>
      <c r="AM48" s="337">
        <f ca="1">SUBTOTAL(9,AM49:AM54)</f>
        <v>0</v>
      </c>
      <c r="AN48" s="353"/>
      <c r="AO48" s="337">
        <f ca="1">SUBTOTAL(9,AO49:AO54)</f>
        <v>0</v>
      </c>
    </row>
    <row r="49" spans="1:41" ht="15" customHeight="1" x14ac:dyDescent="0.25">
      <c r="A49" s="161" t="str">
        <f>PQ!B56</f>
        <v>C.3.1</v>
      </c>
      <c r="B49" s="195" t="str">
        <f>PQ!C56</f>
        <v>Fornecimento de emulsão asfáltica Imprimer</v>
      </c>
      <c r="C49" s="333">
        <f ca="1">RESUMO!N51</f>
        <v>0</v>
      </c>
      <c r="D49" s="349"/>
      <c r="E49" s="333">
        <f t="shared" ref="E49:E54" ca="1" si="60">$C49*D49</f>
        <v>0</v>
      </c>
      <c r="F49" s="349"/>
      <c r="G49" s="333">
        <f t="shared" ref="G49:G54" ca="1" si="61">$C49*F49</f>
        <v>0</v>
      </c>
      <c r="H49" s="349"/>
      <c r="I49" s="333">
        <f t="shared" ref="I49:I54" ca="1" si="62">$C49*H49</f>
        <v>0</v>
      </c>
      <c r="J49" s="349"/>
      <c r="K49" s="333">
        <f t="shared" ref="K49:K54" ca="1" si="63">$C49*J49</f>
        <v>0</v>
      </c>
      <c r="L49" s="349"/>
      <c r="M49" s="333">
        <f t="shared" ref="M49:M54" ca="1" si="64">$C49*L49</f>
        <v>0</v>
      </c>
      <c r="N49" s="349"/>
      <c r="O49" s="333">
        <f t="shared" ref="O49:O54" ca="1" si="65">$C49*N49</f>
        <v>0</v>
      </c>
      <c r="P49" s="349"/>
      <c r="Q49" s="333">
        <f t="shared" ref="Q49:Q54" ca="1" si="66">$C49*P49</f>
        <v>0</v>
      </c>
      <c r="R49" s="349"/>
      <c r="S49" s="333">
        <f t="shared" ref="S49:S54" ca="1" si="67">$C49*R49</f>
        <v>0</v>
      </c>
      <c r="T49" s="349"/>
      <c r="U49" s="333">
        <f t="shared" ref="U49:U54" ca="1" si="68">$C49*T49</f>
        <v>0</v>
      </c>
      <c r="V49" s="349"/>
      <c r="W49" s="333">
        <f t="shared" ref="W49:W54" ca="1" si="69">$C49*V49</f>
        <v>0</v>
      </c>
      <c r="X49" s="349"/>
      <c r="Y49" s="333">
        <f t="shared" ref="Y49:Y54" ca="1" si="70">$C49*X49</f>
        <v>0</v>
      </c>
      <c r="Z49" s="349"/>
      <c r="AA49" s="333">
        <f t="shared" ref="AA49:AA54" ca="1" si="71">$C49*Z49</f>
        <v>0</v>
      </c>
      <c r="AB49" s="349"/>
      <c r="AC49" s="333">
        <f t="shared" ref="AC49:AC54" ca="1" si="72">$C49*AB49</f>
        <v>0</v>
      </c>
      <c r="AD49" s="349"/>
      <c r="AE49" s="333">
        <f t="shared" ref="AE49:AE54" ca="1" si="73">$C49*AD49</f>
        <v>0</v>
      </c>
      <c r="AF49" s="349"/>
      <c r="AG49" s="333">
        <f t="shared" ref="AG49:AG54" ca="1" si="74">$C49*AF49</f>
        <v>0</v>
      </c>
      <c r="AH49" s="349"/>
      <c r="AI49" s="333">
        <f t="shared" ref="AI49:AI54" ca="1" si="75">$C49*AH49</f>
        <v>0</v>
      </c>
      <c r="AJ49" s="349"/>
      <c r="AK49" s="333">
        <f t="shared" ref="AK49:AK54" ca="1" si="76">$C49*AJ49</f>
        <v>0</v>
      </c>
      <c r="AL49" s="349"/>
      <c r="AM49" s="333">
        <f t="shared" ref="AM49:AM54" ca="1" si="77">$C49*AL49</f>
        <v>0</v>
      </c>
      <c r="AN49" s="349">
        <f t="shared" ref="AN49:AN54" si="78">SUM(D49,F49,H49,J49,L49,N49,P49,R49,T49,V49,X49,Z49,AB49,AD49,AF49,AH49,AJ49,AL49)</f>
        <v>0</v>
      </c>
      <c r="AO49" s="333">
        <f t="shared" ref="AO49:AO54" ca="1" si="79">$C49*AN49</f>
        <v>0</v>
      </c>
    </row>
    <row r="50" spans="1:41" ht="15" customHeight="1" x14ac:dyDescent="0.25">
      <c r="A50" s="156" t="str">
        <f>PQ!B57</f>
        <v>C.3.2</v>
      </c>
      <c r="B50" s="196" t="str">
        <f>PQ!C57</f>
        <v>Fornecimento de emulsão asfáltica tipo RR-1C</v>
      </c>
      <c r="C50" s="334">
        <f ca="1">RESUMO!N52</f>
        <v>0</v>
      </c>
      <c r="D50" s="350"/>
      <c r="E50" s="334">
        <f t="shared" ca="1" si="60"/>
        <v>0</v>
      </c>
      <c r="F50" s="350"/>
      <c r="G50" s="334">
        <f t="shared" ca="1" si="61"/>
        <v>0</v>
      </c>
      <c r="H50" s="350"/>
      <c r="I50" s="334">
        <f t="shared" ca="1" si="62"/>
        <v>0</v>
      </c>
      <c r="J50" s="350"/>
      <c r="K50" s="334">
        <f t="shared" ca="1" si="63"/>
        <v>0</v>
      </c>
      <c r="L50" s="350"/>
      <c r="M50" s="334">
        <f t="shared" ca="1" si="64"/>
        <v>0</v>
      </c>
      <c r="N50" s="350"/>
      <c r="O50" s="334">
        <f t="shared" ca="1" si="65"/>
        <v>0</v>
      </c>
      <c r="P50" s="350"/>
      <c r="Q50" s="334">
        <f t="shared" ca="1" si="66"/>
        <v>0</v>
      </c>
      <c r="R50" s="350"/>
      <c r="S50" s="334">
        <f t="shared" ca="1" si="67"/>
        <v>0</v>
      </c>
      <c r="T50" s="350"/>
      <c r="U50" s="334">
        <f t="shared" ca="1" si="68"/>
        <v>0</v>
      </c>
      <c r="V50" s="350"/>
      <c r="W50" s="334">
        <f t="shared" ca="1" si="69"/>
        <v>0</v>
      </c>
      <c r="X50" s="350"/>
      <c r="Y50" s="334">
        <f t="shared" ca="1" si="70"/>
        <v>0</v>
      </c>
      <c r="Z50" s="350"/>
      <c r="AA50" s="334">
        <f t="shared" ca="1" si="71"/>
        <v>0</v>
      </c>
      <c r="AB50" s="350"/>
      <c r="AC50" s="334">
        <f t="shared" ca="1" si="72"/>
        <v>0</v>
      </c>
      <c r="AD50" s="350"/>
      <c r="AE50" s="334">
        <f t="shared" ca="1" si="73"/>
        <v>0</v>
      </c>
      <c r="AF50" s="350"/>
      <c r="AG50" s="334">
        <f t="shared" ca="1" si="74"/>
        <v>0</v>
      </c>
      <c r="AH50" s="350"/>
      <c r="AI50" s="334">
        <f t="shared" ca="1" si="75"/>
        <v>0</v>
      </c>
      <c r="AJ50" s="350"/>
      <c r="AK50" s="334">
        <f t="shared" ca="1" si="76"/>
        <v>0</v>
      </c>
      <c r="AL50" s="350"/>
      <c r="AM50" s="334">
        <f t="shared" ca="1" si="77"/>
        <v>0</v>
      </c>
      <c r="AN50" s="350">
        <f t="shared" si="78"/>
        <v>0</v>
      </c>
      <c r="AO50" s="334">
        <f t="shared" ca="1" si="79"/>
        <v>0</v>
      </c>
    </row>
    <row r="51" spans="1:41" ht="15" customHeight="1" x14ac:dyDescent="0.25">
      <c r="A51" s="156" t="str">
        <f>PQ!B58</f>
        <v>C.3.3</v>
      </c>
      <c r="B51" s="196" t="str">
        <f>PQ!C58</f>
        <v>Fornecimento de CAP modificado com adição de polímero</v>
      </c>
      <c r="C51" s="334">
        <f ca="1">RESUMO!N53</f>
        <v>0</v>
      </c>
      <c r="D51" s="350"/>
      <c r="E51" s="334">
        <f t="shared" ca="1" si="60"/>
        <v>0</v>
      </c>
      <c r="F51" s="350"/>
      <c r="G51" s="334">
        <f t="shared" ca="1" si="61"/>
        <v>0</v>
      </c>
      <c r="H51" s="350"/>
      <c r="I51" s="334">
        <f t="shared" ca="1" si="62"/>
        <v>0</v>
      </c>
      <c r="J51" s="350"/>
      <c r="K51" s="334">
        <f t="shared" ca="1" si="63"/>
        <v>0</v>
      </c>
      <c r="L51" s="350"/>
      <c r="M51" s="334">
        <f t="shared" ca="1" si="64"/>
        <v>0</v>
      </c>
      <c r="N51" s="350"/>
      <c r="O51" s="334">
        <f t="shared" ca="1" si="65"/>
        <v>0</v>
      </c>
      <c r="P51" s="350"/>
      <c r="Q51" s="334">
        <f t="shared" ca="1" si="66"/>
        <v>0</v>
      </c>
      <c r="R51" s="350"/>
      <c r="S51" s="334">
        <f t="shared" ca="1" si="67"/>
        <v>0</v>
      </c>
      <c r="T51" s="350"/>
      <c r="U51" s="334">
        <f t="shared" ca="1" si="68"/>
        <v>0</v>
      </c>
      <c r="V51" s="350"/>
      <c r="W51" s="334">
        <f t="shared" ca="1" si="69"/>
        <v>0</v>
      </c>
      <c r="X51" s="350"/>
      <c r="Y51" s="334">
        <f t="shared" ca="1" si="70"/>
        <v>0</v>
      </c>
      <c r="Z51" s="350"/>
      <c r="AA51" s="334">
        <f t="shared" ca="1" si="71"/>
        <v>0</v>
      </c>
      <c r="AB51" s="350"/>
      <c r="AC51" s="334">
        <f t="shared" ca="1" si="72"/>
        <v>0</v>
      </c>
      <c r="AD51" s="350"/>
      <c r="AE51" s="334">
        <f t="shared" ca="1" si="73"/>
        <v>0</v>
      </c>
      <c r="AF51" s="350"/>
      <c r="AG51" s="334">
        <f t="shared" ca="1" si="74"/>
        <v>0</v>
      </c>
      <c r="AH51" s="350"/>
      <c r="AI51" s="334">
        <f t="shared" ca="1" si="75"/>
        <v>0</v>
      </c>
      <c r="AJ51" s="350"/>
      <c r="AK51" s="334">
        <f t="shared" ca="1" si="76"/>
        <v>0</v>
      </c>
      <c r="AL51" s="350"/>
      <c r="AM51" s="334">
        <f t="shared" ca="1" si="77"/>
        <v>0</v>
      </c>
      <c r="AN51" s="350">
        <f t="shared" si="78"/>
        <v>0</v>
      </c>
      <c r="AO51" s="334">
        <f t="shared" ca="1" si="79"/>
        <v>0</v>
      </c>
    </row>
    <row r="52" spans="1:41" ht="15" customHeight="1" x14ac:dyDescent="0.25">
      <c r="A52" s="156" t="str">
        <f>PQ!B59</f>
        <v>C.3.4</v>
      </c>
      <c r="B52" s="196" t="str">
        <f>PQ!C59</f>
        <v>Transporte com caminhão basculante de 14 m³ - rodovia pavimentada  - Agregados</v>
      </c>
      <c r="C52" s="334">
        <f ca="1">RESUMO!N54</f>
        <v>0</v>
      </c>
      <c r="D52" s="350"/>
      <c r="E52" s="334">
        <f t="shared" ca="1" si="60"/>
        <v>0</v>
      </c>
      <c r="F52" s="350"/>
      <c r="G52" s="334">
        <f t="shared" ca="1" si="61"/>
        <v>0</v>
      </c>
      <c r="H52" s="350"/>
      <c r="I52" s="334">
        <f t="shared" ca="1" si="62"/>
        <v>0</v>
      </c>
      <c r="J52" s="350"/>
      <c r="K52" s="334">
        <f t="shared" ca="1" si="63"/>
        <v>0</v>
      </c>
      <c r="L52" s="350"/>
      <c r="M52" s="334">
        <f t="shared" ca="1" si="64"/>
        <v>0</v>
      </c>
      <c r="N52" s="350"/>
      <c r="O52" s="334">
        <f t="shared" ca="1" si="65"/>
        <v>0</v>
      </c>
      <c r="P52" s="350"/>
      <c r="Q52" s="334">
        <f t="shared" ca="1" si="66"/>
        <v>0</v>
      </c>
      <c r="R52" s="350"/>
      <c r="S52" s="334">
        <f t="shared" ca="1" si="67"/>
        <v>0</v>
      </c>
      <c r="T52" s="350"/>
      <c r="U52" s="334">
        <f t="shared" ca="1" si="68"/>
        <v>0</v>
      </c>
      <c r="V52" s="350"/>
      <c r="W52" s="334">
        <f t="shared" ca="1" si="69"/>
        <v>0</v>
      </c>
      <c r="X52" s="350"/>
      <c r="Y52" s="334">
        <f t="shared" ca="1" si="70"/>
        <v>0</v>
      </c>
      <c r="Z52" s="350"/>
      <c r="AA52" s="334">
        <f t="shared" ca="1" si="71"/>
        <v>0</v>
      </c>
      <c r="AB52" s="350"/>
      <c r="AC52" s="334">
        <f t="shared" ca="1" si="72"/>
        <v>0</v>
      </c>
      <c r="AD52" s="350"/>
      <c r="AE52" s="334">
        <f t="shared" ca="1" si="73"/>
        <v>0</v>
      </c>
      <c r="AF52" s="350"/>
      <c r="AG52" s="334">
        <f t="shared" ca="1" si="74"/>
        <v>0</v>
      </c>
      <c r="AH52" s="350"/>
      <c r="AI52" s="334">
        <f t="shared" ca="1" si="75"/>
        <v>0</v>
      </c>
      <c r="AJ52" s="350"/>
      <c r="AK52" s="334">
        <f t="shared" ca="1" si="76"/>
        <v>0</v>
      </c>
      <c r="AL52" s="350"/>
      <c r="AM52" s="334">
        <f t="shared" ca="1" si="77"/>
        <v>0</v>
      </c>
      <c r="AN52" s="350">
        <f t="shared" si="78"/>
        <v>0</v>
      </c>
      <c r="AO52" s="334">
        <f t="shared" ca="1" si="79"/>
        <v>0</v>
      </c>
    </row>
    <row r="53" spans="1:41" ht="15" customHeight="1" x14ac:dyDescent="0.25">
      <c r="A53" s="156" t="str">
        <f>PQ!B60</f>
        <v>C.3.5</v>
      </c>
      <c r="B53" s="196" t="str">
        <f>PQ!C60</f>
        <v>Transporte com caminhão basculante de 14 m³ - rodovia pavimentada  - Massa Asfaltica</v>
      </c>
      <c r="C53" s="334">
        <f ca="1">RESUMO!N55</f>
        <v>0</v>
      </c>
      <c r="D53" s="350"/>
      <c r="E53" s="334">
        <f t="shared" ca="1" si="60"/>
        <v>0</v>
      </c>
      <c r="F53" s="350"/>
      <c r="G53" s="334">
        <f t="shared" ca="1" si="61"/>
        <v>0</v>
      </c>
      <c r="H53" s="350"/>
      <c r="I53" s="334">
        <f t="shared" ca="1" si="62"/>
        <v>0</v>
      </c>
      <c r="J53" s="350"/>
      <c r="K53" s="334">
        <f t="shared" ca="1" si="63"/>
        <v>0</v>
      </c>
      <c r="L53" s="350"/>
      <c r="M53" s="334">
        <f t="shared" ca="1" si="64"/>
        <v>0</v>
      </c>
      <c r="N53" s="350"/>
      <c r="O53" s="334">
        <f t="shared" ca="1" si="65"/>
        <v>0</v>
      </c>
      <c r="P53" s="350"/>
      <c r="Q53" s="334">
        <f t="shared" ca="1" si="66"/>
        <v>0</v>
      </c>
      <c r="R53" s="350"/>
      <c r="S53" s="334">
        <f t="shared" ca="1" si="67"/>
        <v>0</v>
      </c>
      <c r="T53" s="350"/>
      <c r="U53" s="334">
        <f t="shared" ca="1" si="68"/>
        <v>0</v>
      </c>
      <c r="V53" s="350"/>
      <c r="W53" s="334">
        <f t="shared" ca="1" si="69"/>
        <v>0</v>
      </c>
      <c r="X53" s="350"/>
      <c r="Y53" s="334">
        <f t="shared" ca="1" si="70"/>
        <v>0</v>
      </c>
      <c r="Z53" s="350"/>
      <c r="AA53" s="334">
        <f t="shared" ca="1" si="71"/>
        <v>0</v>
      </c>
      <c r="AB53" s="350"/>
      <c r="AC53" s="334">
        <f t="shared" ca="1" si="72"/>
        <v>0</v>
      </c>
      <c r="AD53" s="350"/>
      <c r="AE53" s="334">
        <f t="shared" ca="1" si="73"/>
        <v>0</v>
      </c>
      <c r="AF53" s="350"/>
      <c r="AG53" s="334">
        <f t="shared" ca="1" si="74"/>
        <v>0</v>
      </c>
      <c r="AH53" s="350"/>
      <c r="AI53" s="334">
        <f t="shared" ca="1" si="75"/>
        <v>0</v>
      </c>
      <c r="AJ53" s="350"/>
      <c r="AK53" s="334">
        <f t="shared" ca="1" si="76"/>
        <v>0</v>
      </c>
      <c r="AL53" s="350"/>
      <c r="AM53" s="334">
        <f t="shared" ca="1" si="77"/>
        <v>0</v>
      </c>
      <c r="AN53" s="350">
        <f t="shared" si="78"/>
        <v>0</v>
      </c>
      <c r="AO53" s="334">
        <f t="shared" ca="1" si="79"/>
        <v>0</v>
      </c>
    </row>
    <row r="54" spans="1:41" ht="15" customHeight="1" x14ac:dyDescent="0.25">
      <c r="A54" s="171" t="str">
        <f>PQ!B61</f>
        <v>C.3.6</v>
      </c>
      <c r="B54" s="197" t="str">
        <f>PQ!C61</f>
        <v>Transporte com caminhão basculante de 14 m³ - rodovia pavimentada  - Materiais Betuminosos</v>
      </c>
      <c r="C54" s="335">
        <f ca="1">RESUMO!N56</f>
        <v>0</v>
      </c>
      <c r="D54" s="351"/>
      <c r="E54" s="335">
        <f t="shared" ca="1" si="60"/>
        <v>0</v>
      </c>
      <c r="F54" s="351"/>
      <c r="G54" s="335">
        <f t="shared" ca="1" si="61"/>
        <v>0</v>
      </c>
      <c r="H54" s="351"/>
      <c r="I54" s="335">
        <f t="shared" ca="1" si="62"/>
        <v>0</v>
      </c>
      <c r="J54" s="351"/>
      <c r="K54" s="335">
        <f t="shared" ca="1" si="63"/>
        <v>0</v>
      </c>
      <c r="L54" s="351"/>
      <c r="M54" s="335">
        <f t="shared" ca="1" si="64"/>
        <v>0</v>
      </c>
      <c r="N54" s="351"/>
      <c r="O54" s="335">
        <f t="shared" ca="1" si="65"/>
        <v>0</v>
      </c>
      <c r="P54" s="351"/>
      <c r="Q54" s="335">
        <f t="shared" ca="1" si="66"/>
        <v>0</v>
      </c>
      <c r="R54" s="351"/>
      <c r="S54" s="335">
        <f t="shared" ca="1" si="67"/>
        <v>0</v>
      </c>
      <c r="T54" s="351"/>
      <c r="U54" s="335">
        <f t="shared" ca="1" si="68"/>
        <v>0</v>
      </c>
      <c r="V54" s="351"/>
      <c r="W54" s="335">
        <f t="shared" ca="1" si="69"/>
        <v>0</v>
      </c>
      <c r="X54" s="351"/>
      <c r="Y54" s="335">
        <f t="shared" ca="1" si="70"/>
        <v>0</v>
      </c>
      <c r="Z54" s="351"/>
      <c r="AA54" s="335">
        <f t="shared" ca="1" si="71"/>
        <v>0</v>
      </c>
      <c r="AB54" s="351"/>
      <c r="AC54" s="335">
        <f t="shared" ca="1" si="72"/>
        <v>0</v>
      </c>
      <c r="AD54" s="351"/>
      <c r="AE54" s="335">
        <f t="shared" ca="1" si="73"/>
        <v>0</v>
      </c>
      <c r="AF54" s="351"/>
      <c r="AG54" s="335">
        <f t="shared" ca="1" si="74"/>
        <v>0</v>
      </c>
      <c r="AH54" s="351"/>
      <c r="AI54" s="335">
        <f t="shared" ca="1" si="75"/>
        <v>0</v>
      </c>
      <c r="AJ54" s="351"/>
      <c r="AK54" s="335">
        <f t="shared" ca="1" si="76"/>
        <v>0</v>
      </c>
      <c r="AL54" s="351"/>
      <c r="AM54" s="335">
        <f t="shared" ca="1" si="77"/>
        <v>0</v>
      </c>
      <c r="AN54" s="351">
        <f t="shared" si="78"/>
        <v>0</v>
      </c>
      <c r="AO54" s="335">
        <f t="shared" ca="1" si="79"/>
        <v>0</v>
      </c>
    </row>
    <row r="55" spans="1:41" s="345" customFormat="1" ht="15" customHeight="1" x14ac:dyDescent="0.25">
      <c r="A55" s="62" t="str">
        <f>PQ!B62</f>
        <v>C.4</v>
      </c>
      <c r="B55" s="199" t="str">
        <f>PQ!C62</f>
        <v>Drenagem e OACs</v>
      </c>
      <c r="C55" s="337">
        <f ca="1">RESUMO!N57</f>
        <v>26511.599999999995</v>
      </c>
      <c r="D55" s="353"/>
      <c r="E55" s="337">
        <f ca="1">SUBTOTAL(9,E56:E60)</f>
        <v>0</v>
      </c>
      <c r="F55" s="353"/>
      <c r="G55" s="337">
        <f ca="1">SUBTOTAL(9,G56:G60)</f>
        <v>0</v>
      </c>
      <c r="H55" s="353"/>
      <c r="I55" s="337">
        <f ca="1">SUBTOTAL(9,I56:I60)</f>
        <v>0</v>
      </c>
      <c r="J55" s="353"/>
      <c r="K55" s="337">
        <f ca="1">SUBTOTAL(9,K56:K60)</f>
        <v>0</v>
      </c>
      <c r="L55" s="353"/>
      <c r="M55" s="337">
        <f ca="1">SUBTOTAL(9,M56:M60)</f>
        <v>0</v>
      </c>
      <c r="N55" s="353"/>
      <c r="O55" s="337">
        <f ca="1">SUBTOTAL(9,O56:O60)</f>
        <v>0</v>
      </c>
      <c r="P55" s="353"/>
      <c r="Q55" s="337">
        <f ca="1">SUBTOTAL(9,Q56:Q60)</f>
        <v>0</v>
      </c>
      <c r="R55" s="353"/>
      <c r="S55" s="337">
        <f ca="1">SUBTOTAL(9,S56:S60)</f>
        <v>0</v>
      </c>
      <c r="T55" s="353"/>
      <c r="U55" s="337">
        <f ca="1">SUBTOTAL(9,U56:U60)</f>
        <v>0</v>
      </c>
      <c r="V55" s="353"/>
      <c r="W55" s="337">
        <f ca="1">SUBTOTAL(9,W56:W60)</f>
        <v>26511.599999999995</v>
      </c>
      <c r="X55" s="353"/>
      <c r="Y55" s="337">
        <f ca="1">SUBTOTAL(9,Y56:Y60)</f>
        <v>0</v>
      </c>
      <c r="Z55" s="353"/>
      <c r="AA55" s="337">
        <f ca="1">SUBTOTAL(9,AA56:AA60)</f>
        <v>0</v>
      </c>
      <c r="AB55" s="353"/>
      <c r="AC55" s="337">
        <f ca="1">SUBTOTAL(9,AC56:AC60)</f>
        <v>0</v>
      </c>
      <c r="AD55" s="353"/>
      <c r="AE55" s="337">
        <f ca="1">SUBTOTAL(9,AE56:AE60)</f>
        <v>0</v>
      </c>
      <c r="AF55" s="353"/>
      <c r="AG55" s="337">
        <f ca="1">SUBTOTAL(9,AG56:AG60)</f>
        <v>0</v>
      </c>
      <c r="AH55" s="353"/>
      <c r="AI55" s="337">
        <f ca="1">SUBTOTAL(9,AI56:AI60)</f>
        <v>0</v>
      </c>
      <c r="AJ55" s="353"/>
      <c r="AK55" s="337">
        <f ca="1">SUBTOTAL(9,AK56:AK60)</f>
        <v>0</v>
      </c>
      <c r="AL55" s="353"/>
      <c r="AM55" s="337">
        <f ca="1">SUBTOTAL(9,AM56:AM60)</f>
        <v>0</v>
      </c>
      <c r="AN55" s="353"/>
      <c r="AO55" s="337">
        <f ca="1">SUBTOTAL(9,AO56:AO60)</f>
        <v>26511.599999999995</v>
      </c>
    </row>
    <row r="56" spans="1:41" ht="15" customHeight="1" x14ac:dyDescent="0.25">
      <c r="A56" s="171" t="str">
        <f>PQ!B63</f>
        <v>C.4.1</v>
      </c>
      <c r="B56" s="197" t="str">
        <f>PQ!C63</f>
        <v>Sarjeta triangular de concreto - STC 88-20 - escavação mecânica - areia e brita comerciais</v>
      </c>
      <c r="C56" s="335">
        <f ca="1">RESUMO!N58</f>
        <v>16553.199999999997</v>
      </c>
      <c r="D56" s="351"/>
      <c r="E56" s="335">
        <f ca="1">$C56*D56</f>
        <v>0</v>
      </c>
      <c r="F56" s="351"/>
      <c r="G56" s="335">
        <f ca="1">$C56*F56</f>
        <v>0</v>
      </c>
      <c r="H56" s="351"/>
      <c r="I56" s="335">
        <f ca="1">$C56*H56</f>
        <v>0</v>
      </c>
      <c r="J56" s="351"/>
      <c r="K56" s="335">
        <f ca="1">$C56*J56</f>
        <v>0</v>
      </c>
      <c r="L56" s="351"/>
      <c r="M56" s="335">
        <f ca="1">$C56*L56</f>
        <v>0</v>
      </c>
      <c r="N56" s="351"/>
      <c r="O56" s="335">
        <f ca="1">$C56*N56</f>
        <v>0</v>
      </c>
      <c r="P56" s="351"/>
      <c r="Q56" s="335">
        <f ca="1">$C56*P56</f>
        <v>0</v>
      </c>
      <c r="R56" s="351"/>
      <c r="S56" s="335">
        <f ca="1">$C56*R56</f>
        <v>0</v>
      </c>
      <c r="T56" s="351"/>
      <c r="U56" s="335">
        <f ca="1">$C56*T56</f>
        <v>0</v>
      </c>
      <c r="V56" s="351">
        <v>1</v>
      </c>
      <c r="W56" s="335">
        <f ca="1">$C56*V56</f>
        <v>16553.199999999997</v>
      </c>
      <c r="X56" s="351"/>
      <c r="Y56" s="335">
        <f ca="1">$C56*X56</f>
        <v>0</v>
      </c>
      <c r="Z56" s="351"/>
      <c r="AA56" s="335">
        <f ca="1">$C56*Z56</f>
        <v>0</v>
      </c>
      <c r="AB56" s="351"/>
      <c r="AC56" s="335">
        <f ca="1">$C56*AB56</f>
        <v>0</v>
      </c>
      <c r="AD56" s="351"/>
      <c r="AE56" s="335">
        <f ca="1">$C56*AD56</f>
        <v>0</v>
      </c>
      <c r="AF56" s="351"/>
      <c r="AG56" s="335">
        <f ca="1">$C56*AF56</f>
        <v>0</v>
      </c>
      <c r="AH56" s="351"/>
      <c r="AI56" s="335">
        <f ca="1">$C56*AH56</f>
        <v>0</v>
      </c>
      <c r="AJ56" s="351"/>
      <c r="AK56" s="335">
        <f ca="1">$C56*AJ56</f>
        <v>0</v>
      </c>
      <c r="AL56" s="351"/>
      <c r="AM56" s="335">
        <f ca="1">$C56*AL56</f>
        <v>0</v>
      </c>
      <c r="AN56" s="351">
        <f t="shared" ref="AN56:AN60" si="80">SUM(D56,F56,H56,J56,L56,N56,P56,R56,T56,V56,X56,Z56,AB56,AD56,AF56,AH56,AJ56,AL56)</f>
        <v>1</v>
      </c>
      <c r="AO56" s="335">
        <f ca="1">$C56*AN56</f>
        <v>16553.199999999997</v>
      </c>
    </row>
    <row r="57" spans="1:41" ht="15" customHeight="1" x14ac:dyDescent="0.25">
      <c r="A57" s="171" t="str">
        <f>PQ!B64</f>
        <v>C.4.2</v>
      </c>
      <c r="B57" s="197" t="str">
        <f>PQ!C64</f>
        <v>Dissipador de energia - DES 88-264 - areia, brita e pedra de mão comerciais</v>
      </c>
      <c r="C57" s="335">
        <f ca="1">RESUMO!N59</f>
        <v>0</v>
      </c>
      <c r="D57" s="351"/>
      <c r="E57" s="335">
        <f ca="1">$C57*D57</f>
        <v>0</v>
      </c>
      <c r="F57" s="351"/>
      <c r="G57" s="335">
        <f ca="1">$C57*F57</f>
        <v>0</v>
      </c>
      <c r="H57" s="351"/>
      <c r="I57" s="335">
        <f ca="1">$C57*H57</f>
        <v>0</v>
      </c>
      <c r="J57" s="351"/>
      <c r="K57" s="335">
        <f ca="1">$C57*J57</f>
        <v>0</v>
      </c>
      <c r="L57" s="351"/>
      <c r="M57" s="335">
        <f ca="1">$C57*L57</f>
        <v>0</v>
      </c>
      <c r="N57" s="351"/>
      <c r="O57" s="335">
        <f ca="1">$C57*N57</f>
        <v>0</v>
      </c>
      <c r="P57" s="351"/>
      <c r="Q57" s="335">
        <f ca="1">$C57*P57</f>
        <v>0</v>
      </c>
      <c r="R57" s="351"/>
      <c r="S57" s="335">
        <f ca="1">$C57*R57</f>
        <v>0</v>
      </c>
      <c r="T57" s="351"/>
      <c r="U57" s="335">
        <f ca="1">$C57*T57</f>
        <v>0</v>
      </c>
      <c r="V57" s="351"/>
      <c r="W57" s="335">
        <f ca="1">$C57*V57</f>
        <v>0</v>
      </c>
      <c r="X57" s="351"/>
      <c r="Y57" s="335">
        <f ca="1">$C57*X57</f>
        <v>0</v>
      </c>
      <c r="Z57" s="351"/>
      <c r="AA57" s="335">
        <f ca="1">$C57*Z57</f>
        <v>0</v>
      </c>
      <c r="AB57" s="351"/>
      <c r="AC57" s="335">
        <f ca="1">$C57*AB57</f>
        <v>0</v>
      </c>
      <c r="AD57" s="351"/>
      <c r="AE57" s="335">
        <f ca="1">$C57*AD57</f>
        <v>0</v>
      </c>
      <c r="AF57" s="351"/>
      <c r="AG57" s="335">
        <f ca="1">$C57*AF57</f>
        <v>0</v>
      </c>
      <c r="AH57" s="351"/>
      <c r="AI57" s="335">
        <f ca="1">$C57*AH57</f>
        <v>0</v>
      </c>
      <c r="AJ57" s="351"/>
      <c r="AK57" s="335">
        <f ca="1">$C57*AJ57</f>
        <v>0</v>
      </c>
      <c r="AL57" s="351"/>
      <c r="AM57" s="335">
        <f ca="1">$C57*AL57</f>
        <v>0</v>
      </c>
      <c r="AN57" s="351">
        <f t="shared" si="80"/>
        <v>0</v>
      </c>
      <c r="AO57" s="335">
        <f ca="1">$C57*AN57</f>
        <v>0</v>
      </c>
    </row>
    <row r="58" spans="1:41" ht="15" customHeight="1" x14ac:dyDescent="0.25">
      <c r="A58" s="171" t="str">
        <f>PQ!B65</f>
        <v>C.4.3</v>
      </c>
      <c r="B58" s="197" t="str">
        <f>PQ!C65</f>
        <v>Dreno longitudinal profundo para corte em solo - DPS 01 - tubo PEAD e areia comercial</v>
      </c>
      <c r="C58" s="335">
        <f ca="1">RESUMO!N60</f>
        <v>2327.5</v>
      </c>
      <c r="D58" s="351"/>
      <c r="E58" s="335">
        <f ca="1">$C58*D58</f>
        <v>0</v>
      </c>
      <c r="F58" s="351"/>
      <c r="G58" s="335">
        <f ca="1">$C58*F58</f>
        <v>0</v>
      </c>
      <c r="H58" s="351"/>
      <c r="I58" s="335">
        <f ca="1">$C58*H58</f>
        <v>0</v>
      </c>
      <c r="J58" s="351"/>
      <c r="K58" s="335">
        <f ca="1">$C58*J58</f>
        <v>0</v>
      </c>
      <c r="L58" s="351"/>
      <c r="M58" s="335">
        <f ca="1">$C58*L58</f>
        <v>0</v>
      </c>
      <c r="N58" s="351"/>
      <c r="O58" s="335">
        <f ca="1">$C58*N58</f>
        <v>0</v>
      </c>
      <c r="P58" s="351"/>
      <c r="Q58" s="335">
        <f ca="1">$C58*P58</f>
        <v>0</v>
      </c>
      <c r="R58" s="351"/>
      <c r="S58" s="335">
        <f ca="1">$C58*R58</f>
        <v>0</v>
      </c>
      <c r="T58" s="351"/>
      <c r="U58" s="335">
        <f ca="1">$C58*T58</f>
        <v>0</v>
      </c>
      <c r="V58" s="351">
        <v>1</v>
      </c>
      <c r="W58" s="335">
        <f ca="1">$C58*V58</f>
        <v>2327.5</v>
      </c>
      <c r="X58" s="351"/>
      <c r="Y58" s="335">
        <f ca="1">$C58*X58</f>
        <v>0</v>
      </c>
      <c r="Z58" s="351"/>
      <c r="AA58" s="335">
        <f ca="1">$C58*Z58</f>
        <v>0</v>
      </c>
      <c r="AB58" s="351"/>
      <c r="AC58" s="335">
        <f ca="1">$C58*AB58</f>
        <v>0</v>
      </c>
      <c r="AD58" s="351"/>
      <c r="AE58" s="335">
        <f ca="1">$C58*AD58</f>
        <v>0</v>
      </c>
      <c r="AF58" s="351"/>
      <c r="AG58" s="335">
        <f ca="1">$C58*AF58</f>
        <v>0</v>
      </c>
      <c r="AH58" s="351"/>
      <c r="AI58" s="335">
        <f ca="1">$C58*AH58</f>
        <v>0</v>
      </c>
      <c r="AJ58" s="351"/>
      <c r="AK58" s="335">
        <f ca="1">$C58*AJ58</f>
        <v>0</v>
      </c>
      <c r="AL58" s="351"/>
      <c r="AM58" s="335">
        <f ca="1">$C58*AL58</f>
        <v>0</v>
      </c>
      <c r="AN58" s="351">
        <f t="shared" si="80"/>
        <v>1</v>
      </c>
      <c r="AO58" s="335">
        <f ca="1">$C58*AN58</f>
        <v>2327.5</v>
      </c>
    </row>
    <row r="59" spans="1:41" ht="15" customHeight="1" x14ac:dyDescent="0.25">
      <c r="A59" s="171" t="str">
        <f>PQ!B66</f>
        <v>C.4.4</v>
      </c>
      <c r="B59" s="197" t="str">
        <f>PQ!C66</f>
        <v>Concreto fck = 20 MPa - confecção em central dosadora de 30 m³/h - areia e brita comerciais</v>
      </c>
      <c r="C59" s="335">
        <f ca="1">RESUMO!N61</f>
        <v>2042.0799999999997</v>
      </c>
      <c r="D59" s="351"/>
      <c r="E59" s="335">
        <f ca="1">$C59*D59</f>
        <v>0</v>
      </c>
      <c r="F59" s="351"/>
      <c r="G59" s="335">
        <f ca="1">$C59*F59</f>
        <v>0</v>
      </c>
      <c r="H59" s="351"/>
      <c r="I59" s="335">
        <f ca="1">$C59*H59</f>
        <v>0</v>
      </c>
      <c r="J59" s="351"/>
      <c r="K59" s="335">
        <f ca="1">$C59*J59</f>
        <v>0</v>
      </c>
      <c r="L59" s="351"/>
      <c r="M59" s="335">
        <f ca="1">$C59*L59</f>
        <v>0</v>
      </c>
      <c r="N59" s="351"/>
      <c r="O59" s="335">
        <f ca="1">$C59*N59</f>
        <v>0</v>
      </c>
      <c r="P59" s="351"/>
      <c r="Q59" s="335">
        <f ca="1">$C59*P59</f>
        <v>0</v>
      </c>
      <c r="R59" s="351"/>
      <c r="S59" s="335">
        <f ca="1">$C59*R59</f>
        <v>0</v>
      </c>
      <c r="T59" s="351"/>
      <c r="U59" s="335">
        <f ca="1">$C59*T59</f>
        <v>0</v>
      </c>
      <c r="V59" s="351">
        <v>1</v>
      </c>
      <c r="W59" s="335">
        <f ca="1">$C59*V59</f>
        <v>2042.0799999999997</v>
      </c>
      <c r="X59" s="351"/>
      <c r="Y59" s="335">
        <f ca="1">$C59*X59</f>
        <v>0</v>
      </c>
      <c r="Z59" s="351"/>
      <c r="AA59" s="335">
        <f ca="1">$C59*Z59</f>
        <v>0</v>
      </c>
      <c r="AB59" s="351"/>
      <c r="AC59" s="335">
        <f ca="1">$C59*AB59</f>
        <v>0</v>
      </c>
      <c r="AD59" s="351"/>
      <c r="AE59" s="335">
        <f ca="1">$C59*AD59</f>
        <v>0</v>
      </c>
      <c r="AF59" s="351"/>
      <c r="AG59" s="335">
        <f ca="1">$C59*AF59</f>
        <v>0</v>
      </c>
      <c r="AH59" s="351"/>
      <c r="AI59" s="335">
        <f ca="1">$C59*AH59</f>
        <v>0</v>
      </c>
      <c r="AJ59" s="351"/>
      <c r="AK59" s="335">
        <f ca="1">$C59*AJ59</f>
        <v>0</v>
      </c>
      <c r="AL59" s="351"/>
      <c r="AM59" s="335">
        <f ca="1">$C59*AL59</f>
        <v>0</v>
      </c>
      <c r="AN59" s="351">
        <f t="shared" si="80"/>
        <v>1</v>
      </c>
      <c r="AO59" s="335">
        <f ca="1">$C59*AN59</f>
        <v>2042.0799999999997</v>
      </c>
    </row>
    <row r="60" spans="1:41" ht="15" customHeight="1" x14ac:dyDescent="0.25">
      <c r="A60" s="171" t="str">
        <f>PQ!B67</f>
        <v>C.4.5</v>
      </c>
      <c r="B60" s="197" t="str">
        <f>PQ!C67</f>
        <v>Tubo PEAD para drenagem - D = 800 mm - fornecimento e instalação</v>
      </c>
      <c r="C60" s="335">
        <f ca="1">RESUMO!N62</f>
        <v>5588.82</v>
      </c>
      <c r="D60" s="351"/>
      <c r="E60" s="335">
        <f ca="1">$C60*D60</f>
        <v>0</v>
      </c>
      <c r="F60" s="351"/>
      <c r="G60" s="335">
        <f ca="1">$C60*F60</f>
        <v>0</v>
      </c>
      <c r="H60" s="351"/>
      <c r="I60" s="335">
        <f ca="1">$C60*H60</f>
        <v>0</v>
      </c>
      <c r="J60" s="351"/>
      <c r="K60" s="335">
        <f ca="1">$C60*J60</f>
        <v>0</v>
      </c>
      <c r="L60" s="351"/>
      <c r="M60" s="335">
        <f ca="1">$C60*L60</f>
        <v>0</v>
      </c>
      <c r="N60" s="351"/>
      <c r="O60" s="335">
        <f ca="1">$C60*N60</f>
        <v>0</v>
      </c>
      <c r="P60" s="351"/>
      <c r="Q60" s="335">
        <f ca="1">$C60*P60</f>
        <v>0</v>
      </c>
      <c r="R60" s="351"/>
      <c r="S60" s="335">
        <f ca="1">$C60*R60</f>
        <v>0</v>
      </c>
      <c r="T60" s="351"/>
      <c r="U60" s="335">
        <f ca="1">$C60*T60</f>
        <v>0</v>
      </c>
      <c r="V60" s="351">
        <v>1</v>
      </c>
      <c r="W60" s="335">
        <f ca="1">$C60*V60</f>
        <v>5588.82</v>
      </c>
      <c r="X60" s="351"/>
      <c r="Y60" s="335">
        <f ca="1">$C60*X60</f>
        <v>0</v>
      </c>
      <c r="Z60" s="351"/>
      <c r="AA60" s="335">
        <f ca="1">$C60*Z60</f>
        <v>0</v>
      </c>
      <c r="AB60" s="351"/>
      <c r="AC60" s="335">
        <f ca="1">$C60*AB60</f>
        <v>0</v>
      </c>
      <c r="AD60" s="351"/>
      <c r="AE60" s="335">
        <f ca="1">$C60*AD60</f>
        <v>0</v>
      </c>
      <c r="AF60" s="351"/>
      <c r="AG60" s="335">
        <f ca="1">$C60*AF60</f>
        <v>0</v>
      </c>
      <c r="AH60" s="351"/>
      <c r="AI60" s="335">
        <f ca="1">$C60*AH60</f>
        <v>0</v>
      </c>
      <c r="AJ60" s="351"/>
      <c r="AK60" s="335">
        <f ca="1">$C60*AJ60</f>
        <v>0</v>
      </c>
      <c r="AL60" s="351"/>
      <c r="AM60" s="335">
        <f ca="1">$C60*AL60</f>
        <v>0</v>
      </c>
      <c r="AN60" s="351">
        <f t="shared" si="80"/>
        <v>1</v>
      </c>
      <c r="AO60" s="335">
        <f ca="1">$C60*AN60</f>
        <v>5588.82</v>
      </c>
    </row>
    <row r="61" spans="1:41" s="344" customFormat="1" ht="15" customHeight="1" x14ac:dyDescent="0.25">
      <c r="A61" s="58" t="str">
        <f>PQ!B68</f>
        <v>D.</v>
      </c>
      <c r="B61" s="198" t="str">
        <f>PQ!C68</f>
        <v>Implantação de Desvios 2 e 3</v>
      </c>
      <c r="C61" s="336">
        <f ca="1">RESUMO!N63</f>
        <v>-9738.9274000134719</v>
      </c>
      <c r="D61" s="352"/>
      <c r="E61" s="336">
        <f ca="1">SUBTOTAL(9,E62:E85)</f>
        <v>0</v>
      </c>
      <c r="F61" s="352"/>
      <c r="G61" s="336">
        <f ca="1">SUBTOTAL(9,G62:G85)</f>
        <v>0</v>
      </c>
      <c r="H61" s="352"/>
      <c r="I61" s="336">
        <f ca="1">SUBTOTAL(9,I62:I85)</f>
        <v>0</v>
      </c>
      <c r="J61" s="352"/>
      <c r="K61" s="336">
        <f ca="1">SUBTOTAL(9,K62:K85)</f>
        <v>0</v>
      </c>
      <c r="L61" s="352"/>
      <c r="M61" s="336">
        <f ca="1">SUBTOTAL(9,M62:M85)</f>
        <v>0</v>
      </c>
      <c r="N61" s="352"/>
      <c r="O61" s="336">
        <f ca="1">SUBTOTAL(9,O62:O85)</f>
        <v>0</v>
      </c>
      <c r="P61" s="352"/>
      <c r="Q61" s="336">
        <f ca="1">SUBTOTAL(9,Q62:Q85)</f>
        <v>0</v>
      </c>
      <c r="R61" s="352"/>
      <c r="S61" s="336">
        <f ca="1">SUBTOTAL(9,S62:S85)</f>
        <v>0</v>
      </c>
      <c r="T61" s="352"/>
      <c r="U61" s="336">
        <f ca="1">SUBTOTAL(9,U62:U85)</f>
        <v>0</v>
      </c>
      <c r="V61" s="352"/>
      <c r="W61" s="336">
        <f ca="1">SUBTOTAL(9,W62:W85)</f>
        <v>-9738.9274000134719</v>
      </c>
      <c r="X61" s="352"/>
      <c r="Y61" s="336">
        <f ca="1">SUBTOTAL(9,Y62:Y85)</f>
        <v>0</v>
      </c>
      <c r="Z61" s="352"/>
      <c r="AA61" s="336">
        <f ca="1">SUBTOTAL(9,AA62:AA85)</f>
        <v>0</v>
      </c>
      <c r="AB61" s="352"/>
      <c r="AC61" s="336">
        <f ca="1">SUBTOTAL(9,AC62:AC85)</f>
        <v>0</v>
      </c>
      <c r="AD61" s="352"/>
      <c r="AE61" s="336">
        <f ca="1">SUBTOTAL(9,AE62:AE85)</f>
        <v>0</v>
      </c>
      <c r="AF61" s="352"/>
      <c r="AG61" s="336">
        <f ca="1">SUBTOTAL(9,AG62:AG85)</f>
        <v>0</v>
      </c>
      <c r="AH61" s="352"/>
      <c r="AI61" s="336">
        <f ca="1">SUBTOTAL(9,AI62:AI85)</f>
        <v>0</v>
      </c>
      <c r="AJ61" s="352"/>
      <c r="AK61" s="336">
        <f ca="1">SUBTOTAL(9,AK62:AK85)</f>
        <v>0</v>
      </c>
      <c r="AL61" s="352"/>
      <c r="AM61" s="336">
        <f ca="1">SUBTOTAL(9,AM62:AM85)</f>
        <v>0</v>
      </c>
      <c r="AN61" s="352"/>
      <c r="AO61" s="336">
        <f ca="1">SUBTOTAL(9,AO62:AO85)</f>
        <v>-9738.9274000134719</v>
      </c>
    </row>
    <row r="62" spans="1:41" s="345" customFormat="1" ht="15" customHeight="1" x14ac:dyDescent="0.25">
      <c r="A62" s="62" t="str">
        <f>PQ!B69</f>
        <v>D.1</v>
      </c>
      <c r="B62" s="199" t="str">
        <f>PQ!C69</f>
        <v>Terraplenagem</v>
      </c>
      <c r="C62" s="337">
        <f ca="1">RESUMO!N64</f>
        <v>-18079.327400013473</v>
      </c>
      <c r="D62" s="353"/>
      <c r="E62" s="337">
        <f ca="1">SUBTOTAL(9,E63:E67)</f>
        <v>0</v>
      </c>
      <c r="F62" s="353"/>
      <c r="G62" s="337">
        <f ca="1">SUBTOTAL(9,G63:G67)</f>
        <v>0</v>
      </c>
      <c r="H62" s="353"/>
      <c r="I62" s="337">
        <f ca="1">SUBTOTAL(9,I63:I67)</f>
        <v>0</v>
      </c>
      <c r="J62" s="353"/>
      <c r="K62" s="337">
        <f ca="1">SUBTOTAL(9,K63:K67)</f>
        <v>0</v>
      </c>
      <c r="L62" s="353"/>
      <c r="M62" s="337">
        <f ca="1">SUBTOTAL(9,M63:M67)</f>
        <v>0</v>
      </c>
      <c r="N62" s="353"/>
      <c r="O62" s="337">
        <f ca="1">SUBTOTAL(9,O63:O67)</f>
        <v>0</v>
      </c>
      <c r="P62" s="353"/>
      <c r="Q62" s="337">
        <f ca="1">SUBTOTAL(9,Q63:Q67)</f>
        <v>0</v>
      </c>
      <c r="R62" s="353"/>
      <c r="S62" s="337">
        <f ca="1">SUBTOTAL(9,S63:S67)</f>
        <v>0</v>
      </c>
      <c r="T62" s="353"/>
      <c r="U62" s="337">
        <f ca="1">SUBTOTAL(9,U63:U67)</f>
        <v>0</v>
      </c>
      <c r="V62" s="353"/>
      <c r="W62" s="337">
        <f ca="1">SUBTOTAL(9,W63:W67)</f>
        <v>-18079.327400013473</v>
      </c>
      <c r="X62" s="353"/>
      <c r="Y62" s="337">
        <f ca="1">SUBTOTAL(9,Y63:Y67)</f>
        <v>0</v>
      </c>
      <c r="Z62" s="353"/>
      <c r="AA62" s="337">
        <f ca="1">SUBTOTAL(9,AA63:AA67)</f>
        <v>0</v>
      </c>
      <c r="AB62" s="353"/>
      <c r="AC62" s="337">
        <f ca="1">SUBTOTAL(9,AC63:AC67)</f>
        <v>0</v>
      </c>
      <c r="AD62" s="353"/>
      <c r="AE62" s="337">
        <f ca="1">SUBTOTAL(9,AE63:AE67)</f>
        <v>0</v>
      </c>
      <c r="AF62" s="353"/>
      <c r="AG62" s="337">
        <f ca="1">SUBTOTAL(9,AG63:AG67)</f>
        <v>0</v>
      </c>
      <c r="AH62" s="353"/>
      <c r="AI62" s="337">
        <f ca="1">SUBTOTAL(9,AI63:AI67)</f>
        <v>0</v>
      </c>
      <c r="AJ62" s="353"/>
      <c r="AK62" s="337">
        <f ca="1">SUBTOTAL(9,AK63:AK67)</f>
        <v>0</v>
      </c>
      <c r="AL62" s="353"/>
      <c r="AM62" s="337">
        <f ca="1">SUBTOTAL(9,AM63:AM67)</f>
        <v>0</v>
      </c>
      <c r="AN62" s="353"/>
      <c r="AO62" s="337">
        <f ca="1">SUBTOTAL(9,AO63:AO67)</f>
        <v>-18079.327400013473</v>
      </c>
    </row>
    <row r="63" spans="1:41" ht="15" customHeight="1" x14ac:dyDescent="0.25">
      <c r="A63" s="161" t="str">
        <f>PQ!B70</f>
        <v>D.1.1</v>
      </c>
      <c r="B63" s="195" t="str">
        <f>PQ!C70</f>
        <v>Desmatamento, destocamento, limpeza de área e estocagem do material de limpeza com árvores de diâmetro até 0,15 m</v>
      </c>
      <c r="C63" s="333">
        <f ca="1">RESUMO!N65</f>
        <v>0</v>
      </c>
      <c r="D63" s="349"/>
      <c r="E63" s="333">
        <f ca="1">$C63*D63</f>
        <v>0</v>
      </c>
      <c r="F63" s="349"/>
      <c r="G63" s="333">
        <f ca="1">$C63*F63</f>
        <v>0</v>
      </c>
      <c r="H63" s="349"/>
      <c r="I63" s="333">
        <f ca="1">$C63*H63</f>
        <v>0</v>
      </c>
      <c r="J63" s="349"/>
      <c r="K63" s="333">
        <f ca="1">$C63*J63</f>
        <v>0</v>
      </c>
      <c r="L63" s="349"/>
      <c r="M63" s="333">
        <f ca="1">$C63*L63</f>
        <v>0</v>
      </c>
      <c r="N63" s="349"/>
      <c r="O63" s="333">
        <f ca="1">$C63*N63</f>
        <v>0</v>
      </c>
      <c r="P63" s="349"/>
      <c r="Q63" s="333">
        <f ca="1">$C63*P63</f>
        <v>0</v>
      </c>
      <c r="R63" s="349"/>
      <c r="S63" s="333">
        <f ca="1">$C63*R63</f>
        <v>0</v>
      </c>
      <c r="T63" s="349"/>
      <c r="U63" s="333">
        <f ca="1">$C63*T63</f>
        <v>0</v>
      </c>
      <c r="V63" s="349"/>
      <c r="W63" s="333">
        <f ca="1">$C63*V63</f>
        <v>0</v>
      </c>
      <c r="X63" s="349"/>
      <c r="Y63" s="333">
        <f ca="1">$C63*X63</f>
        <v>0</v>
      </c>
      <c r="Z63" s="349"/>
      <c r="AA63" s="333">
        <f ca="1">$C63*Z63</f>
        <v>0</v>
      </c>
      <c r="AB63" s="349"/>
      <c r="AC63" s="333">
        <f ca="1">$C63*AB63</f>
        <v>0</v>
      </c>
      <c r="AD63" s="349"/>
      <c r="AE63" s="333">
        <f ca="1">$C63*AD63</f>
        <v>0</v>
      </c>
      <c r="AF63" s="349"/>
      <c r="AG63" s="333">
        <f ca="1">$C63*AF63</f>
        <v>0</v>
      </c>
      <c r="AH63" s="349"/>
      <c r="AI63" s="333">
        <f ca="1">$C63*AH63</f>
        <v>0</v>
      </c>
      <c r="AJ63" s="349"/>
      <c r="AK63" s="333">
        <f ca="1">$C63*AJ63</f>
        <v>0</v>
      </c>
      <c r="AL63" s="349"/>
      <c r="AM63" s="333">
        <f ca="1">$C63*AL63</f>
        <v>0</v>
      </c>
      <c r="AN63" s="349">
        <f t="shared" ref="AN63:AN67" si="81">SUM(D63,F63,H63,J63,L63,N63,P63,R63,T63,V63,X63,Z63,AB63,AD63,AF63,AH63,AJ63,AL63)</f>
        <v>0</v>
      </c>
      <c r="AO63" s="333">
        <f ca="1">$C63*AN63</f>
        <v>0</v>
      </c>
    </row>
    <row r="64" spans="1:41" ht="15" customHeight="1" x14ac:dyDescent="0.25">
      <c r="A64" s="156" t="str">
        <f>PQ!B71</f>
        <v>D.1.2</v>
      </c>
      <c r="B64" s="196" t="str">
        <f>PQ!C71</f>
        <v>Transporte com caminhão basculante de 14 m³ - rodovia pavimentada</v>
      </c>
      <c r="C64" s="334">
        <f ca="1">RESUMO!N66</f>
        <v>0</v>
      </c>
      <c r="D64" s="350"/>
      <c r="E64" s="334">
        <f ca="1">$C64*D64</f>
        <v>0</v>
      </c>
      <c r="F64" s="350"/>
      <c r="G64" s="334">
        <f ca="1">$C64*F64</f>
        <v>0</v>
      </c>
      <c r="H64" s="350"/>
      <c r="I64" s="334">
        <f ca="1">$C64*H64</f>
        <v>0</v>
      </c>
      <c r="J64" s="350"/>
      <c r="K64" s="334">
        <f ca="1">$C64*J64</f>
        <v>0</v>
      </c>
      <c r="L64" s="350"/>
      <c r="M64" s="334">
        <f ca="1">$C64*L64</f>
        <v>0</v>
      </c>
      <c r="N64" s="350"/>
      <c r="O64" s="334">
        <f ca="1">$C64*N64</f>
        <v>0</v>
      </c>
      <c r="P64" s="350"/>
      <c r="Q64" s="334">
        <f ca="1">$C64*P64</f>
        <v>0</v>
      </c>
      <c r="R64" s="350"/>
      <c r="S64" s="334">
        <f ca="1">$C64*R64</f>
        <v>0</v>
      </c>
      <c r="T64" s="350"/>
      <c r="U64" s="334">
        <f ca="1">$C64*T64</f>
        <v>0</v>
      </c>
      <c r="V64" s="350"/>
      <c r="W64" s="334">
        <f ca="1">$C64*V64</f>
        <v>0</v>
      </c>
      <c r="X64" s="350"/>
      <c r="Y64" s="334">
        <f ca="1">$C64*X64</f>
        <v>0</v>
      </c>
      <c r="Z64" s="350"/>
      <c r="AA64" s="334">
        <f ca="1">$C64*Z64</f>
        <v>0</v>
      </c>
      <c r="AB64" s="350"/>
      <c r="AC64" s="334">
        <f ca="1">$C64*AB64</f>
        <v>0</v>
      </c>
      <c r="AD64" s="350"/>
      <c r="AE64" s="334">
        <f ca="1">$C64*AD64</f>
        <v>0</v>
      </c>
      <c r="AF64" s="350"/>
      <c r="AG64" s="334">
        <f ca="1">$C64*AF64</f>
        <v>0</v>
      </c>
      <c r="AH64" s="350"/>
      <c r="AI64" s="334">
        <f ca="1">$C64*AH64</f>
        <v>0</v>
      </c>
      <c r="AJ64" s="350"/>
      <c r="AK64" s="334">
        <f ca="1">$C64*AJ64</f>
        <v>0</v>
      </c>
      <c r="AL64" s="350"/>
      <c r="AM64" s="334">
        <f ca="1">$C64*AL64</f>
        <v>0</v>
      </c>
      <c r="AN64" s="350">
        <f t="shared" si="81"/>
        <v>0</v>
      </c>
      <c r="AO64" s="334">
        <f ca="1">$C64*AN64</f>
        <v>0</v>
      </c>
    </row>
    <row r="65" spans="1:41" ht="15" customHeight="1" x14ac:dyDescent="0.25">
      <c r="A65" s="156" t="str">
        <f>PQ!B72</f>
        <v>D.1.3</v>
      </c>
      <c r="B65" s="196" t="str">
        <f>PQ!C72</f>
        <v xml:space="preserve">Escavação, carga e transporte de material de 1ª categoria - DMT de 1.000 a 1.200 m -  com escavadeira e caminhão basculante de 14 m³  </v>
      </c>
      <c r="C65" s="334">
        <f ca="1">RESUMO!N67</f>
        <v>-22921.262060016939</v>
      </c>
      <c r="D65" s="350"/>
      <c r="E65" s="334">
        <f ca="1">$C65*D65</f>
        <v>0</v>
      </c>
      <c r="F65" s="350"/>
      <c r="G65" s="334">
        <f ca="1">$C65*F65</f>
        <v>0</v>
      </c>
      <c r="H65" s="350"/>
      <c r="I65" s="334">
        <f ca="1">$C65*H65</f>
        <v>0</v>
      </c>
      <c r="J65" s="350"/>
      <c r="K65" s="334">
        <f ca="1">$C65*J65</f>
        <v>0</v>
      </c>
      <c r="L65" s="350"/>
      <c r="M65" s="334">
        <f ca="1">$C65*L65</f>
        <v>0</v>
      </c>
      <c r="N65" s="350"/>
      <c r="O65" s="334">
        <f ca="1">$C65*N65</f>
        <v>0</v>
      </c>
      <c r="P65" s="350"/>
      <c r="Q65" s="334">
        <f ca="1">$C65*P65</f>
        <v>0</v>
      </c>
      <c r="R65" s="350"/>
      <c r="S65" s="334">
        <f ca="1">$C65*R65</f>
        <v>0</v>
      </c>
      <c r="T65" s="350"/>
      <c r="U65" s="334">
        <f ca="1">$C65*T65</f>
        <v>0</v>
      </c>
      <c r="V65" s="350">
        <v>1</v>
      </c>
      <c r="W65" s="334">
        <f ca="1">$C65*V65</f>
        <v>-22921.262060016939</v>
      </c>
      <c r="X65" s="350"/>
      <c r="Y65" s="334">
        <f ca="1">$C65*X65</f>
        <v>0</v>
      </c>
      <c r="Z65" s="350"/>
      <c r="AA65" s="334">
        <f ca="1">$C65*Z65</f>
        <v>0</v>
      </c>
      <c r="AB65" s="350"/>
      <c r="AC65" s="334">
        <f ca="1">$C65*AB65</f>
        <v>0</v>
      </c>
      <c r="AD65" s="350"/>
      <c r="AE65" s="334">
        <f ca="1">$C65*AD65</f>
        <v>0</v>
      </c>
      <c r="AF65" s="350"/>
      <c r="AG65" s="334">
        <f ca="1">$C65*AF65</f>
        <v>0</v>
      </c>
      <c r="AH65" s="350"/>
      <c r="AI65" s="334">
        <f ca="1">$C65*AH65</f>
        <v>0</v>
      </c>
      <c r="AJ65" s="350"/>
      <c r="AK65" s="334">
        <f ca="1">$C65*AJ65</f>
        <v>0</v>
      </c>
      <c r="AL65" s="350"/>
      <c r="AM65" s="334">
        <f ca="1">$C65*AL65</f>
        <v>0</v>
      </c>
      <c r="AN65" s="350">
        <f t="shared" si="81"/>
        <v>1</v>
      </c>
      <c r="AO65" s="334">
        <f ca="1">$C65*AN65</f>
        <v>-22921.262060016939</v>
      </c>
    </row>
    <row r="66" spans="1:41" ht="15" customHeight="1" x14ac:dyDescent="0.25">
      <c r="A66" s="171" t="str">
        <f>PQ!B73</f>
        <v>D.1.4</v>
      </c>
      <c r="B66" s="197" t="str">
        <f>PQ!C73</f>
        <v>Regularização de bota-fora com espalhamento e execução de hidrossemeadura</v>
      </c>
      <c r="C66" s="335">
        <f ca="1">RESUMO!N68</f>
        <v>0</v>
      </c>
      <c r="D66" s="351"/>
      <c r="E66" s="335">
        <f ca="1">$C66*D66</f>
        <v>0</v>
      </c>
      <c r="F66" s="351"/>
      <c r="G66" s="335">
        <f ca="1">$C66*F66</f>
        <v>0</v>
      </c>
      <c r="H66" s="351"/>
      <c r="I66" s="335">
        <f ca="1">$C66*H66</f>
        <v>0</v>
      </c>
      <c r="J66" s="351"/>
      <c r="K66" s="335">
        <f ca="1">$C66*J66</f>
        <v>0</v>
      </c>
      <c r="L66" s="351"/>
      <c r="M66" s="335">
        <f ca="1">$C66*L66</f>
        <v>0</v>
      </c>
      <c r="N66" s="351"/>
      <c r="O66" s="335">
        <f ca="1">$C66*N66</f>
        <v>0</v>
      </c>
      <c r="P66" s="351"/>
      <c r="Q66" s="335">
        <f ca="1">$C66*P66</f>
        <v>0</v>
      </c>
      <c r="R66" s="351"/>
      <c r="S66" s="335">
        <f ca="1">$C66*R66</f>
        <v>0</v>
      </c>
      <c r="T66" s="351"/>
      <c r="U66" s="335">
        <f ca="1">$C66*T66</f>
        <v>0</v>
      </c>
      <c r="V66" s="351"/>
      <c r="W66" s="335">
        <f ca="1">$C66*V66</f>
        <v>0</v>
      </c>
      <c r="X66" s="351"/>
      <c r="Y66" s="335">
        <f ca="1">$C66*X66</f>
        <v>0</v>
      </c>
      <c r="Z66" s="351"/>
      <c r="AA66" s="335">
        <f ca="1">$C66*Z66</f>
        <v>0</v>
      </c>
      <c r="AB66" s="351"/>
      <c r="AC66" s="335">
        <f ca="1">$C66*AB66</f>
        <v>0</v>
      </c>
      <c r="AD66" s="351"/>
      <c r="AE66" s="335">
        <f ca="1">$C66*AD66</f>
        <v>0</v>
      </c>
      <c r="AF66" s="351"/>
      <c r="AG66" s="335">
        <f ca="1">$C66*AF66</f>
        <v>0</v>
      </c>
      <c r="AH66" s="351"/>
      <c r="AI66" s="335">
        <f ca="1">$C66*AH66</f>
        <v>0</v>
      </c>
      <c r="AJ66" s="351"/>
      <c r="AK66" s="335">
        <f ca="1">$C66*AJ66</f>
        <v>0</v>
      </c>
      <c r="AL66" s="351"/>
      <c r="AM66" s="335">
        <f ca="1">$C66*AL66</f>
        <v>0</v>
      </c>
      <c r="AN66" s="351">
        <f t="shared" si="81"/>
        <v>0</v>
      </c>
      <c r="AO66" s="335">
        <f ca="1">$C66*AN66</f>
        <v>0</v>
      </c>
    </row>
    <row r="67" spans="1:41" ht="15" customHeight="1" x14ac:dyDescent="0.25">
      <c r="A67" s="171" t="str">
        <f>PQ!B74</f>
        <v>D.1.5</v>
      </c>
      <c r="B67" s="197" t="str">
        <f>PQ!C74</f>
        <v>Regularização de bota-fora</v>
      </c>
      <c r="C67" s="335">
        <f ca="1">RESUMO!N69</f>
        <v>4841.9346600034651</v>
      </c>
      <c r="D67" s="351"/>
      <c r="E67" s="335">
        <f ca="1">$C67*D67</f>
        <v>0</v>
      </c>
      <c r="F67" s="351"/>
      <c r="G67" s="335">
        <f ca="1">$C67*F67</f>
        <v>0</v>
      </c>
      <c r="H67" s="351"/>
      <c r="I67" s="335">
        <f ca="1">$C67*H67</f>
        <v>0</v>
      </c>
      <c r="J67" s="351"/>
      <c r="K67" s="335">
        <f ca="1">$C67*J67</f>
        <v>0</v>
      </c>
      <c r="L67" s="351"/>
      <c r="M67" s="335">
        <f ca="1">$C67*L67</f>
        <v>0</v>
      </c>
      <c r="N67" s="351"/>
      <c r="O67" s="335">
        <f ca="1">$C67*N67</f>
        <v>0</v>
      </c>
      <c r="P67" s="351"/>
      <c r="Q67" s="335">
        <f ca="1">$C67*P67</f>
        <v>0</v>
      </c>
      <c r="R67" s="351"/>
      <c r="S67" s="335">
        <f ca="1">$C67*R67</f>
        <v>0</v>
      </c>
      <c r="T67" s="351"/>
      <c r="U67" s="335">
        <f ca="1">$C67*T67</f>
        <v>0</v>
      </c>
      <c r="V67" s="351">
        <v>1</v>
      </c>
      <c r="W67" s="335">
        <f ca="1">$C67*V67</f>
        <v>4841.9346600034651</v>
      </c>
      <c r="X67" s="351"/>
      <c r="Y67" s="335">
        <f ca="1">$C67*X67</f>
        <v>0</v>
      </c>
      <c r="Z67" s="351"/>
      <c r="AA67" s="335">
        <f ca="1">$C67*Z67</f>
        <v>0</v>
      </c>
      <c r="AB67" s="351"/>
      <c r="AC67" s="335">
        <f ca="1">$C67*AB67</f>
        <v>0</v>
      </c>
      <c r="AD67" s="351"/>
      <c r="AE67" s="335">
        <f ca="1">$C67*AD67</f>
        <v>0</v>
      </c>
      <c r="AF67" s="351"/>
      <c r="AG67" s="335">
        <f ca="1">$C67*AF67</f>
        <v>0</v>
      </c>
      <c r="AH67" s="351"/>
      <c r="AI67" s="335">
        <f ca="1">$C67*AH67</f>
        <v>0</v>
      </c>
      <c r="AJ67" s="351"/>
      <c r="AK67" s="335">
        <f ca="1">$C67*AJ67</f>
        <v>0</v>
      </c>
      <c r="AL67" s="351"/>
      <c r="AM67" s="335">
        <f ca="1">$C67*AL67</f>
        <v>0</v>
      </c>
      <c r="AN67" s="351">
        <f t="shared" si="81"/>
        <v>1</v>
      </c>
      <c r="AO67" s="335">
        <f ca="1">$C67*AN67</f>
        <v>4841.9346600034651</v>
      </c>
    </row>
    <row r="68" spans="1:41" s="345" customFormat="1" ht="15" customHeight="1" x14ac:dyDescent="0.25">
      <c r="A68" s="62" t="str">
        <f>PQ!B75</f>
        <v>D.2</v>
      </c>
      <c r="B68" s="199" t="str">
        <f>PQ!C75</f>
        <v>Pavimento</v>
      </c>
      <c r="C68" s="337">
        <f ca="1">RESUMO!N70</f>
        <v>0</v>
      </c>
      <c r="D68" s="353"/>
      <c r="E68" s="337">
        <f ca="1">SUBTOTAL(9,E69:E75)</f>
        <v>0</v>
      </c>
      <c r="F68" s="353"/>
      <c r="G68" s="337">
        <f ca="1">SUBTOTAL(9,G69:G75)</f>
        <v>0</v>
      </c>
      <c r="H68" s="353"/>
      <c r="I68" s="337">
        <f ca="1">SUBTOTAL(9,I69:I75)</f>
        <v>0</v>
      </c>
      <c r="J68" s="353"/>
      <c r="K68" s="337">
        <f ca="1">SUBTOTAL(9,K69:K75)</f>
        <v>0</v>
      </c>
      <c r="L68" s="353"/>
      <c r="M68" s="337">
        <f ca="1">SUBTOTAL(9,M69:M75)</f>
        <v>0</v>
      </c>
      <c r="N68" s="353"/>
      <c r="O68" s="337">
        <f ca="1">SUBTOTAL(9,O69:O75)</f>
        <v>0</v>
      </c>
      <c r="P68" s="353"/>
      <c r="Q68" s="337">
        <f ca="1">SUBTOTAL(9,Q69:Q75)</f>
        <v>0</v>
      </c>
      <c r="R68" s="353"/>
      <c r="S68" s="337">
        <f ca="1">SUBTOTAL(9,S69:S75)</f>
        <v>0</v>
      </c>
      <c r="T68" s="353"/>
      <c r="U68" s="337">
        <f ca="1">SUBTOTAL(9,U69:U75)</f>
        <v>0</v>
      </c>
      <c r="V68" s="353"/>
      <c r="W68" s="337">
        <f ca="1">SUBTOTAL(9,W69:W75)</f>
        <v>0</v>
      </c>
      <c r="X68" s="353"/>
      <c r="Y68" s="337">
        <f ca="1">SUBTOTAL(9,Y69:Y75)</f>
        <v>0</v>
      </c>
      <c r="Z68" s="353"/>
      <c r="AA68" s="337">
        <f ca="1">SUBTOTAL(9,AA69:AA75)</f>
        <v>0</v>
      </c>
      <c r="AB68" s="353"/>
      <c r="AC68" s="337">
        <f ca="1">SUBTOTAL(9,AC69:AC75)</f>
        <v>0</v>
      </c>
      <c r="AD68" s="353"/>
      <c r="AE68" s="337">
        <f ca="1">SUBTOTAL(9,AE69:AE75)</f>
        <v>0</v>
      </c>
      <c r="AF68" s="353"/>
      <c r="AG68" s="337">
        <f ca="1">SUBTOTAL(9,AG69:AG75)</f>
        <v>0</v>
      </c>
      <c r="AH68" s="353"/>
      <c r="AI68" s="337">
        <f ca="1">SUBTOTAL(9,AI69:AI75)</f>
        <v>0</v>
      </c>
      <c r="AJ68" s="353"/>
      <c r="AK68" s="337">
        <f ca="1">SUBTOTAL(9,AK69:AK75)</f>
        <v>0</v>
      </c>
      <c r="AL68" s="353"/>
      <c r="AM68" s="337">
        <f ca="1">SUBTOTAL(9,AM69:AM75)</f>
        <v>0</v>
      </c>
      <c r="AN68" s="353"/>
      <c r="AO68" s="337">
        <f ca="1">SUBTOTAL(9,AO69:AO75)</f>
        <v>0</v>
      </c>
    </row>
    <row r="69" spans="1:41" ht="15" customHeight="1" x14ac:dyDescent="0.25">
      <c r="A69" s="161" t="str">
        <f>PQ!B76</f>
        <v>D.2.1</v>
      </c>
      <c r="B69" s="195" t="str">
        <f>PQ!C76</f>
        <v>Fresagem contínua de revestimento betuminoso</v>
      </c>
      <c r="C69" s="333">
        <f ca="1">RESUMO!N71</f>
        <v>0</v>
      </c>
      <c r="D69" s="349"/>
      <c r="E69" s="333">
        <f t="shared" ref="E69:E75" ca="1" si="82">$C69*D69</f>
        <v>0</v>
      </c>
      <c r="F69" s="349"/>
      <c r="G69" s="333">
        <f t="shared" ref="G69:G75" ca="1" si="83">$C69*F69</f>
        <v>0</v>
      </c>
      <c r="H69" s="349"/>
      <c r="I69" s="333">
        <f t="shared" ref="I69:I75" ca="1" si="84">$C69*H69</f>
        <v>0</v>
      </c>
      <c r="J69" s="349"/>
      <c r="K69" s="333">
        <f t="shared" ref="K69:K75" ca="1" si="85">$C69*J69</f>
        <v>0</v>
      </c>
      <c r="L69" s="349"/>
      <c r="M69" s="333">
        <f t="shared" ref="M69:M75" ca="1" si="86">$C69*L69</f>
        <v>0</v>
      </c>
      <c r="N69" s="349"/>
      <c r="O69" s="333">
        <f t="shared" ref="O69:O75" ca="1" si="87">$C69*N69</f>
        <v>0</v>
      </c>
      <c r="P69" s="349"/>
      <c r="Q69" s="333">
        <f t="shared" ref="Q69:Q75" ca="1" si="88">$C69*P69</f>
        <v>0</v>
      </c>
      <c r="R69" s="349"/>
      <c r="S69" s="333">
        <f t="shared" ref="S69:S75" ca="1" si="89">$C69*R69</f>
        <v>0</v>
      </c>
      <c r="T69" s="349"/>
      <c r="U69" s="333">
        <f t="shared" ref="U69:U75" ca="1" si="90">$C69*T69</f>
        <v>0</v>
      </c>
      <c r="V69" s="349"/>
      <c r="W69" s="333">
        <f t="shared" ref="W69:W75" ca="1" si="91">$C69*V69</f>
        <v>0</v>
      </c>
      <c r="X69" s="349"/>
      <c r="Y69" s="333">
        <f t="shared" ref="Y69:Y75" ca="1" si="92">$C69*X69</f>
        <v>0</v>
      </c>
      <c r="Z69" s="349"/>
      <c r="AA69" s="333">
        <f t="shared" ref="AA69:AA75" ca="1" si="93">$C69*Z69</f>
        <v>0</v>
      </c>
      <c r="AB69" s="349"/>
      <c r="AC69" s="333">
        <f t="shared" ref="AC69:AC75" ca="1" si="94">$C69*AB69</f>
        <v>0</v>
      </c>
      <c r="AD69" s="349"/>
      <c r="AE69" s="333">
        <f t="shared" ref="AE69:AE75" ca="1" si="95">$C69*AD69</f>
        <v>0</v>
      </c>
      <c r="AF69" s="349"/>
      <c r="AG69" s="333">
        <f t="shared" ref="AG69:AG75" ca="1" si="96">$C69*AF69</f>
        <v>0</v>
      </c>
      <c r="AH69" s="349"/>
      <c r="AI69" s="333">
        <f t="shared" ref="AI69:AI75" ca="1" si="97">$C69*AH69</f>
        <v>0</v>
      </c>
      <c r="AJ69" s="349"/>
      <c r="AK69" s="333">
        <f t="shared" ref="AK69:AK75" ca="1" si="98">$C69*AJ69</f>
        <v>0</v>
      </c>
      <c r="AL69" s="349"/>
      <c r="AM69" s="333">
        <f t="shared" ref="AM69:AM75" ca="1" si="99">$C69*AL69</f>
        <v>0</v>
      </c>
      <c r="AN69" s="349">
        <f t="shared" ref="AN69:AN75" si="100">SUM(D69,F69,H69,J69,L69,N69,P69,R69,T69,V69,X69,Z69,AB69,AD69,AF69,AH69,AJ69,AL69)</f>
        <v>0</v>
      </c>
      <c r="AO69" s="333">
        <f t="shared" ref="AO69:AO75" ca="1" si="101">$C69*AN69</f>
        <v>0</v>
      </c>
    </row>
    <row r="70" spans="1:41" ht="15" customHeight="1" x14ac:dyDescent="0.25">
      <c r="A70" s="156" t="str">
        <f>PQ!B77</f>
        <v>D.2.2</v>
      </c>
      <c r="B70" s="196" t="str">
        <f>PQ!C77</f>
        <v>Preparo e melhoramento do subleito</v>
      </c>
      <c r="C70" s="334">
        <f ca="1">RESUMO!N72</f>
        <v>0</v>
      </c>
      <c r="D70" s="350"/>
      <c r="E70" s="334">
        <f t="shared" ca="1" si="82"/>
        <v>0</v>
      </c>
      <c r="F70" s="350"/>
      <c r="G70" s="334">
        <f t="shared" ca="1" si="83"/>
        <v>0</v>
      </c>
      <c r="H70" s="350"/>
      <c r="I70" s="334">
        <f t="shared" ca="1" si="84"/>
        <v>0</v>
      </c>
      <c r="J70" s="350"/>
      <c r="K70" s="334">
        <f t="shared" ca="1" si="85"/>
        <v>0</v>
      </c>
      <c r="L70" s="350"/>
      <c r="M70" s="334">
        <f t="shared" ca="1" si="86"/>
        <v>0</v>
      </c>
      <c r="N70" s="350"/>
      <c r="O70" s="334">
        <f t="shared" ca="1" si="87"/>
        <v>0</v>
      </c>
      <c r="P70" s="350"/>
      <c r="Q70" s="334">
        <f t="shared" ca="1" si="88"/>
        <v>0</v>
      </c>
      <c r="R70" s="350"/>
      <c r="S70" s="334">
        <f t="shared" ca="1" si="89"/>
        <v>0</v>
      </c>
      <c r="T70" s="350"/>
      <c r="U70" s="334">
        <f t="shared" ca="1" si="90"/>
        <v>0</v>
      </c>
      <c r="V70" s="350"/>
      <c r="W70" s="334">
        <f t="shared" ca="1" si="91"/>
        <v>0</v>
      </c>
      <c r="X70" s="350"/>
      <c r="Y70" s="334">
        <f t="shared" ca="1" si="92"/>
        <v>0</v>
      </c>
      <c r="Z70" s="350"/>
      <c r="AA70" s="334">
        <f t="shared" ca="1" si="93"/>
        <v>0</v>
      </c>
      <c r="AB70" s="350"/>
      <c r="AC70" s="334">
        <f t="shared" ca="1" si="94"/>
        <v>0</v>
      </c>
      <c r="AD70" s="350"/>
      <c r="AE70" s="334">
        <f t="shared" ca="1" si="95"/>
        <v>0</v>
      </c>
      <c r="AF70" s="350"/>
      <c r="AG70" s="334">
        <f t="shared" ca="1" si="96"/>
        <v>0</v>
      </c>
      <c r="AH70" s="350"/>
      <c r="AI70" s="334">
        <f t="shared" ca="1" si="97"/>
        <v>0</v>
      </c>
      <c r="AJ70" s="350"/>
      <c r="AK70" s="334">
        <f t="shared" ca="1" si="98"/>
        <v>0</v>
      </c>
      <c r="AL70" s="350"/>
      <c r="AM70" s="334">
        <f t="shared" ca="1" si="99"/>
        <v>0</v>
      </c>
      <c r="AN70" s="350">
        <f t="shared" si="100"/>
        <v>0</v>
      </c>
      <c r="AO70" s="334">
        <f t="shared" ca="1" si="101"/>
        <v>0</v>
      </c>
    </row>
    <row r="71" spans="1:41" ht="15" customHeight="1" x14ac:dyDescent="0.25">
      <c r="A71" s="156" t="str">
        <f>PQ!B78</f>
        <v>D.2.3</v>
      </c>
      <c r="B71" s="196" t="str">
        <f>PQ!C78</f>
        <v>Rachão ou pedra de mão</v>
      </c>
      <c r="C71" s="334">
        <f ca="1">RESUMO!N73</f>
        <v>0</v>
      </c>
      <c r="D71" s="350"/>
      <c r="E71" s="334">
        <f t="shared" ca="1" si="82"/>
        <v>0</v>
      </c>
      <c r="F71" s="350"/>
      <c r="G71" s="334">
        <f t="shared" ca="1" si="83"/>
        <v>0</v>
      </c>
      <c r="H71" s="350"/>
      <c r="I71" s="334">
        <f t="shared" ca="1" si="84"/>
        <v>0</v>
      </c>
      <c r="J71" s="350"/>
      <c r="K71" s="334">
        <f t="shared" ca="1" si="85"/>
        <v>0</v>
      </c>
      <c r="L71" s="350"/>
      <c r="M71" s="334">
        <f t="shared" ca="1" si="86"/>
        <v>0</v>
      </c>
      <c r="N71" s="350"/>
      <c r="O71" s="334">
        <f t="shared" ca="1" si="87"/>
        <v>0</v>
      </c>
      <c r="P71" s="350"/>
      <c r="Q71" s="334">
        <f t="shared" ca="1" si="88"/>
        <v>0</v>
      </c>
      <c r="R71" s="350"/>
      <c r="S71" s="334">
        <f t="shared" ca="1" si="89"/>
        <v>0</v>
      </c>
      <c r="T71" s="350"/>
      <c r="U71" s="334">
        <f t="shared" ca="1" si="90"/>
        <v>0</v>
      </c>
      <c r="V71" s="350"/>
      <c r="W71" s="334">
        <f t="shared" ca="1" si="91"/>
        <v>0</v>
      </c>
      <c r="X71" s="350"/>
      <c r="Y71" s="334">
        <f t="shared" ca="1" si="92"/>
        <v>0</v>
      </c>
      <c r="Z71" s="350"/>
      <c r="AA71" s="334">
        <f t="shared" ca="1" si="93"/>
        <v>0</v>
      </c>
      <c r="AB71" s="350"/>
      <c r="AC71" s="334">
        <f t="shared" ca="1" si="94"/>
        <v>0</v>
      </c>
      <c r="AD71" s="350"/>
      <c r="AE71" s="334">
        <f t="shared" ca="1" si="95"/>
        <v>0</v>
      </c>
      <c r="AF71" s="350"/>
      <c r="AG71" s="334">
        <f t="shared" ca="1" si="96"/>
        <v>0</v>
      </c>
      <c r="AH71" s="350"/>
      <c r="AI71" s="334">
        <f t="shared" ca="1" si="97"/>
        <v>0</v>
      </c>
      <c r="AJ71" s="350"/>
      <c r="AK71" s="334">
        <f t="shared" ca="1" si="98"/>
        <v>0</v>
      </c>
      <c r="AL71" s="350"/>
      <c r="AM71" s="334">
        <f t="shared" ca="1" si="99"/>
        <v>0</v>
      </c>
      <c r="AN71" s="350">
        <f t="shared" si="100"/>
        <v>0</v>
      </c>
      <c r="AO71" s="334">
        <f t="shared" ca="1" si="101"/>
        <v>0</v>
      </c>
    </row>
    <row r="72" spans="1:41" ht="15" customHeight="1" x14ac:dyDescent="0.25">
      <c r="A72" s="156" t="str">
        <f>PQ!B79</f>
        <v>D.2.4</v>
      </c>
      <c r="B72" s="196" t="str">
        <f>PQ!C79</f>
        <v>Sub-base ou base de brita graduada simples (BGS)</v>
      </c>
      <c r="C72" s="334">
        <f ca="1">RESUMO!N74</f>
        <v>0</v>
      </c>
      <c r="D72" s="350"/>
      <c r="E72" s="334">
        <f t="shared" ca="1" si="82"/>
        <v>0</v>
      </c>
      <c r="F72" s="350"/>
      <c r="G72" s="334">
        <f t="shared" ca="1" si="83"/>
        <v>0</v>
      </c>
      <c r="H72" s="350"/>
      <c r="I72" s="334">
        <f t="shared" ca="1" si="84"/>
        <v>0</v>
      </c>
      <c r="J72" s="350"/>
      <c r="K72" s="334">
        <f t="shared" ca="1" si="85"/>
        <v>0</v>
      </c>
      <c r="L72" s="350"/>
      <c r="M72" s="334">
        <f t="shared" ca="1" si="86"/>
        <v>0</v>
      </c>
      <c r="N72" s="350"/>
      <c r="O72" s="334">
        <f t="shared" ca="1" si="87"/>
        <v>0</v>
      </c>
      <c r="P72" s="350"/>
      <c r="Q72" s="334">
        <f t="shared" ca="1" si="88"/>
        <v>0</v>
      </c>
      <c r="R72" s="350"/>
      <c r="S72" s="334">
        <f t="shared" ca="1" si="89"/>
        <v>0</v>
      </c>
      <c r="T72" s="350"/>
      <c r="U72" s="334">
        <f t="shared" ca="1" si="90"/>
        <v>0</v>
      </c>
      <c r="V72" s="350"/>
      <c r="W72" s="334">
        <f t="shared" ca="1" si="91"/>
        <v>0</v>
      </c>
      <c r="X72" s="350"/>
      <c r="Y72" s="334">
        <f t="shared" ca="1" si="92"/>
        <v>0</v>
      </c>
      <c r="Z72" s="350"/>
      <c r="AA72" s="334">
        <f t="shared" ca="1" si="93"/>
        <v>0</v>
      </c>
      <c r="AB72" s="350"/>
      <c r="AC72" s="334">
        <f t="shared" ca="1" si="94"/>
        <v>0</v>
      </c>
      <c r="AD72" s="350"/>
      <c r="AE72" s="334">
        <f t="shared" ca="1" si="95"/>
        <v>0</v>
      </c>
      <c r="AF72" s="350"/>
      <c r="AG72" s="334">
        <f t="shared" ca="1" si="96"/>
        <v>0</v>
      </c>
      <c r="AH72" s="350"/>
      <c r="AI72" s="334">
        <f t="shared" ca="1" si="97"/>
        <v>0</v>
      </c>
      <c r="AJ72" s="350"/>
      <c r="AK72" s="334">
        <f t="shared" ca="1" si="98"/>
        <v>0</v>
      </c>
      <c r="AL72" s="350"/>
      <c r="AM72" s="334">
        <f t="shared" ca="1" si="99"/>
        <v>0</v>
      </c>
      <c r="AN72" s="350">
        <f t="shared" si="100"/>
        <v>0</v>
      </c>
      <c r="AO72" s="334">
        <f t="shared" ca="1" si="101"/>
        <v>0</v>
      </c>
    </row>
    <row r="73" spans="1:41" ht="15" customHeight="1" x14ac:dyDescent="0.25">
      <c r="A73" s="156" t="str">
        <f>PQ!B80</f>
        <v>D.2.5</v>
      </c>
      <c r="B73" s="196" t="str">
        <f>PQ!C80</f>
        <v>Imprimadura betuminosa impermeabilizante</v>
      </c>
      <c r="C73" s="334">
        <f ca="1">RESUMO!N75</f>
        <v>0</v>
      </c>
      <c r="D73" s="350"/>
      <c r="E73" s="334">
        <f t="shared" ca="1" si="82"/>
        <v>0</v>
      </c>
      <c r="F73" s="350"/>
      <c r="G73" s="334">
        <f t="shared" ca="1" si="83"/>
        <v>0</v>
      </c>
      <c r="H73" s="350"/>
      <c r="I73" s="334">
        <f t="shared" ca="1" si="84"/>
        <v>0</v>
      </c>
      <c r="J73" s="350"/>
      <c r="K73" s="334">
        <f t="shared" ca="1" si="85"/>
        <v>0</v>
      </c>
      <c r="L73" s="350"/>
      <c r="M73" s="334">
        <f t="shared" ca="1" si="86"/>
        <v>0</v>
      </c>
      <c r="N73" s="350"/>
      <c r="O73" s="334">
        <f t="shared" ca="1" si="87"/>
        <v>0</v>
      </c>
      <c r="P73" s="350"/>
      <c r="Q73" s="334">
        <f t="shared" ca="1" si="88"/>
        <v>0</v>
      </c>
      <c r="R73" s="350"/>
      <c r="S73" s="334">
        <f t="shared" ca="1" si="89"/>
        <v>0</v>
      </c>
      <c r="T73" s="350"/>
      <c r="U73" s="334">
        <f t="shared" ca="1" si="90"/>
        <v>0</v>
      </c>
      <c r="V73" s="350"/>
      <c r="W73" s="334">
        <f t="shared" ca="1" si="91"/>
        <v>0</v>
      </c>
      <c r="X73" s="350"/>
      <c r="Y73" s="334">
        <f t="shared" ca="1" si="92"/>
        <v>0</v>
      </c>
      <c r="Z73" s="350"/>
      <c r="AA73" s="334">
        <f t="shared" ca="1" si="93"/>
        <v>0</v>
      </c>
      <c r="AB73" s="350"/>
      <c r="AC73" s="334">
        <f t="shared" ca="1" si="94"/>
        <v>0</v>
      </c>
      <c r="AD73" s="350"/>
      <c r="AE73" s="334">
        <f t="shared" ca="1" si="95"/>
        <v>0</v>
      </c>
      <c r="AF73" s="350"/>
      <c r="AG73" s="334">
        <f t="shared" ca="1" si="96"/>
        <v>0</v>
      </c>
      <c r="AH73" s="350"/>
      <c r="AI73" s="334">
        <f t="shared" ca="1" si="97"/>
        <v>0</v>
      </c>
      <c r="AJ73" s="350"/>
      <c r="AK73" s="334">
        <f t="shared" ca="1" si="98"/>
        <v>0</v>
      </c>
      <c r="AL73" s="350"/>
      <c r="AM73" s="334">
        <f t="shared" ca="1" si="99"/>
        <v>0</v>
      </c>
      <c r="AN73" s="350">
        <f t="shared" si="100"/>
        <v>0</v>
      </c>
      <c r="AO73" s="334">
        <f t="shared" ca="1" si="101"/>
        <v>0</v>
      </c>
    </row>
    <row r="74" spans="1:41" s="91" customFormat="1" ht="15" customHeight="1" x14ac:dyDescent="0.25">
      <c r="A74" s="156" t="str">
        <f>PQ!B81</f>
        <v>D.2.6</v>
      </c>
      <c r="B74" s="196" t="str">
        <f>PQ!C81</f>
        <v>Imprimadura betuminosa ligante</v>
      </c>
      <c r="C74" s="334">
        <f ca="1">RESUMO!N76</f>
        <v>0</v>
      </c>
      <c r="D74" s="350"/>
      <c r="E74" s="334">
        <f t="shared" ca="1" si="82"/>
        <v>0</v>
      </c>
      <c r="F74" s="350"/>
      <c r="G74" s="334">
        <f t="shared" ca="1" si="83"/>
        <v>0</v>
      </c>
      <c r="H74" s="350"/>
      <c r="I74" s="334">
        <f t="shared" ca="1" si="84"/>
        <v>0</v>
      </c>
      <c r="J74" s="350"/>
      <c r="K74" s="334">
        <f t="shared" ca="1" si="85"/>
        <v>0</v>
      </c>
      <c r="L74" s="350"/>
      <c r="M74" s="334">
        <f t="shared" ca="1" si="86"/>
        <v>0</v>
      </c>
      <c r="N74" s="350"/>
      <c r="O74" s="334">
        <f t="shared" ca="1" si="87"/>
        <v>0</v>
      </c>
      <c r="P74" s="350"/>
      <c r="Q74" s="334">
        <f t="shared" ca="1" si="88"/>
        <v>0</v>
      </c>
      <c r="R74" s="350"/>
      <c r="S74" s="334">
        <f t="shared" ca="1" si="89"/>
        <v>0</v>
      </c>
      <c r="T74" s="350"/>
      <c r="U74" s="334">
        <f t="shared" ca="1" si="90"/>
        <v>0</v>
      </c>
      <c r="V74" s="350"/>
      <c r="W74" s="334">
        <f t="shared" ca="1" si="91"/>
        <v>0</v>
      </c>
      <c r="X74" s="350"/>
      <c r="Y74" s="334">
        <f t="shared" ca="1" si="92"/>
        <v>0</v>
      </c>
      <c r="Z74" s="350"/>
      <c r="AA74" s="334">
        <f t="shared" ca="1" si="93"/>
        <v>0</v>
      </c>
      <c r="AB74" s="350"/>
      <c r="AC74" s="334">
        <f t="shared" ca="1" si="94"/>
        <v>0</v>
      </c>
      <c r="AD74" s="350"/>
      <c r="AE74" s="334">
        <f t="shared" ca="1" si="95"/>
        <v>0</v>
      </c>
      <c r="AF74" s="350"/>
      <c r="AG74" s="334">
        <f t="shared" ca="1" si="96"/>
        <v>0</v>
      </c>
      <c r="AH74" s="350"/>
      <c r="AI74" s="334">
        <f t="shared" ca="1" si="97"/>
        <v>0</v>
      </c>
      <c r="AJ74" s="350"/>
      <c r="AK74" s="334">
        <f t="shared" ca="1" si="98"/>
        <v>0</v>
      </c>
      <c r="AL74" s="350"/>
      <c r="AM74" s="334">
        <f t="shared" ca="1" si="99"/>
        <v>0</v>
      </c>
      <c r="AN74" s="350">
        <f t="shared" si="100"/>
        <v>0</v>
      </c>
      <c r="AO74" s="334">
        <f t="shared" ca="1" si="101"/>
        <v>0</v>
      </c>
    </row>
    <row r="75" spans="1:41" ht="15" customHeight="1" x14ac:dyDescent="0.25">
      <c r="A75" s="171" t="str">
        <f>PQ!B82</f>
        <v>D.2.7</v>
      </c>
      <c r="B75" s="197" t="str">
        <f>PQ!C82</f>
        <v>CBUQ  Faixa C/D c/ DOP ou polímero similar</v>
      </c>
      <c r="C75" s="335">
        <f ca="1">RESUMO!N77</f>
        <v>0</v>
      </c>
      <c r="D75" s="351"/>
      <c r="E75" s="335">
        <f t="shared" ca="1" si="82"/>
        <v>0</v>
      </c>
      <c r="F75" s="351"/>
      <c r="G75" s="335">
        <f t="shared" ca="1" si="83"/>
        <v>0</v>
      </c>
      <c r="H75" s="351"/>
      <c r="I75" s="335">
        <f t="shared" ca="1" si="84"/>
        <v>0</v>
      </c>
      <c r="J75" s="351"/>
      <c r="K75" s="335">
        <f t="shared" ca="1" si="85"/>
        <v>0</v>
      </c>
      <c r="L75" s="351"/>
      <c r="M75" s="335">
        <f t="shared" ca="1" si="86"/>
        <v>0</v>
      </c>
      <c r="N75" s="351"/>
      <c r="O75" s="335">
        <f t="shared" ca="1" si="87"/>
        <v>0</v>
      </c>
      <c r="P75" s="351"/>
      <c r="Q75" s="335">
        <f t="shared" ca="1" si="88"/>
        <v>0</v>
      </c>
      <c r="R75" s="351"/>
      <c r="S75" s="335">
        <f t="shared" ca="1" si="89"/>
        <v>0</v>
      </c>
      <c r="T75" s="351"/>
      <c r="U75" s="335">
        <f t="shared" ca="1" si="90"/>
        <v>0</v>
      </c>
      <c r="V75" s="351"/>
      <c r="W75" s="335">
        <f t="shared" ca="1" si="91"/>
        <v>0</v>
      </c>
      <c r="X75" s="351"/>
      <c r="Y75" s="335">
        <f t="shared" ca="1" si="92"/>
        <v>0</v>
      </c>
      <c r="Z75" s="351"/>
      <c r="AA75" s="335">
        <f t="shared" ca="1" si="93"/>
        <v>0</v>
      </c>
      <c r="AB75" s="351"/>
      <c r="AC75" s="335">
        <f t="shared" ca="1" si="94"/>
        <v>0</v>
      </c>
      <c r="AD75" s="351"/>
      <c r="AE75" s="335">
        <f t="shared" ca="1" si="95"/>
        <v>0</v>
      </c>
      <c r="AF75" s="351"/>
      <c r="AG75" s="335">
        <f t="shared" ca="1" si="96"/>
        <v>0</v>
      </c>
      <c r="AH75" s="351"/>
      <c r="AI75" s="335">
        <f t="shared" ca="1" si="97"/>
        <v>0</v>
      </c>
      <c r="AJ75" s="351"/>
      <c r="AK75" s="335">
        <f t="shared" ca="1" si="98"/>
        <v>0</v>
      </c>
      <c r="AL75" s="351"/>
      <c r="AM75" s="335">
        <f t="shared" ca="1" si="99"/>
        <v>0</v>
      </c>
      <c r="AN75" s="351">
        <f t="shared" si="100"/>
        <v>0</v>
      </c>
      <c r="AO75" s="335">
        <f t="shared" ca="1" si="101"/>
        <v>0</v>
      </c>
    </row>
    <row r="76" spans="1:41" s="345" customFormat="1" ht="15" customHeight="1" x14ac:dyDescent="0.25">
      <c r="A76" s="62" t="str">
        <f>PQ!B83</f>
        <v>D.3</v>
      </c>
      <c r="B76" s="199" t="str">
        <f>PQ!C83</f>
        <v>Material Betuminoso e Transportes</v>
      </c>
      <c r="C76" s="337">
        <f ca="1">RESUMO!N78</f>
        <v>0</v>
      </c>
      <c r="D76" s="353"/>
      <c r="E76" s="337">
        <f ca="1">SUBTOTAL(9,E77:E82)</f>
        <v>0</v>
      </c>
      <c r="F76" s="353"/>
      <c r="G76" s="337">
        <f ca="1">SUBTOTAL(9,G77:G82)</f>
        <v>0</v>
      </c>
      <c r="H76" s="353"/>
      <c r="I76" s="337">
        <f ca="1">SUBTOTAL(9,I77:I82)</f>
        <v>0</v>
      </c>
      <c r="J76" s="353"/>
      <c r="K76" s="337">
        <f ca="1">SUBTOTAL(9,K77:K82)</f>
        <v>0</v>
      </c>
      <c r="L76" s="353"/>
      <c r="M76" s="337">
        <f ca="1">SUBTOTAL(9,M77:M82)</f>
        <v>0</v>
      </c>
      <c r="N76" s="353"/>
      <c r="O76" s="337">
        <f ca="1">SUBTOTAL(9,O77:O82)</f>
        <v>0</v>
      </c>
      <c r="P76" s="353"/>
      <c r="Q76" s="337">
        <f ca="1">SUBTOTAL(9,Q77:Q82)</f>
        <v>0</v>
      </c>
      <c r="R76" s="353"/>
      <c r="S76" s="337">
        <f ca="1">SUBTOTAL(9,S77:S82)</f>
        <v>0</v>
      </c>
      <c r="T76" s="353"/>
      <c r="U76" s="337">
        <f ca="1">SUBTOTAL(9,U77:U82)</f>
        <v>0</v>
      </c>
      <c r="V76" s="353"/>
      <c r="W76" s="337">
        <f ca="1">SUBTOTAL(9,W77:W82)</f>
        <v>0</v>
      </c>
      <c r="X76" s="353"/>
      <c r="Y76" s="337">
        <f ca="1">SUBTOTAL(9,Y77:Y82)</f>
        <v>0</v>
      </c>
      <c r="Z76" s="353"/>
      <c r="AA76" s="337">
        <f ca="1">SUBTOTAL(9,AA77:AA82)</f>
        <v>0</v>
      </c>
      <c r="AB76" s="353"/>
      <c r="AC76" s="337">
        <f ca="1">SUBTOTAL(9,AC77:AC82)</f>
        <v>0</v>
      </c>
      <c r="AD76" s="353"/>
      <c r="AE76" s="337">
        <f ca="1">SUBTOTAL(9,AE77:AE82)</f>
        <v>0</v>
      </c>
      <c r="AF76" s="353"/>
      <c r="AG76" s="337">
        <f ca="1">SUBTOTAL(9,AG77:AG82)</f>
        <v>0</v>
      </c>
      <c r="AH76" s="353"/>
      <c r="AI76" s="337">
        <f ca="1">SUBTOTAL(9,AI77:AI82)</f>
        <v>0</v>
      </c>
      <c r="AJ76" s="353"/>
      <c r="AK76" s="337">
        <f ca="1">SUBTOTAL(9,AK77:AK82)</f>
        <v>0</v>
      </c>
      <c r="AL76" s="353"/>
      <c r="AM76" s="337">
        <f ca="1">SUBTOTAL(9,AM77:AM82)</f>
        <v>0</v>
      </c>
      <c r="AN76" s="353"/>
      <c r="AO76" s="337">
        <f ca="1">SUBTOTAL(9,AO77:AO82)</f>
        <v>0</v>
      </c>
    </row>
    <row r="77" spans="1:41" ht="15" customHeight="1" x14ac:dyDescent="0.25">
      <c r="A77" s="161" t="str">
        <f>PQ!B84</f>
        <v>D.3.1</v>
      </c>
      <c r="B77" s="195" t="str">
        <f>PQ!C84</f>
        <v>Fornecimento de CAP modificado com adição de polímero</v>
      </c>
      <c r="C77" s="333">
        <f ca="1">RESUMO!N79</f>
        <v>0</v>
      </c>
      <c r="D77" s="349"/>
      <c r="E77" s="333">
        <f t="shared" ref="E77:E82" ca="1" si="102">$C77*D77</f>
        <v>0</v>
      </c>
      <c r="F77" s="349"/>
      <c r="G77" s="333">
        <f t="shared" ref="G77:G82" ca="1" si="103">$C77*F77</f>
        <v>0</v>
      </c>
      <c r="H77" s="349"/>
      <c r="I77" s="333">
        <f t="shared" ref="I77:I82" ca="1" si="104">$C77*H77</f>
        <v>0</v>
      </c>
      <c r="J77" s="349"/>
      <c r="K77" s="333">
        <f t="shared" ref="K77:K82" ca="1" si="105">$C77*J77</f>
        <v>0</v>
      </c>
      <c r="L77" s="349"/>
      <c r="M77" s="333">
        <f t="shared" ref="M77:M82" ca="1" si="106">$C77*L77</f>
        <v>0</v>
      </c>
      <c r="N77" s="349"/>
      <c r="O77" s="333">
        <f t="shared" ref="O77:O82" ca="1" si="107">$C77*N77</f>
        <v>0</v>
      </c>
      <c r="P77" s="349"/>
      <c r="Q77" s="333">
        <f t="shared" ref="Q77:Q82" ca="1" si="108">$C77*P77</f>
        <v>0</v>
      </c>
      <c r="R77" s="349"/>
      <c r="S77" s="333">
        <f t="shared" ref="S77:S82" ca="1" si="109">$C77*R77</f>
        <v>0</v>
      </c>
      <c r="T77" s="349"/>
      <c r="U77" s="333">
        <f t="shared" ref="U77:U82" ca="1" si="110">$C77*T77</f>
        <v>0</v>
      </c>
      <c r="V77" s="349"/>
      <c r="W77" s="333">
        <f t="shared" ref="W77:W82" ca="1" si="111">$C77*V77</f>
        <v>0</v>
      </c>
      <c r="X77" s="349"/>
      <c r="Y77" s="333">
        <f t="shared" ref="Y77:Y82" ca="1" si="112">$C77*X77</f>
        <v>0</v>
      </c>
      <c r="Z77" s="349"/>
      <c r="AA77" s="333">
        <f t="shared" ref="AA77:AA82" ca="1" si="113">$C77*Z77</f>
        <v>0</v>
      </c>
      <c r="AB77" s="349"/>
      <c r="AC77" s="333">
        <f t="shared" ref="AC77:AC82" ca="1" si="114">$C77*AB77</f>
        <v>0</v>
      </c>
      <c r="AD77" s="349"/>
      <c r="AE77" s="333">
        <f t="shared" ref="AE77:AE82" ca="1" si="115">$C77*AD77</f>
        <v>0</v>
      </c>
      <c r="AF77" s="349"/>
      <c r="AG77" s="333">
        <f t="shared" ref="AG77:AG82" ca="1" si="116">$C77*AF77</f>
        <v>0</v>
      </c>
      <c r="AH77" s="349"/>
      <c r="AI77" s="333">
        <f t="shared" ref="AI77:AI82" ca="1" si="117">$C77*AH77</f>
        <v>0</v>
      </c>
      <c r="AJ77" s="349"/>
      <c r="AK77" s="333">
        <f t="shared" ref="AK77:AK82" ca="1" si="118">$C77*AJ77</f>
        <v>0</v>
      </c>
      <c r="AL77" s="349"/>
      <c r="AM77" s="333">
        <f t="shared" ref="AM77:AM82" ca="1" si="119">$C77*AL77</f>
        <v>0</v>
      </c>
      <c r="AN77" s="349">
        <f t="shared" ref="AN77:AN82" si="120">SUM(D77,F77,H77,J77,L77,N77,P77,R77,T77,V77,X77,Z77,AB77,AD77,AF77,AH77,AJ77,AL77)</f>
        <v>0</v>
      </c>
      <c r="AO77" s="333">
        <f t="shared" ref="AO77:AO82" ca="1" si="121">$C77*AN77</f>
        <v>0</v>
      </c>
    </row>
    <row r="78" spans="1:41" ht="15" customHeight="1" x14ac:dyDescent="0.25">
      <c r="A78" s="156" t="str">
        <f>PQ!B85</f>
        <v>D.3.2</v>
      </c>
      <c r="B78" s="196" t="str">
        <f>PQ!C85</f>
        <v xml:space="preserve">Fornecimento de emulsão asfáltica tipo RR-1C                                </v>
      </c>
      <c r="C78" s="334">
        <f ca="1">RESUMO!N80</f>
        <v>0</v>
      </c>
      <c r="D78" s="350"/>
      <c r="E78" s="334">
        <f t="shared" ca="1" si="102"/>
        <v>0</v>
      </c>
      <c r="F78" s="350"/>
      <c r="G78" s="334">
        <f t="shared" ca="1" si="103"/>
        <v>0</v>
      </c>
      <c r="H78" s="350"/>
      <c r="I78" s="334">
        <f t="shared" ca="1" si="104"/>
        <v>0</v>
      </c>
      <c r="J78" s="350"/>
      <c r="K78" s="334">
        <f t="shared" ca="1" si="105"/>
        <v>0</v>
      </c>
      <c r="L78" s="350"/>
      <c r="M78" s="334">
        <f t="shared" ca="1" si="106"/>
        <v>0</v>
      </c>
      <c r="N78" s="350"/>
      <c r="O78" s="334">
        <f t="shared" ca="1" si="107"/>
        <v>0</v>
      </c>
      <c r="P78" s="350"/>
      <c r="Q78" s="334">
        <f t="shared" ca="1" si="108"/>
        <v>0</v>
      </c>
      <c r="R78" s="350"/>
      <c r="S78" s="334">
        <f t="shared" ca="1" si="109"/>
        <v>0</v>
      </c>
      <c r="T78" s="350"/>
      <c r="U78" s="334">
        <f t="shared" ca="1" si="110"/>
        <v>0</v>
      </c>
      <c r="V78" s="350"/>
      <c r="W78" s="334">
        <f t="shared" ca="1" si="111"/>
        <v>0</v>
      </c>
      <c r="X78" s="350"/>
      <c r="Y78" s="334">
        <f t="shared" ca="1" si="112"/>
        <v>0</v>
      </c>
      <c r="Z78" s="350"/>
      <c r="AA78" s="334">
        <f t="shared" ca="1" si="113"/>
        <v>0</v>
      </c>
      <c r="AB78" s="350"/>
      <c r="AC78" s="334">
        <f t="shared" ca="1" si="114"/>
        <v>0</v>
      </c>
      <c r="AD78" s="350"/>
      <c r="AE78" s="334">
        <f t="shared" ca="1" si="115"/>
        <v>0</v>
      </c>
      <c r="AF78" s="350"/>
      <c r="AG78" s="334">
        <f t="shared" ca="1" si="116"/>
        <v>0</v>
      </c>
      <c r="AH78" s="350"/>
      <c r="AI78" s="334">
        <f t="shared" ca="1" si="117"/>
        <v>0</v>
      </c>
      <c r="AJ78" s="350"/>
      <c r="AK78" s="334">
        <f t="shared" ca="1" si="118"/>
        <v>0</v>
      </c>
      <c r="AL78" s="350"/>
      <c r="AM78" s="334">
        <f t="shared" ca="1" si="119"/>
        <v>0</v>
      </c>
      <c r="AN78" s="350">
        <f t="shared" si="120"/>
        <v>0</v>
      </c>
      <c r="AO78" s="334">
        <f t="shared" ca="1" si="121"/>
        <v>0</v>
      </c>
    </row>
    <row r="79" spans="1:41" ht="15" customHeight="1" x14ac:dyDescent="0.25">
      <c r="A79" s="156" t="str">
        <f>PQ!B86</f>
        <v>D.3.3</v>
      </c>
      <c r="B79" s="196" t="str">
        <f>PQ!C86</f>
        <v xml:space="preserve">Fornecimento de emulsão asfáltica Imprimer                </v>
      </c>
      <c r="C79" s="334">
        <f ca="1">RESUMO!N81</f>
        <v>0</v>
      </c>
      <c r="D79" s="350"/>
      <c r="E79" s="334">
        <f t="shared" ca="1" si="102"/>
        <v>0</v>
      </c>
      <c r="F79" s="350"/>
      <c r="G79" s="334">
        <f t="shared" ca="1" si="103"/>
        <v>0</v>
      </c>
      <c r="H79" s="350"/>
      <c r="I79" s="334">
        <f t="shared" ca="1" si="104"/>
        <v>0</v>
      </c>
      <c r="J79" s="350"/>
      <c r="K79" s="334">
        <f t="shared" ca="1" si="105"/>
        <v>0</v>
      </c>
      <c r="L79" s="350"/>
      <c r="M79" s="334">
        <f t="shared" ca="1" si="106"/>
        <v>0</v>
      </c>
      <c r="N79" s="350"/>
      <c r="O79" s="334">
        <f t="shared" ca="1" si="107"/>
        <v>0</v>
      </c>
      <c r="P79" s="350"/>
      <c r="Q79" s="334">
        <f t="shared" ca="1" si="108"/>
        <v>0</v>
      </c>
      <c r="R79" s="350"/>
      <c r="S79" s="334">
        <f t="shared" ca="1" si="109"/>
        <v>0</v>
      </c>
      <c r="T79" s="350"/>
      <c r="U79" s="334">
        <f t="shared" ca="1" si="110"/>
        <v>0</v>
      </c>
      <c r="V79" s="350"/>
      <c r="W79" s="334">
        <f t="shared" ca="1" si="111"/>
        <v>0</v>
      </c>
      <c r="X79" s="350"/>
      <c r="Y79" s="334">
        <f t="shared" ca="1" si="112"/>
        <v>0</v>
      </c>
      <c r="Z79" s="350"/>
      <c r="AA79" s="334">
        <f t="shared" ca="1" si="113"/>
        <v>0</v>
      </c>
      <c r="AB79" s="350"/>
      <c r="AC79" s="334">
        <f t="shared" ca="1" si="114"/>
        <v>0</v>
      </c>
      <c r="AD79" s="350"/>
      <c r="AE79" s="334">
        <f t="shared" ca="1" si="115"/>
        <v>0</v>
      </c>
      <c r="AF79" s="350"/>
      <c r="AG79" s="334">
        <f t="shared" ca="1" si="116"/>
        <v>0</v>
      </c>
      <c r="AH79" s="350"/>
      <c r="AI79" s="334">
        <f t="shared" ca="1" si="117"/>
        <v>0</v>
      </c>
      <c r="AJ79" s="350"/>
      <c r="AK79" s="334">
        <f t="shared" ca="1" si="118"/>
        <v>0</v>
      </c>
      <c r="AL79" s="350"/>
      <c r="AM79" s="334">
        <f t="shared" ca="1" si="119"/>
        <v>0</v>
      </c>
      <c r="AN79" s="350">
        <f t="shared" si="120"/>
        <v>0</v>
      </c>
      <c r="AO79" s="334">
        <f t="shared" ca="1" si="121"/>
        <v>0</v>
      </c>
    </row>
    <row r="80" spans="1:41" ht="15" customHeight="1" x14ac:dyDescent="0.25">
      <c r="A80" s="156" t="str">
        <f>PQ!B87</f>
        <v>D.3.4</v>
      </c>
      <c r="B80" s="196" t="str">
        <f>PQ!C87</f>
        <v xml:space="preserve">Transporte com caminhão basculante de 14 m³ - rodovia pavimentada  - Agregados  </v>
      </c>
      <c r="C80" s="334">
        <f ca="1">RESUMO!N82</f>
        <v>0</v>
      </c>
      <c r="D80" s="350"/>
      <c r="E80" s="334">
        <f t="shared" ca="1" si="102"/>
        <v>0</v>
      </c>
      <c r="F80" s="350"/>
      <c r="G80" s="334">
        <f t="shared" ca="1" si="103"/>
        <v>0</v>
      </c>
      <c r="H80" s="350"/>
      <c r="I80" s="334">
        <f t="shared" ca="1" si="104"/>
        <v>0</v>
      </c>
      <c r="J80" s="350"/>
      <c r="K80" s="334">
        <f t="shared" ca="1" si="105"/>
        <v>0</v>
      </c>
      <c r="L80" s="350"/>
      <c r="M80" s="334">
        <f t="shared" ca="1" si="106"/>
        <v>0</v>
      </c>
      <c r="N80" s="350"/>
      <c r="O80" s="334">
        <f t="shared" ca="1" si="107"/>
        <v>0</v>
      </c>
      <c r="P80" s="350"/>
      <c r="Q80" s="334">
        <f t="shared" ca="1" si="108"/>
        <v>0</v>
      </c>
      <c r="R80" s="350"/>
      <c r="S80" s="334">
        <f t="shared" ca="1" si="109"/>
        <v>0</v>
      </c>
      <c r="T80" s="350"/>
      <c r="U80" s="334">
        <f t="shared" ca="1" si="110"/>
        <v>0</v>
      </c>
      <c r="V80" s="350"/>
      <c r="W80" s="334">
        <f t="shared" ca="1" si="111"/>
        <v>0</v>
      </c>
      <c r="X80" s="350"/>
      <c r="Y80" s="334">
        <f t="shared" ca="1" si="112"/>
        <v>0</v>
      </c>
      <c r="Z80" s="350"/>
      <c r="AA80" s="334">
        <f t="shared" ca="1" si="113"/>
        <v>0</v>
      </c>
      <c r="AB80" s="350"/>
      <c r="AC80" s="334">
        <f t="shared" ca="1" si="114"/>
        <v>0</v>
      </c>
      <c r="AD80" s="350"/>
      <c r="AE80" s="334">
        <f t="shared" ca="1" si="115"/>
        <v>0</v>
      </c>
      <c r="AF80" s="350"/>
      <c r="AG80" s="334">
        <f t="shared" ca="1" si="116"/>
        <v>0</v>
      </c>
      <c r="AH80" s="350"/>
      <c r="AI80" s="334">
        <f t="shared" ca="1" si="117"/>
        <v>0</v>
      </c>
      <c r="AJ80" s="350"/>
      <c r="AK80" s="334">
        <f t="shared" ca="1" si="118"/>
        <v>0</v>
      </c>
      <c r="AL80" s="350"/>
      <c r="AM80" s="334">
        <f t="shared" ca="1" si="119"/>
        <v>0</v>
      </c>
      <c r="AN80" s="350">
        <f t="shared" si="120"/>
        <v>0</v>
      </c>
      <c r="AO80" s="334">
        <f t="shared" ca="1" si="121"/>
        <v>0</v>
      </c>
    </row>
    <row r="81" spans="1:41" ht="15" customHeight="1" x14ac:dyDescent="0.25">
      <c r="A81" s="156" t="str">
        <f>PQ!B88</f>
        <v>D.3.5</v>
      </c>
      <c r="B81" s="196" t="str">
        <f>PQ!C88</f>
        <v xml:space="preserve">Transporte com caminhão basculante de 14 m³ - rodovia pavimentada  - Massa Asfaltica  </v>
      </c>
      <c r="C81" s="334">
        <f ca="1">RESUMO!N83</f>
        <v>0</v>
      </c>
      <c r="D81" s="350"/>
      <c r="E81" s="334">
        <f t="shared" ca="1" si="102"/>
        <v>0</v>
      </c>
      <c r="F81" s="350"/>
      <c r="G81" s="334">
        <f t="shared" ca="1" si="103"/>
        <v>0</v>
      </c>
      <c r="H81" s="350"/>
      <c r="I81" s="334">
        <f t="shared" ca="1" si="104"/>
        <v>0</v>
      </c>
      <c r="J81" s="350"/>
      <c r="K81" s="334">
        <f t="shared" ca="1" si="105"/>
        <v>0</v>
      </c>
      <c r="L81" s="350"/>
      <c r="M81" s="334">
        <f t="shared" ca="1" si="106"/>
        <v>0</v>
      </c>
      <c r="N81" s="350"/>
      <c r="O81" s="334">
        <f t="shared" ca="1" si="107"/>
        <v>0</v>
      </c>
      <c r="P81" s="350"/>
      <c r="Q81" s="334">
        <f t="shared" ca="1" si="108"/>
        <v>0</v>
      </c>
      <c r="R81" s="350"/>
      <c r="S81" s="334">
        <f t="shared" ca="1" si="109"/>
        <v>0</v>
      </c>
      <c r="T81" s="350"/>
      <c r="U81" s="334">
        <f t="shared" ca="1" si="110"/>
        <v>0</v>
      </c>
      <c r="V81" s="350"/>
      <c r="W81" s="334">
        <f t="shared" ca="1" si="111"/>
        <v>0</v>
      </c>
      <c r="X81" s="350"/>
      <c r="Y81" s="334">
        <f t="shared" ca="1" si="112"/>
        <v>0</v>
      </c>
      <c r="Z81" s="350"/>
      <c r="AA81" s="334">
        <f t="shared" ca="1" si="113"/>
        <v>0</v>
      </c>
      <c r="AB81" s="350"/>
      <c r="AC81" s="334">
        <f t="shared" ca="1" si="114"/>
        <v>0</v>
      </c>
      <c r="AD81" s="350"/>
      <c r="AE81" s="334">
        <f t="shared" ca="1" si="115"/>
        <v>0</v>
      </c>
      <c r="AF81" s="350"/>
      <c r="AG81" s="334">
        <f t="shared" ca="1" si="116"/>
        <v>0</v>
      </c>
      <c r="AH81" s="350"/>
      <c r="AI81" s="334">
        <f t="shared" ca="1" si="117"/>
        <v>0</v>
      </c>
      <c r="AJ81" s="350"/>
      <c r="AK81" s="334">
        <f t="shared" ca="1" si="118"/>
        <v>0</v>
      </c>
      <c r="AL81" s="350"/>
      <c r="AM81" s="334">
        <f t="shared" ca="1" si="119"/>
        <v>0</v>
      </c>
      <c r="AN81" s="350">
        <f t="shared" si="120"/>
        <v>0</v>
      </c>
      <c r="AO81" s="334">
        <f t="shared" ca="1" si="121"/>
        <v>0</v>
      </c>
    </row>
    <row r="82" spans="1:41" ht="15" customHeight="1" x14ac:dyDescent="0.25">
      <c r="A82" s="171" t="str">
        <f>PQ!B89</f>
        <v>D.3.6</v>
      </c>
      <c r="B82" s="197" t="str">
        <f>PQ!C89</f>
        <v>Transporte com caminhão basculante de 14 m³ - rodovia pavimentada  - Materiais Betuminosos</v>
      </c>
      <c r="C82" s="335">
        <f ca="1">RESUMO!N84</f>
        <v>0</v>
      </c>
      <c r="D82" s="351"/>
      <c r="E82" s="335">
        <f t="shared" ca="1" si="102"/>
        <v>0</v>
      </c>
      <c r="F82" s="351"/>
      <c r="G82" s="335">
        <f t="shared" ca="1" si="103"/>
        <v>0</v>
      </c>
      <c r="H82" s="351"/>
      <c r="I82" s="335">
        <f t="shared" ca="1" si="104"/>
        <v>0</v>
      </c>
      <c r="J82" s="351"/>
      <c r="K82" s="335">
        <f t="shared" ca="1" si="105"/>
        <v>0</v>
      </c>
      <c r="L82" s="351"/>
      <c r="M82" s="335">
        <f t="shared" ca="1" si="106"/>
        <v>0</v>
      </c>
      <c r="N82" s="351"/>
      <c r="O82" s="335">
        <f t="shared" ca="1" si="107"/>
        <v>0</v>
      </c>
      <c r="P82" s="351"/>
      <c r="Q82" s="335">
        <f t="shared" ca="1" si="108"/>
        <v>0</v>
      </c>
      <c r="R82" s="351"/>
      <c r="S82" s="335">
        <f t="shared" ca="1" si="109"/>
        <v>0</v>
      </c>
      <c r="T82" s="351"/>
      <c r="U82" s="335">
        <f t="shared" ca="1" si="110"/>
        <v>0</v>
      </c>
      <c r="V82" s="351"/>
      <c r="W82" s="335">
        <f t="shared" ca="1" si="111"/>
        <v>0</v>
      </c>
      <c r="X82" s="351"/>
      <c r="Y82" s="335">
        <f t="shared" ca="1" si="112"/>
        <v>0</v>
      </c>
      <c r="Z82" s="351"/>
      <c r="AA82" s="335">
        <f t="shared" ca="1" si="113"/>
        <v>0</v>
      </c>
      <c r="AB82" s="351"/>
      <c r="AC82" s="335">
        <f t="shared" ca="1" si="114"/>
        <v>0</v>
      </c>
      <c r="AD82" s="351"/>
      <c r="AE82" s="335">
        <f t="shared" ca="1" si="115"/>
        <v>0</v>
      </c>
      <c r="AF82" s="351"/>
      <c r="AG82" s="335">
        <f t="shared" ca="1" si="116"/>
        <v>0</v>
      </c>
      <c r="AH82" s="351"/>
      <c r="AI82" s="335">
        <f t="shared" ca="1" si="117"/>
        <v>0</v>
      </c>
      <c r="AJ82" s="351"/>
      <c r="AK82" s="335">
        <f t="shared" ca="1" si="118"/>
        <v>0</v>
      </c>
      <c r="AL82" s="351"/>
      <c r="AM82" s="335">
        <f t="shared" ca="1" si="119"/>
        <v>0</v>
      </c>
      <c r="AN82" s="351">
        <f t="shared" si="120"/>
        <v>0</v>
      </c>
      <c r="AO82" s="335">
        <f t="shared" ca="1" si="121"/>
        <v>0</v>
      </c>
    </row>
    <row r="83" spans="1:41" s="345" customFormat="1" ht="15" customHeight="1" x14ac:dyDescent="0.25">
      <c r="A83" s="62" t="str">
        <f>PQ!B90</f>
        <v>D.4</v>
      </c>
      <c r="B83" s="199" t="str">
        <f>PQ!C90</f>
        <v>Drenagem e OACs</v>
      </c>
      <c r="C83" s="337">
        <f ca="1">RESUMO!N85</f>
        <v>8340.4000000000015</v>
      </c>
      <c r="D83" s="353"/>
      <c r="E83" s="337">
        <f ca="1">SUBTOTAL(9,E84:E85)</f>
        <v>0</v>
      </c>
      <c r="F83" s="353"/>
      <c r="G83" s="337">
        <f ca="1">SUBTOTAL(9,G84:G85)</f>
        <v>0</v>
      </c>
      <c r="H83" s="353"/>
      <c r="I83" s="337">
        <f ca="1">SUBTOTAL(9,I84:I85)</f>
        <v>0</v>
      </c>
      <c r="J83" s="353"/>
      <c r="K83" s="337">
        <f ca="1">SUBTOTAL(9,K84:K85)</f>
        <v>0</v>
      </c>
      <c r="L83" s="353"/>
      <c r="M83" s="337">
        <f ca="1">SUBTOTAL(9,M84:M85)</f>
        <v>0</v>
      </c>
      <c r="N83" s="353"/>
      <c r="O83" s="337">
        <f ca="1">SUBTOTAL(9,O84:O85)</f>
        <v>0</v>
      </c>
      <c r="P83" s="353"/>
      <c r="Q83" s="337">
        <f ca="1">SUBTOTAL(9,Q84:Q85)</f>
        <v>0</v>
      </c>
      <c r="R83" s="353"/>
      <c r="S83" s="337">
        <f ca="1">SUBTOTAL(9,S84:S85)</f>
        <v>0</v>
      </c>
      <c r="T83" s="353"/>
      <c r="U83" s="337">
        <f ca="1">SUBTOTAL(9,U84:U85)</f>
        <v>0</v>
      </c>
      <c r="V83" s="353"/>
      <c r="W83" s="337">
        <f ca="1">SUBTOTAL(9,W84:W85)</f>
        <v>8340.4000000000015</v>
      </c>
      <c r="X83" s="353"/>
      <c r="Y83" s="337">
        <f ca="1">SUBTOTAL(9,Y84:Y85)</f>
        <v>0</v>
      </c>
      <c r="Z83" s="353"/>
      <c r="AA83" s="337">
        <f ca="1">SUBTOTAL(9,AA84:AA85)</f>
        <v>0</v>
      </c>
      <c r="AB83" s="353"/>
      <c r="AC83" s="337">
        <f ca="1">SUBTOTAL(9,AC84:AC85)</f>
        <v>0</v>
      </c>
      <c r="AD83" s="353"/>
      <c r="AE83" s="337">
        <f ca="1">SUBTOTAL(9,AE84:AE85)</f>
        <v>0</v>
      </c>
      <c r="AF83" s="353"/>
      <c r="AG83" s="337">
        <f ca="1">SUBTOTAL(9,AG84:AG85)</f>
        <v>0</v>
      </c>
      <c r="AH83" s="353"/>
      <c r="AI83" s="337">
        <f ca="1">SUBTOTAL(9,AI84:AI85)</f>
        <v>0</v>
      </c>
      <c r="AJ83" s="353"/>
      <c r="AK83" s="337">
        <f ca="1">SUBTOTAL(9,AK84:AK85)</f>
        <v>0</v>
      </c>
      <c r="AL83" s="353"/>
      <c r="AM83" s="337">
        <f ca="1">SUBTOTAL(9,AM84:AM85)</f>
        <v>0</v>
      </c>
      <c r="AN83" s="353"/>
      <c r="AO83" s="337">
        <f ca="1">SUBTOTAL(9,AO84:AO85)</f>
        <v>8340.4000000000015</v>
      </c>
    </row>
    <row r="84" spans="1:41" ht="15" customHeight="1" x14ac:dyDescent="0.25">
      <c r="A84" s="161" t="str">
        <f>PQ!B91</f>
        <v>D.4.1</v>
      </c>
      <c r="B84" s="195" t="str">
        <f>PQ!C91</f>
        <v>Sarjeta triangular de concreto - STC 88-20 - escavação mecânica - areia e brita comerciais</v>
      </c>
      <c r="C84" s="333">
        <f ca="1">RESUMO!N86</f>
        <v>8340.4000000000015</v>
      </c>
      <c r="D84" s="349"/>
      <c r="E84" s="333">
        <f ca="1">$C84*D84</f>
        <v>0</v>
      </c>
      <c r="F84" s="349"/>
      <c r="G84" s="333">
        <f ca="1">$C84*F84</f>
        <v>0</v>
      </c>
      <c r="H84" s="349"/>
      <c r="I84" s="333">
        <f ca="1">$C84*H84</f>
        <v>0</v>
      </c>
      <c r="J84" s="349"/>
      <c r="K84" s="333">
        <f ca="1">$C84*J84</f>
        <v>0</v>
      </c>
      <c r="L84" s="349"/>
      <c r="M84" s="333">
        <f ca="1">$C84*L84</f>
        <v>0</v>
      </c>
      <c r="N84" s="349"/>
      <c r="O84" s="333">
        <f ca="1">$C84*N84</f>
        <v>0</v>
      </c>
      <c r="P84" s="349"/>
      <c r="Q84" s="333">
        <f ca="1">$C84*P84</f>
        <v>0</v>
      </c>
      <c r="R84" s="349"/>
      <c r="S84" s="333">
        <f ca="1">$C84*R84</f>
        <v>0</v>
      </c>
      <c r="T84" s="349"/>
      <c r="U84" s="333">
        <f ca="1">$C84*T84</f>
        <v>0</v>
      </c>
      <c r="V84" s="349">
        <v>1</v>
      </c>
      <c r="W84" s="333">
        <f ca="1">$C84*V84</f>
        <v>8340.4000000000015</v>
      </c>
      <c r="X84" s="349"/>
      <c r="Y84" s="333">
        <f ca="1">$C84*X84</f>
        <v>0</v>
      </c>
      <c r="Z84" s="349"/>
      <c r="AA84" s="333">
        <f ca="1">$C84*Z84</f>
        <v>0</v>
      </c>
      <c r="AB84" s="349"/>
      <c r="AC84" s="333">
        <f ca="1">$C84*AB84</f>
        <v>0</v>
      </c>
      <c r="AD84" s="349"/>
      <c r="AE84" s="333">
        <f ca="1">$C84*AD84</f>
        <v>0</v>
      </c>
      <c r="AF84" s="349"/>
      <c r="AG84" s="333">
        <f ca="1">$C84*AF84</f>
        <v>0</v>
      </c>
      <c r="AH84" s="349"/>
      <c r="AI84" s="333">
        <f ca="1">$C84*AH84</f>
        <v>0</v>
      </c>
      <c r="AJ84" s="349"/>
      <c r="AK84" s="333">
        <f ca="1">$C84*AJ84</f>
        <v>0</v>
      </c>
      <c r="AL84" s="349"/>
      <c r="AM84" s="333">
        <f ca="1">$C84*AL84</f>
        <v>0</v>
      </c>
      <c r="AN84" s="349">
        <f t="shared" ref="AN84:AN85" si="122">SUM(D84,F84,H84,J84,L84,N84,P84,R84,T84,V84,X84,Z84,AB84,AD84,AF84,AH84,AJ84,AL84)</f>
        <v>1</v>
      </c>
      <c r="AO84" s="333">
        <f ca="1">$C84*AN84</f>
        <v>8340.4000000000015</v>
      </c>
    </row>
    <row r="85" spans="1:41" ht="15" customHeight="1" x14ac:dyDescent="0.25">
      <c r="A85" s="156" t="str">
        <f>PQ!B92</f>
        <v>D.4.2</v>
      </c>
      <c r="B85" s="196" t="str">
        <f>PQ!C92</f>
        <v>Dissipador de energia - DES 88-264 - areia, brita e pedra de mão comerciais</v>
      </c>
      <c r="C85" s="334">
        <f ca="1">RESUMO!N87</f>
        <v>0</v>
      </c>
      <c r="D85" s="350"/>
      <c r="E85" s="334">
        <f ca="1">$C85*D85</f>
        <v>0</v>
      </c>
      <c r="F85" s="350"/>
      <c r="G85" s="334">
        <f ca="1">$C85*F85</f>
        <v>0</v>
      </c>
      <c r="H85" s="350"/>
      <c r="I85" s="334">
        <f ca="1">$C85*H85</f>
        <v>0</v>
      </c>
      <c r="J85" s="350"/>
      <c r="K85" s="334">
        <f ca="1">$C85*J85</f>
        <v>0</v>
      </c>
      <c r="L85" s="350"/>
      <c r="M85" s="334">
        <f ca="1">$C85*L85</f>
        <v>0</v>
      </c>
      <c r="N85" s="350"/>
      <c r="O85" s="334">
        <f ca="1">$C85*N85</f>
        <v>0</v>
      </c>
      <c r="P85" s="350"/>
      <c r="Q85" s="334">
        <f ca="1">$C85*P85</f>
        <v>0</v>
      </c>
      <c r="R85" s="350"/>
      <c r="S85" s="334">
        <f ca="1">$C85*R85</f>
        <v>0</v>
      </c>
      <c r="T85" s="350"/>
      <c r="U85" s="334">
        <f ca="1">$C85*T85</f>
        <v>0</v>
      </c>
      <c r="V85" s="350"/>
      <c r="W85" s="334">
        <f ca="1">$C85*V85</f>
        <v>0</v>
      </c>
      <c r="X85" s="350"/>
      <c r="Y85" s="334">
        <f ca="1">$C85*X85</f>
        <v>0</v>
      </c>
      <c r="Z85" s="350"/>
      <c r="AA85" s="334">
        <f ca="1">$C85*Z85</f>
        <v>0</v>
      </c>
      <c r="AB85" s="350"/>
      <c r="AC85" s="334">
        <f ca="1">$C85*AB85</f>
        <v>0</v>
      </c>
      <c r="AD85" s="350"/>
      <c r="AE85" s="334">
        <f ca="1">$C85*AD85</f>
        <v>0</v>
      </c>
      <c r="AF85" s="350"/>
      <c r="AG85" s="334">
        <f ca="1">$C85*AF85</f>
        <v>0</v>
      </c>
      <c r="AH85" s="350"/>
      <c r="AI85" s="334">
        <f ca="1">$C85*AH85</f>
        <v>0</v>
      </c>
      <c r="AJ85" s="350"/>
      <c r="AK85" s="334">
        <f ca="1">$C85*AJ85</f>
        <v>0</v>
      </c>
      <c r="AL85" s="350"/>
      <c r="AM85" s="334">
        <f ca="1">$C85*AL85</f>
        <v>0</v>
      </c>
      <c r="AN85" s="350">
        <f t="shared" si="122"/>
        <v>0</v>
      </c>
      <c r="AO85" s="334">
        <f ca="1">$C85*AN85</f>
        <v>0</v>
      </c>
    </row>
    <row r="86" spans="1:41" s="344" customFormat="1" ht="15" customHeight="1" x14ac:dyDescent="0.25">
      <c r="A86" s="58" t="str">
        <f>PQ!B93</f>
        <v>E.</v>
      </c>
      <c r="B86" s="198" t="str">
        <f>PQ!C93</f>
        <v>Sinalização Horizontal, Vertical e Elementos de Proteção e Segurança</v>
      </c>
      <c r="C86" s="336">
        <f ca="1">RESUMO!N88</f>
        <v>0</v>
      </c>
      <c r="D86" s="352"/>
      <c r="E86" s="336">
        <f ca="1">SUBTOTAL(9,E87)</f>
        <v>0</v>
      </c>
      <c r="F86" s="352"/>
      <c r="G86" s="336">
        <f ca="1">SUBTOTAL(9,G87)</f>
        <v>0</v>
      </c>
      <c r="H86" s="352"/>
      <c r="I86" s="336">
        <f ca="1">SUBTOTAL(9,I87)</f>
        <v>0</v>
      </c>
      <c r="J86" s="352"/>
      <c r="K86" s="336">
        <f ca="1">SUBTOTAL(9,K87)</f>
        <v>0</v>
      </c>
      <c r="L86" s="352"/>
      <c r="M86" s="336">
        <f ca="1">SUBTOTAL(9,M87)</f>
        <v>0</v>
      </c>
      <c r="N86" s="352"/>
      <c r="O86" s="336">
        <f ca="1">SUBTOTAL(9,O87)</f>
        <v>0</v>
      </c>
      <c r="P86" s="352"/>
      <c r="Q86" s="336">
        <f ca="1">SUBTOTAL(9,Q87)</f>
        <v>0</v>
      </c>
      <c r="R86" s="352"/>
      <c r="S86" s="336">
        <f ca="1">SUBTOTAL(9,S87)</f>
        <v>0</v>
      </c>
      <c r="T86" s="352"/>
      <c r="U86" s="336">
        <f ca="1">SUBTOTAL(9,U87)</f>
        <v>0</v>
      </c>
      <c r="V86" s="352"/>
      <c r="W86" s="336">
        <f ca="1">SUBTOTAL(9,W87)</f>
        <v>0</v>
      </c>
      <c r="X86" s="352"/>
      <c r="Y86" s="336">
        <f ca="1">SUBTOTAL(9,Y87)</f>
        <v>0</v>
      </c>
      <c r="Z86" s="352"/>
      <c r="AA86" s="336">
        <f ca="1">SUBTOTAL(9,AA87)</f>
        <v>0</v>
      </c>
      <c r="AB86" s="352"/>
      <c r="AC86" s="336">
        <f ca="1">SUBTOTAL(9,AC87)</f>
        <v>0</v>
      </c>
      <c r="AD86" s="352"/>
      <c r="AE86" s="336">
        <f ca="1">SUBTOTAL(9,AE87)</f>
        <v>0</v>
      </c>
      <c r="AF86" s="352"/>
      <c r="AG86" s="336">
        <f ca="1">SUBTOTAL(9,AG87)</f>
        <v>0</v>
      </c>
      <c r="AH86" s="352"/>
      <c r="AI86" s="336">
        <f ca="1">SUBTOTAL(9,AI87)</f>
        <v>0</v>
      </c>
      <c r="AJ86" s="352"/>
      <c r="AK86" s="336">
        <f ca="1">SUBTOTAL(9,AK87)</f>
        <v>0</v>
      </c>
      <c r="AL86" s="352"/>
      <c r="AM86" s="336">
        <f ca="1">SUBTOTAL(9,AM87)</f>
        <v>0</v>
      </c>
      <c r="AN86" s="352"/>
      <c r="AO86" s="336">
        <f ca="1">SUBTOTAL(9,AO87)</f>
        <v>0</v>
      </c>
    </row>
    <row r="87" spans="1:41" ht="15" customHeight="1" x14ac:dyDescent="0.25">
      <c r="A87" s="178" t="str">
        <f>PQ!B94</f>
        <v>E.1</v>
      </c>
      <c r="B87" s="200" t="str">
        <f>PQ!C94</f>
        <v>Manutenção/recomposição de sinalização - pintura de faixa com tinta acrílica emulsionada em água - espessura de 0,3 / 0,5 mm</v>
      </c>
      <c r="C87" s="341">
        <f ca="1">RESUMO!N89</f>
        <v>0</v>
      </c>
      <c r="D87" s="357"/>
      <c r="E87" s="341">
        <f ca="1">$C87*D87</f>
        <v>0</v>
      </c>
      <c r="F87" s="357"/>
      <c r="G87" s="341">
        <f ca="1">$C87*F87</f>
        <v>0</v>
      </c>
      <c r="H87" s="357"/>
      <c r="I87" s="341">
        <f ca="1">$C87*H87</f>
        <v>0</v>
      </c>
      <c r="J87" s="357"/>
      <c r="K87" s="341">
        <f ca="1">$C87*J87</f>
        <v>0</v>
      </c>
      <c r="L87" s="357"/>
      <c r="M87" s="341">
        <f ca="1">$C87*L87</f>
        <v>0</v>
      </c>
      <c r="N87" s="357"/>
      <c r="O87" s="341">
        <f ca="1">$C87*N87</f>
        <v>0</v>
      </c>
      <c r="P87" s="357"/>
      <c r="Q87" s="341">
        <f ca="1">$C87*P87</f>
        <v>0</v>
      </c>
      <c r="R87" s="357"/>
      <c r="S87" s="341">
        <f ca="1">$C87*R87</f>
        <v>0</v>
      </c>
      <c r="T87" s="357"/>
      <c r="U87" s="341">
        <f ca="1">$C87*T87</f>
        <v>0</v>
      </c>
      <c r="V87" s="357"/>
      <c r="W87" s="341">
        <f ca="1">$C87*V87</f>
        <v>0</v>
      </c>
      <c r="X87" s="357"/>
      <c r="Y87" s="341">
        <f ca="1">$C87*X87</f>
        <v>0</v>
      </c>
      <c r="Z87" s="357"/>
      <c r="AA87" s="341">
        <f ca="1">$C87*Z87</f>
        <v>0</v>
      </c>
      <c r="AB87" s="357"/>
      <c r="AC87" s="341">
        <f ca="1">$C87*AB87</f>
        <v>0</v>
      </c>
      <c r="AD87" s="357"/>
      <c r="AE87" s="341">
        <f ca="1">$C87*AD87</f>
        <v>0</v>
      </c>
      <c r="AF87" s="357"/>
      <c r="AG87" s="341">
        <f ca="1">$C87*AF87</f>
        <v>0</v>
      </c>
      <c r="AH87" s="357"/>
      <c r="AI87" s="341">
        <f ca="1">$C87*AH87</f>
        <v>0</v>
      </c>
      <c r="AJ87" s="357"/>
      <c r="AK87" s="341">
        <f ca="1">$C87*AJ87</f>
        <v>0</v>
      </c>
      <c r="AL87" s="357"/>
      <c r="AM87" s="341">
        <f ca="1">$C87*AL87</f>
        <v>0</v>
      </c>
      <c r="AN87" s="357">
        <f t="shared" ref="AN87" si="123">SUM(D87,F87,H87,J87,L87,N87,P87,R87,T87,V87,X87,Z87,AB87,AD87,AF87,AH87,AJ87,AL87)</f>
        <v>0</v>
      </c>
      <c r="AO87" s="341">
        <f ca="1">$C87*AN87</f>
        <v>0</v>
      </c>
    </row>
    <row r="88" spans="1:41" s="344" customFormat="1" ht="15" customHeight="1" x14ac:dyDescent="0.25">
      <c r="A88" s="58" t="str">
        <f>PQ!B95</f>
        <v>F.</v>
      </c>
      <c r="B88" s="198" t="str">
        <f>PQ!C95</f>
        <v>Mão de Obra e Equipamentos</v>
      </c>
      <c r="C88" s="336">
        <f ca="1">RESUMO!N90</f>
        <v>102841.20535349999</v>
      </c>
      <c r="D88" s="352"/>
      <c r="E88" s="336">
        <f ca="1">SUBTOTAL(9,E89:E98)</f>
        <v>0</v>
      </c>
      <c r="F88" s="352"/>
      <c r="G88" s="336">
        <f ca="1">SUBTOTAL(9,G89:G98)</f>
        <v>0</v>
      </c>
      <c r="H88" s="352"/>
      <c r="I88" s="336">
        <f ca="1">SUBTOTAL(9,I89:I98)</f>
        <v>0</v>
      </c>
      <c r="J88" s="352"/>
      <c r="K88" s="336">
        <f ca="1">SUBTOTAL(9,K89:K98)</f>
        <v>0</v>
      </c>
      <c r="L88" s="352"/>
      <c r="M88" s="336">
        <f ca="1">SUBTOTAL(9,M89:M98)</f>
        <v>0</v>
      </c>
      <c r="N88" s="352"/>
      <c r="O88" s="336">
        <f ca="1">SUBTOTAL(9,O89:O98)</f>
        <v>0</v>
      </c>
      <c r="P88" s="352"/>
      <c r="Q88" s="336">
        <f ca="1">SUBTOTAL(9,Q89:Q98)</f>
        <v>0</v>
      </c>
      <c r="R88" s="352"/>
      <c r="S88" s="336">
        <f ca="1">SUBTOTAL(9,S89:S98)</f>
        <v>0</v>
      </c>
      <c r="T88" s="352"/>
      <c r="U88" s="336">
        <f ca="1">SUBTOTAL(9,U89:U98)</f>
        <v>0</v>
      </c>
      <c r="V88" s="352"/>
      <c r="W88" s="336">
        <f ca="1">SUBTOTAL(9,W89:W98)</f>
        <v>102841.20535349999</v>
      </c>
      <c r="X88" s="352"/>
      <c r="Y88" s="336">
        <f ca="1">SUBTOTAL(9,Y89:Y98)</f>
        <v>0</v>
      </c>
      <c r="Z88" s="352"/>
      <c r="AA88" s="336">
        <f ca="1">SUBTOTAL(9,AA89:AA98)</f>
        <v>0</v>
      </c>
      <c r="AB88" s="352"/>
      <c r="AC88" s="336">
        <f ca="1">SUBTOTAL(9,AC89:AC98)</f>
        <v>0</v>
      </c>
      <c r="AD88" s="352"/>
      <c r="AE88" s="336">
        <f ca="1">SUBTOTAL(9,AE89:AE98)</f>
        <v>0</v>
      </c>
      <c r="AF88" s="352"/>
      <c r="AG88" s="336">
        <f ca="1">SUBTOTAL(9,AG89:AG98)</f>
        <v>0</v>
      </c>
      <c r="AH88" s="352"/>
      <c r="AI88" s="336">
        <f ca="1">SUBTOTAL(9,AI89:AI98)</f>
        <v>0</v>
      </c>
      <c r="AJ88" s="352"/>
      <c r="AK88" s="336">
        <f ca="1">SUBTOTAL(9,AK89:AK98)</f>
        <v>0</v>
      </c>
      <c r="AL88" s="352"/>
      <c r="AM88" s="336">
        <f ca="1">SUBTOTAL(9,AM89:AM98)</f>
        <v>0</v>
      </c>
      <c r="AN88" s="352"/>
      <c r="AO88" s="336">
        <f ca="1">SUBTOTAL(9,AO89:AO98)</f>
        <v>102841.20535349999</v>
      </c>
    </row>
    <row r="89" spans="1:41" s="346" customFormat="1" ht="15" customHeight="1" x14ac:dyDescent="0.25">
      <c r="A89" s="236" t="str">
        <f>PQ!B96</f>
        <v>F.1</v>
      </c>
      <c r="B89" s="237" t="str">
        <f>PQ!C96</f>
        <v>Mão de Obra</v>
      </c>
      <c r="C89" s="342">
        <f ca="1">RESUMO!N91</f>
        <v>12969.48</v>
      </c>
      <c r="D89" s="358"/>
      <c r="E89" s="342">
        <f ca="1">SUBTOTAL(9,E90:E92)</f>
        <v>0</v>
      </c>
      <c r="F89" s="358"/>
      <c r="G89" s="342">
        <f ca="1">SUBTOTAL(9,G90:G92)</f>
        <v>0</v>
      </c>
      <c r="H89" s="358"/>
      <c r="I89" s="342">
        <f ca="1">SUBTOTAL(9,I90:I92)</f>
        <v>0</v>
      </c>
      <c r="J89" s="358"/>
      <c r="K89" s="342">
        <f ca="1">SUBTOTAL(9,K90:K92)</f>
        <v>0</v>
      </c>
      <c r="L89" s="358"/>
      <c r="M89" s="342">
        <f ca="1">SUBTOTAL(9,M90:M92)</f>
        <v>0</v>
      </c>
      <c r="N89" s="358"/>
      <c r="O89" s="342">
        <f ca="1">SUBTOTAL(9,O90:O92)</f>
        <v>0</v>
      </c>
      <c r="P89" s="358"/>
      <c r="Q89" s="342">
        <f ca="1">SUBTOTAL(9,Q90:Q92)</f>
        <v>0</v>
      </c>
      <c r="R89" s="358"/>
      <c r="S89" s="342">
        <f ca="1">SUBTOTAL(9,S90:S92)</f>
        <v>0</v>
      </c>
      <c r="T89" s="358"/>
      <c r="U89" s="342">
        <f ca="1">SUBTOTAL(9,U90:U92)</f>
        <v>0</v>
      </c>
      <c r="V89" s="358"/>
      <c r="W89" s="342">
        <f ca="1">SUBTOTAL(9,W90:W92)</f>
        <v>12969.48</v>
      </c>
      <c r="X89" s="358"/>
      <c r="Y89" s="342">
        <f ca="1">SUBTOTAL(9,Y90:Y92)</f>
        <v>0</v>
      </c>
      <c r="Z89" s="358"/>
      <c r="AA89" s="342">
        <f ca="1">SUBTOTAL(9,AA90:AA92)</f>
        <v>0</v>
      </c>
      <c r="AB89" s="358"/>
      <c r="AC89" s="342">
        <f ca="1">SUBTOTAL(9,AC90:AC92)</f>
        <v>0</v>
      </c>
      <c r="AD89" s="358"/>
      <c r="AE89" s="342">
        <f ca="1">SUBTOTAL(9,AE90:AE92)</f>
        <v>0</v>
      </c>
      <c r="AF89" s="358"/>
      <c r="AG89" s="342">
        <f ca="1">SUBTOTAL(9,AG90:AG92)</f>
        <v>0</v>
      </c>
      <c r="AH89" s="358"/>
      <c r="AI89" s="342">
        <f ca="1">SUBTOTAL(9,AI90:AI92)</f>
        <v>0</v>
      </c>
      <c r="AJ89" s="358"/>
      <c r="AK89" s="342">
        <f ca="1">SUBTOTAL(9,AK90:AK92)</f>
        <v>0</v>
      </c>
      <c r="AL89" s="358"/>
      <c r="AM89" s="342">
        <f ca="1">SUBTOTAL(9,AM90:AM92)</f>
        <v>0</v>
      </c>
      <c r="AN89" s="358"/>
      <c r="AO89" s="342">
        <f ca="1">SUBTOTAL(9,AO90:AO92)</f>
        <v>12969.48</v>
      </c>
    </row>
    <row r="90" spans="1:41" ht="15" customHeight="1" x14ac:dyDescent="0.25">
      <c r="A90" s="161" t="str">
        <f>PQ!B97</f>
        <v>F.1.1</v>
      </c>
      <c r="B90" s="195" t="str">
        <f>PQ!C97</f>
        <v>Encarregado</v>
      </c>
      <c r="C90" s="333">
        <f ca="1">RESUMO!N92</f>
        <v>2549.4133333333334</v>
      </c>
      <c r="D90" s="349"/>
      <c r="E90" s="333">
        <f ca="1">$C90*D90</f>
        <v>0</v>
      </c>
      <c r="F90" s="349"/>
      <c r="G90" s="333">
        <f ca="1">$C90*F90</f>
        <v>0</v>
      </c>
      <c r="H90" s="349"/>
      <c r="I90" s="333">
        <f ca="1">$C90*H90</f>
        <v>0</v>
      </c>
      <c r="J90" s="349"/>
      <c r="K90" s="333">
        <f ca="1">$C90*J90</f>
        <v>0</v>
      </c>
      <c r="L90" s="349"/>
      <c r="M90" s="333">
        <f ca="1">$C90*L90</f>
        <v>0</v>
      </c>
      <c r="N90" s="349"/>
      <c r="O90" s="333">
        <f ca="1">$C90*N90</f>
        <v>0</v>
      </c>
      <c r="P90" s="349"/>
      <c r="Q90" s="333">
        <f ca="1">$C90*P90</f>
        <v>0</v>
      </c>
      <c r="R90" s="349"/>
      <c r="S90" s="333">
        <f ca="1">$C90*R90</f>
        <v>0</v>
      </c>
      <c r="T90" s="349"/>
      <c r="U90" s="333">
        <f ca="1">$C90*T90</f>
        <v>0</v>
      </c>
      <c r="V90" s="349">
        <v>1</v>
      </c>
      <c r="W90" s="333">
        <f ca="1">$C90*V90</f>
        <v>2549.4133333333334</v>
      </c>
      <c r="X90" s="349"/>
      <c r="Y90" s="333">
        <f ca="1">$C90*X90</f>
        <v>0</v>
      </c>
      <c r="Z90" s="349"/>
      <c r="AA90" s="333">
        <f ca="1">$C90*Z90</f>
        <v>0</v>
      </c>
      <c r="AB90" s="349"/>
      <c r="AC90" s="333">
        <f ca="1">$C90*AB90</f>
        <v>0</v>
      </c>
      <c r="AD90" s="349"/>
      <c r="AE90" s="333">
        <f ca="1">$C90*AD90</f>
        <v>0</v>
      </c>
      <c r="AF90" s="349"/>
      <c r="AG90" s="333">
        <f ca="1">$C90*AF90</f>
        <v>0</v>
      </c>
      <c r="AH90" s="349"/>
      <c r="AI90" s="333">
        <f ca="1">$C90*AH90</f>
        <v>0</v>
      </c>
      <c r="AJ90" s="349"/>
      <c r="AK90" s="333">
        <f ca="1">$C90*AJ90</f>
        <v>0</v>
      </c>
      <c r="AL90" s="349"/>
      <c r="AM90" s="333">
        <f ca="1">$C90*AL90</f>
        <v>0</v>
      </c>
      <c r="AN90" s="349">
        <f t="shared" ref="AN90:AN92" si="124">SUM(D90,F90,H90,J90,L90,N90,P90,R90,T90,V90,X90,Z90,AB90,AD90,AF90,AH90,AJ90,AL90)</f>
        <v>1</v>
      </c>
      <c r="AO90" s="333">
        <f ca="1">$C90*AN90</f>
        <v>2549.4133333333334</v>
      </c>
    </row>
    <row r="91" spans="1:41" ht="15" customHeight="1" x14ac:dyDescent="0.25">
      <c r="A91" s="161" t="str">
        <f>PQ!B98</f>
        <v>F.1.2</v>
      </c>
      <c r="B91" s="196" t="str">
        <f>PQ!C98</f>
        <v>Oficial</v>
      </c>
      <c r="C91" s="334">
        <f ca="1">RESUMO!N93</f>
        <v>4415.3866666666672</v>
      </c>
      <c r="D91" s="350"/>
      <c r="E91" s="334">
        <f ca="1">$C91*D91</f>
        <v>0</v>
      </c>
      <c r="F91" s="350"/>
      <c r="G91" s="334">
        <f ca="1">$C91*F91</f>
        <v>0</v>
      </c>
      <c r="H91" s="350"/>
      <c r="I91" s="334">
        <f ca="1">$C91*H91</f>
        <v>0</v>
      </c>
      <c r="J91" s="350"/>
      <c r="K91" s="334">
        <f ca="1">$C91*J91</f>
        <v>0</v>
      </c>
      <c r="L91" s="350"/>
      <c r="M91" s="334">
        <f ca="1">$C91*L91</f>
        <v>0</v>
      </c>
      <c r="N91" s="350"/>
      <c r="O91" s="334">
        <f ca="1">$C91*N91</f>
        <v>0</v>
      </c>
      <c r="P91" s="350"/>
      <c r="Q91" s="334">
        <f ca="1">$C91*P91</f>
        <v>0</v>
      </c>
      <c r="R91" s="350"/>
      <c r="S91" s="334">
        <f ca="1">$C91*R91</f>
        <v>0</v>
      </c>
      <c r="T91" s="350"/>
      <c r="U91" s="334">
        <f ca="1">$C91*T91</f>
        <v>0</v>
      </c>
      <c r="V91" s="350">
        <v>1</v>
      </c>
      <c r="W91" s="334">
        <f ca="1">$C91*V91</f>
        <v>4415.3866666666672</v>
      </c>
      <c r="X91" s="350"/>
      <c r="Y91" s="334">
        <f ca="1">$C91*X91</f>
        <v>0</v>
      </c>
      <c r="Z91" s="350"/>
      <c r="AA91" s="334">
        <f ca="1">$C91*Z91</f>
        <v>0</v>
      </c>
      <c r="AB91" s="350"/>
      <c r="AC91" s="334">
        <f ca="1">$C91*AB91</f>
        <v>0</v>
      </c>
      <c r="AD91" s="350"/>
      <c r="AE91" s="334">
        <f ca="1">$C91*AD91</f>
        <v>0</v>
      </c>
      <c r="AF91" s="350"/>
      <c r="AG91" s="334">
        <f ca="1">$C91*AF91</f>
        <v>0</v>
      </c>
      <c r="AH91" s="350"/>
      <c r="AI91" s="334">
        <f ca="1">$C91*AH91</f>
        <v>0</v>
      </c>
      <c r="AJ91" s="350"/>
      <c r="AK91" s="334">
        <f ca="1">$C91*AJ91</f>
        <v>0</v>
      </c>
      <c r="AL91" s="350"/>
      <c r="AM91" s="334">
        <f ca="1">$C91*AL91</f>
        <v>0</v>
      </c>
      <c r="AN91" s="350">
        <f t="shared" si="124"/>
        <v>1</v>
      </c>
      <c r="AO91" s="334">
        <f ca="1">$C91*AN91</f>
        <v>4415.3866666666672</v>
      </c>
    </row>
    <row r="92" spans="1:41" ht="15" customHeight="1" x14ac:dyDescent="0.25">
      <c r="A92" s="161" t="str">
        <f>PQ!B99</f>
        <v>F.1.3</v>
      </c>
      <c r="B92" s="196" t="str">
        <f>PQ!C99</f>
        <v>Servente</v>
      </c>
      <c r="C92" s="334">
        <f ca="1">RESUMO!N94</f>
        <v>6004.6799999999994</v>
      </c>
      <c r="D92" s="350"/>
      <c r="E92" s="334">
        <f ca="1">$C92*D92</f>
        <v>0</v>
      </c>
      <c r="F92" s="350"/>
      <c r="G92" s="334">
        <f ca="1">$C92*F92</f>
        <v>0</v>
      </c>
      <c r="H92" s="350"/>
      <c r="I92" s="334">
        <f ca="1">$C92*H92</f>
        <v>0</v>
      </c>
      <c r="J92" s="350"/>
      <c r="K92" s="334">
        <f ca="1">$C92*J92</f>
        <v>0</v>
      </c>
      <c r="L92" s="350"/>
      <c r="M92" s="334">
        <f ca="1">$C92*L92</f>
        <v>0</v>
      </c>
      <c r="N92" s="350"/>
      <c r="O92" s="334">
        <f ca="1">$C92*N92</f>
        <v>0</v>
      </c>
      <c r="P92" s="350"/>
      <c r="Q92" s="334">
        <f ca="1">$C92*P92</f>
        <v>0</v>
      </c>
      <c r="R92" s="350"/>
      <c r="S92" s="334">
        <f ca="1">$C92*R92</f>
        <v>0</v>
      </c>
      <c r="T92" s="350"/>
      <c r="U92" s="334">
        <f ca="1">$C92*T92</f>
        <v>0</v>
      </c>
      <c r="V92" s="350">
        <v>1</v>
      </c>
      <c r="W92" s="334">
        <f ca="1">$C92*V92</f>
        <v>6004.6799999999994</v>
      </c>
      <c r="X92" s="350"/>
      <c r="Y92" s="334">
        <f ca="1">$C92*X92</f>
        <v>0</v>
      </c>
      <c r="Z92" s="350"/>
      <c r="AA92" s="334">
        <f ca="1">$C92*Z92</f>
        <v>0</v>
      </c>
      <c r="AB92" s="350"/>
      <c r="AC92" s="334">
        <f ca="1">$C92*AB92</f>
        <v>0</v>
      </c>
      <c r="AD92" s="350"/>
      <c r="AE92" s="334">
        <f ca="1">$C92*AD92</f>
        <v>0</v>
      </c>
      <c r="AF92" s="350"/>
      <c r="AG92" s="334">
        <f ca="1">$C92*AF92</f>
        <v>0</v>
      </c>
      <c r="AH92" s="350"/>
      <c r="AI92" s="334">
        <f ca="1">$C92*AH92</f>
        <v>0</v>
      </c>
      <c r="AJ92" s="350"/>
      <c r="AK92" s="334">
        <f ca="1">$C92*AJ92</f>
        <v>0</v>
      </c>
      <c r="AL92" s="350"/>
      <c r="AM92" s="334">
        <f ca="1">$C92*AL92</f>
        <v>0</v>
      </c>
      <c r="AN92" s="350">
        <f t="shared" si="124"/>
        <v>1</v>
      </c>
      <c r="AO92" s="334">
        <f ca="1">$C92*AN92</f>
        <v>6004.6799999999994</v>
      </c>
    </row>
    <row r="93" spans="1:41" s="345" customFormat="1" ht="15" customHeight="1" x14ac:dyDescent="0.25">
      <c r="A93" s="62" t="str">
        <f>PQ!B100</f>
        <v>F.2</v>
      </c>
      <c r="B93" s="199" t="str">
        <f>PQ!C100</f>
        <v>Equipamentos</v>
      </c>
      <c r="C93" s="337">
        <f ca="1">RESUMO!N95</f>
        <v>89871.725353499991</v>
      </c>
      <c r="D93" s="353"/>
      <c r="E93" s="337">
        <f ca="1">SUBTOTAL(9,E94:E98)</f>
        <v>0</v>
      </c>
      <c r="F93" s="353"/>
      <c r="G93" s="337">
        <f ca="1">SUBTOTAL(9,G94:G98)</f>
        <v>0</v>
      </c>
      <c r="H93" s="353"/>
      <c r="I93" s="337">
        <f ca="1">SUBTOTAL(9,I94:I98)</f>
        <v>0</v>
      </c>
      <c r="J93" s="353"/>
      <c r="K93" s="337">
        <f ca="1">SUBTOTAL(9,K94:K98)</f>
        <v>0</v>
      </c>
      <c r="L93" s="353"/>
      <c r="M93" s="337">
        <f ca="1">SUBTOTAL(9,M94:M98)</f>
        <v>0</v>
      </c>
      <c r="N93" s="353"/>
      <c r="O93" s="337">
        <f ca="1">SUBTOTAL(9,O94:O98)</f>
        <v>0</v>
      </c>
      <c r="P93" s="353"/>
      <c r="Q93" s="337">
        <f ca="1">SUBTOTAL(9,Q94:Q98)</f>
        <v>0</v>
      </c>
      <c r="R93" s="353"/>
      <c r="S93" s="337">
        <f ca="1">SUBTOTAL(9,S94:S98)</f>
        <v>0</v>
      </c>
      <c r="T93" s="353"/>
      <c r="U93" s="337">
        <f ca="1">SUBTOTAL(9,U94:U98)</f>
        <v>0</v>
      </c>
      <c r="V93" s="353"/>
      <c r="W93" s="337">
        <f ca="1">SUBTOTAL(9,W94:W98)</f>
        <v>89871.725353499991</v>
      </c>
      <c r="X93" s="353"/>
      <c r="Y93" s="337">
        <f ca="1">SUBTOTAL(9,Y94:Y98)</f>
        <v>0</v>
      </c>
      <c r="Z93" s="353"/>
      <c r="AA93" s="337">
        <f ca="1">SUBTOTAL(9,AA94:AA98)</f>
        <v>0</v>
      </c>
      <c r="AB93" s="353"/>
      <c r="AC93" s="337">
        <f ca="1">SUBTOTAL(9,AC94:AC98)</f>
        <v>0</v>
      </c>
      <c r="AD93" s="353"/>
      <c r="AE93" s="337">
        <f ca="1">SUBTOTAL(9,AE94:AE98)</f>
        <v>0</v>
      </c>
      <c r="AF93" s="353"/>
      <c r="AG93" s="337">
        <f ca="1">SUBTOTAL(9,AG94:AG98)</f>
        <v>0</v>
      </c>
      <c r="AH93" s="353"/>
      <c r="AI93" s="337">
        <f ca="1">SUBTOTAL(9,AI94:AI98)</f>
        <v>0</v>
      </c>
      <c r="AJ93" s="353"/>
      <c r="AK93" s="337">
        <f ca="1">SUBTOTAL(9,AK94:AK98)</f>
        <v>0</v>
      </c>
      <c r="AL93" s="353"/>
      <c r="AM93" s="337">
        <f ca="1">SUBTOTAL(9,AM94:AM98)</f>
        <v>0</v>
      </c>
      <c r="AN93" s="353"/>
      <c r="AO93" s="337">
        <f ca="1">SUBTOTAL(9,AO94:AO98)</f>
        <v>89871.725353499991</v>
      </c>
    </row>
    <row r="94" spans="1:41" ht="15" customHeight="1" x14ac:dyDescent="0.25">
      <c r="A94" s="296" t="str">
        <f>PQ!B101</f>
        <v>F.2.1</v>
      </c>
      <c r="B94" s="297" t="str">
        <f>PQ!C101</f>
        <v>Trator sobre Esteiras com Lâmina - 127 Kw</v>
      </c>
      <c r="C94" s="339">
        <f ca="1">RESUMO!N96</f>
        <v>5911.5280455000002</v>
      </c>
      <c r="D94" s="355"/>
      <c r="E94" s="339">
        <f ca="1">$C94*D94</f>
        <v>0</v>
      </c>
      <c r="F94" s="355"/>
      <c r="G94" s="339">
        <f ca="1">$C94*F94</f>
        <v>0</v>
      </c>
      <c r="H94" s="355"/>
      <c r="I94" s="339">
        <f ca="1">$C94*H94</f>
        <v>0</v>
      </c>
      <c r="J94" s="355"/>
      <c r="K94" s="339">
        <f ca="1">$C94*J94</f>
        <v>0</v>
      </c>
      <c r="L94" s="355"/>
      <c r="M94" s="339">
        <f ca="1">$C94*L94</f>
        <v>0</v>
      </c>
      <c r="N94" s="355"/>
      <c r="O94" s="339">
        <f ca="1">$C94*N94</f>
        <v>0</v>
      </c>
      <c r="P94" s="355"/>
      <c r="Q94" s="339">
        <f ca="1">$C94*P94</f>
        <v>0</v>
      </c>
      <c r="R94" s="355"/>
      <c r="S94" s="339">
        <f ca="1">$C94*R94</f>
        <v>0</v>
      </c>
      <c r="T94" s="355"/>
      <c r="U94" s="339">
        <f ca="1">$C94*T94</f>
        <v>0</v>
      </c>
      <c r="V94" s="355">
        <v>1</v>
      </c>
      <c r="W94" s="339">
        <f ca="1">$C94*V94</f>
        <v>5911.5280455000002</v>
      </c>
      <c r="X94" s="355"/>
      <c r="Y94" s="339">
        <f ca="1">$C94*X94</f>
        <v>0</v>
      </c>
      <c r="Z94" s="355"/>
      <c r="AA94" s="339">
        <f ca="1">$C94*Z94</f>
        <v>0</v>
      </c>
      <c r="AB94" s="355"/>
      <c r="AC94" s="339">
        <f ca="1">$C94*AB94</f>
        <v>0</v>
      </c>
      <c r="AD94" s="355"/>
      <c r="AE94" s="339">
        <f ca="1">$C94*AD94</f>
        <v>0</v>
      </c>
      <c r="AF94" s="355"/>
      <c r="AG94" s="339">
        <f ca="1">$C94*AF94</f>
        <v>0</v>
      </c>
      <c r="AH94" s="355"/>
      <c r="AI94" s="339">
        <f ca="1">$C94*AH94</f>
        <v>0</v>
      </c>
      <c r="AJ94" s="355"/>
      <c r="AK94" s="339">
        <f ca="1">$C94*AJ94</f>
        <v>0</v>
      </c>
      <c r="AL94" s="355"/>
      <c r="AM94" s="339">
        <f ca="1">$C94*AL94</f>
        <v>0</v>
      </c>
      <c r="AN94" s="355">
        <f t="shared" ref="AN94:AN98" si="125">SUM(D94,F94,H94,J94,L94,N94,P94,R94,T94,V94,X94,Z94,AB94,AD94,AF94,AH94,AJ94,AL94)</f>
        <v>1</v>
      </c>
      <c r="AO94" s="339">
        <f ca="1">$C94*AN94</f>
        <v>5911.5280455000002</v>
      </c>
    </row>
    <row r="95" spans="1:41" s="91" customFormat="1" ht="15" customHeight="1" x14ac:dyDescent="0.25">
      <c r="A95" s="156" t="str">
        <f>PQ!B102</f>
        <v>F.2.2</v>
      </c>
      <c r="B95" s="196" t="str">
        <f>PQ!C102</f>
        <v>Escavadeira Hidráulica sobre Esteiras</v>
      </c>
      <c r="C95" s="334">
        <f ca="1">RESUMO!N97</f>
        <v>10960.908578999999</v>
      </c>
      <c r="D95" s="350"/>
      <c r="E95" s="334">
        <f ca="1">$C95*D95</f>
        <v>0</v>
      </c>
      <c r="F95" s="350"/>
      <c r="G95" s="334">
        <f ca="1">$C95*F95</f>
        <v>0</v>
      </c>
      <c r="H95" s="350"/>
      <c r="I95" s="334">
        <f ca="1">$C95*H95</f>
        <v>0</v>
      </c>
      <c r="J95" s="350"/>
      <c r="K95" s="334">
        <f ca="1">$C95*J95</f>
        <v>0</v>
      </c>
      <c r="L95" s="350"/>
      <c r="M95" s="334">
        <f ca="1">$C95*L95</f>
        <v>0</v>
      </c>
      <c r="N95" s="350"/>
      <c r="O95" s="334">
        <f ca="1">$C95*N95</f>
        <v>0</v>
      </c>
      <c r="P95" s="350"/>
      <c r="Q95" s="334">
        <f ca="1">$C95*P95</f>
        <v>0</v>
      </c>
      <c r="R95" s="350"/>
      <c r="S95" s="334">
        <f ca="1">$C95*R95</f>
        <v>0</v>
      </c>
      <c r="T95" s="350"/>
      <c r="U95" s="334">
        <f ca="1">$C95*T95</f>
        <v>0</v>
      </c>
      <c r="V95" s="350">
        <v>1</v>
      </c>
      <c r="W95" s="334">
        <f ca="1">$C95*V95</f>
        <v>10960.908578999999</v>
      </c>
      <c r="X95" s="350"/>
      <c r="Y95" s="334">
        <f ca="1">$C95*X95</f>
        <v>0</v>
      </c>
      <c r="Z95" s="350"/>
      <c r="AA95" s="334">
        <f ca="1">$C95*Z95</f>
        <v>0</v>
      </c>
      <c r="AB95" s="350"/>
      <c r="AC95" s="334">
        <f ca="1">$C95*AB95</f>
        <v>0</v>
      </c>
      <c r="AD95" s="350"/>
      <c r="AE95" s="334">
        <f ca="1">$C95*AD95</f>
        <v>0</v>
      </c>
      <c r="AF95" s="350"/>
      <c r="AG95" s="334">
        <f ca="1">$C95*AF95</f>
        <v>0</v>
      </c>
      <c r="AH95" s="350"/>
      <c r="AI95" s="334">
        <f ca="1">$C95*AH95</f>
        <v>0</v>
      </c>
      <c r="AJ95" s="350"/>
      <c r="AK95" s="334">
        <f ca="1">$C95*AJ95</f>
        <v>0</v>
      </c>
      <c r="AL95" s="350"/>
      <c r="AM95" s="334">
        <f ca="1">$C95*AL95</f>
        <v>0</v>
      </c>
      <c r="AN95" s="350">
        <f t="shared" si="125"/>
        <v>1</v>
      </c>
      <c r="AO95" s="334">
        <f ca="1">$C95*AN95</f>
        <v>10960.908578999999</v>
      </c>
    </row>
    <row r="96" spans="1:41" s="91" customFormat="1" ht="15" customHeight="1" x14ac:dyDescent="0.25">
      <c r="A96" s="156" t="str">
        <f>PQ!B103</f>
        <v>F.2.3</v>
      </c>
      <c r="B96" s="196" t="str">
        <f>PQ!C103</f>
        <v>Caminhão Basculante com Capacidade de 16 M³ - 188 Kw</v>
      </c>
      <c r="C96" s="334">
        <f ca="1">RESUMO!N98</f>
        <v>59427.141336000001</v>
      </c>
      <c r="D96" s="350"/>
      <c r="E96" s="334">
        <f ca="1">$C96*D96</f>
        <v>0</v>
      </c>
      <c r="F96" s="350"/>
      <c r="G96" s="334">
        <f ca="1">$C96*F96</f>
        <v>0</v>
      </c>
      <c r="H96" s="350"/>
      <c r="I96" s="334">
        <f ca="1">$C96*H96</f>
        <v>0</v>
      </c>
      <c r="J96" s="350"/>
      <c r="K96" s="334">
        <f ca="1">$C96*J96</f>
        <v>0</v>
      </c>
      <c r="L96" s="350"/>
      <c r="M96" s="334">
        <f ca="1">$C96*L96</f>
        <v>0</v>
      </c>
      <c r="N96" s="350"/>
      <c r="O96" s="334">
        <f ca="1">$C96*N96</f>
        <v>0</v>
      </c>
      <c r="P96" s="350"/>
      <c r="Q96" s="334">
        <f ca="1">$C96*P96</f>
        <v>0</v>
      </c>
      <c r="R96" s="350"/>
      <c r="S96" s="334">
        <f ca="1">$C96*R96</f>
        <v>0</v>
      </c>
      <c r="T96" s="350"/>
      <c r="U96" s="334">
        <f ca="1">$C96*T96</f>
        <v>0</v>
      </c>
      <c r="V96" s="350">
        <v>1</v>
      </c>
      <c r="W96" s="334">
        <f ca="1">$C96*V96</f>
        <v>59427.141336000001</v>
      </c>
      <c r="X96" s="350"/>
      <c r="Y96" s="334">
        <f ca="1">$C96*X96</f>
        <v>0</v>
      </c>
      <c r="Z96" s="350"/>
      <c r="AA96" s="334">
        <f ca="1">$C96*Z96</f>
        <v>0</v>
      </c>
      <c r="AB96" s="350"/>
      <c r="AC96" s="334">
        <f ca="1">$C96*AB96</f>
        <v>0</v>
      </c>
      <c r="AD96" s="350"/>
      <c r="AE96" s="334">
        <f ca="1">$C96*AD96</f>
        <v>0</v>
      </c>
      <c r="AF96" s="350"/>
      <c r="AG96" s="334">
        <f ca="1">$C96*AF96</f>
        <v>0</v>
      </c>
      <c r="AH96" s="350"/>
      <c r="AI96" s="334">
        <f ca="1">$C96*AH96</f>
        <v>0</v>
      </c>
      <c r="AJ96" s="350"/>
      <c r="AK96" s="334">
        <f ca="1">$C96*AJ96</f>
        <v>0</v>
      </c>
      <c r="AL96" s="350"/>
      <c r="AM96" s="334">
        <f ca="1">$C96*AL96</f>
        <v>0</v>
      </c>
      <c r="AN96" s="350">
        <f t="shared" si="125"/>
        <v>1</v>
      </c>
      <c r="AO96" s="334">
        <f ca="1">$C96*AN96</f>
        <v>59427.141336000001</v>
      </c>
    </row>
    <row r="97" spans="1:41" s="91" customFormat="1" ht="15" customHeight="1" x14ac:dyDescent="0.25">
      <c r="A97" s="156" t="str">
        <f>PQ!B104</f>
        <v>F.2.4</v>
      </c>
      <c r="B97" s="196" t="str">
        <f>PQ!C104</f>
        <v>Rolo Compactador Pé de Carneiro Vibratório Autopropelido por Pneus de 11,6 T - 82 Kw</v>
      </c>
      <c r="C97" s="334">
        <f ca="1">RESUMO!N99</f>
        <v>10399.749733799999</v>
      </c>
      <c r="D97" s="350"/>
      <c r="E97" s="334">
        <f ca="1">$C97*D97</f>
        <v>0</v>
      </c>
      <c r="F97" s="350"/>
      <c r="G97" s="334">
        <f ca="1">$C97*F97</f>
        <v>0</v>
      </c>
      <c r="H97" s="350"/>
      <c r="I97" s="334">
        <f ca="1">$C97*H97</f>
        <v>0</v>
      </c>
      <c r="J97" s="350"/>
      <c r="K97" s="334">
        <f ca="1">$C97*J97</f>
        <v>0</v>
      </c>
      <c r="L97" s="350"/>
      <c r="M97" s="334">
        <f ca="1">$C97*L97</f>
        <v>0</v>
      </c>
      <c r="N97" s="350"/>
      <c r="O97" s="334">
        <f ca="1">$C97*N97</f>
        <v>0</v>
      </c>
      <c r="P97" s="350"/>
      <c r="Q97" s="334">
        <f ca="1">$C97*P97</f>
        <v>0</v>
      </c>
      <c r="R97" s="350"/>
      <c r="S97" s="334">
        <f ca="1">$C97*R97</f>
        <v>0</v>
      </c>
      <c r="T97" s="350"/>
      <c r="U97" s="334">
        <f ca="1">$C97*T97</f>
        <v>0</v>
      </c>
      <c r="V97" s="350">
        <v>1</v>
      </c>
      <c r="W97" s="334">
        <f ca="1">$C97*V97</f>
        <v>10399.749733799999</v>
      </c>
      <c r="X97" s="350"/>
      <c r="Y97" s="334">
        <f ca="1">$C97*X97</f>
        <v>0</v>
      </c>
      <c r="Z97" s="350"/>
      <c r="AA97" s="334">
        <f ca="1">$C97*Z97</f>
        <v>0</v>
      </c>
      <c r="AB97" s="350"/>
      <c r="AC97" s="334">
        <f ca="1">$C97*AB97</f>
        <v>0</v>
      </c>
      <c r="AD97" s="350"/>
      <c r="AE97" s="334">
        <f ca="1">$C97*AD97</f>
        <v>0</v>
      </c>
      <c r="AF97" s="350"/>
      <c r="AG97" s="334">
        <f ca="1">$C97*AF97</f>
        <v>0</v>
      </c>
      <c r="AH97" s="350"/>
      <c r="AI97" s="334">
        <f ca="1">$C97*AH97</f>
        <v>0</v>
      </c>
      <c r="AJ97" s="350"/>
      <c r="AK97" s="334">
        <f ca="1">$C97*AJ97</f>
        <v>0</v>
      </c>
      <c r="AL97" s="350"/>
      <c r="AM97" s="334">
        <f ca="1">$C97*AL97</f>
        <v>0</v>
      </c>
      <c r="AN97" s="350">
        <f t="shared" si="125"/>
        <v>1</v>
      </c>
      <c r="AO97" s="334">
        <f ca="1">$C97*AN97</f>
        <v>10399.749733799999</v>
      </c>
    </row>
    <row r="98" spans="1:41" ht="15" customHeight="1" thickBot="1" x14ac:dyDescent="0.3">
      <c r="A98" s="311" t="str">
        <f>PQ!B105</f>
        <v>F.2.5</v>
      </c>
      <c r="B98" s="312" t="str">
        <f>PQ!C105</f>
        <v>Motoniveladora - 93 Kw</v>
      </c>
      <c r="C98" s="343">
        <f ca="1">RESUMO!N100</f>
        <v>3172.3976591999995</v>
      </c>
      <c r="D98" s="359"/>
      <c r="E98" s="343">
        <f ca="1">$C98*D98</f>
        <v>0</v>
      </c>
      <c r="F98" s="359"/>
      <c r="G98" s="343">
        <f ca="1">$C98*F98</f>
        <v>0</v>
      </c>
      <c r="H98" s="359"/>
      <c r="I98" s="343">
        <f ca="1">$C98*H98</f>
        <v>0</v>
      </c>
      <c r="J98" s="359"/>
      <c r="K98" s="343">
        <f ca="1">$C98*J98</f>
        <v>0</v>
      </c>
      <c r="L98" s="359"/>
      <c r="M98" s="343">
        <f ca="1">$C98*L98</f>
        <v>0</v>
      </c>
      <c r="N98" s="359"/>
      <c r="O98" s="343">
        <f ca="1">$C98*N98</f>
        <v>0</v>
      </c>
      <c r="P98" s="359"/>
      <c r="Q98" s="343">
        <f ca="1">$C98*P98</f>
        <v>0</v>
      </c>
      <c r="R98" s="359"/>
      <c r="S98" s="343">
        <f ca="1">$C98*R98</f>
        <v>0</v>
      </c>
      <c r="T98" s="359"/>
      <c r="U98" s="343">
        <f ca="1">$C98*T98</f>
        <v>0</v>
      </c>
      <c r="V98" s="359">
        <v>1</v>
      </c>
      <c r="W98" s="343">
        <f ca="1">$C98*V98</f>
        <v>3172.3976591999995</v>
      </c>
      <c r="X98" s="359"/>
      <c r="Y98" s="343">
        <f ca="1">$C98*X98</f>
        <v>0</v>
      </c>
      <c r="Z98" s="359"/>
      <c r="AA98" s="343">
        <f ca="1">$C98*Z98</f>
        <v>0</v>
      </c>
      <c r="AB98" s="359"/>
      <c r="AC98" s="343">
        <f ca="1">$C98*AB98</f>
        <v>0</v>
      </c>
      <c r="AD98" s="359"/>
      <c r="AE98" s="343">
        <f ca="1">$C98*AD98</f>
        <v>0</v>
      </c>
      <c r="AF98" s="359"/>
      <c r="AG98" s="343">
        <f ca="1">$C98*AF98</f>
        <v>0</v>
      </c>
      <c r="AH98" s="359"/>
      <c r="AI98" s="343">
        <f ca="1">$C98*AH98</f>
        <v>0</v>
      </c>
      <c r="AJ98" s="359"/>
      <c r="AK98" s="343">
        <f ca="1">$C98*AJ98</f>
        <v>0</v>
      </c>
      <c r="AL98" s="359"/>
      <c r="AM98" s="343">
        <f ca="1">$C98*AL98</f>
        <v>0</v>
      </c>
      <c r="AN98" s="359">
        <f t="shared" si="125"/>
        <v>1</v>
      </c>
      <c r="AO98" s="343">
        <f ca="1">$C98*AN98</f>
        <v>3172.3976591999995</v>
      </c>
    </row>
    <row r="99" spans="1:41" ht="15" customHeight="1" thickTop="1" thickBot="1" x14ac:dyDescent="0.3"/>
    <row r="100" spans="1:41" ht="15" customHeight="1" thickTop="1" thickBot="1" x14ac:dyDescent="0.3">
      <c r="A100" s="598" t="s">
        <v>289</v>
      </c>
      <c r="B100" s="599"/>
      <c r="C100" s="602">
        <f ca="1">SUM(C6,C10,C34,C61,C86,C88,)</f>
        <v>1990219.6506260568</v>
      </c>
      <c r="D100" s="604" t="s">
        <v>270</v>
      </c>
      <c r="E100" s="605"/>
      <c r="F100" s="605" t="s">
        <v>271</v>
      </c>
      <c r="G100" s="605"/>
      <c r="H100" s="605" t="s">
        <v>272</v>
      </c>
      <c r="I100" s="605"/>
      <c r="J100" s="605" t="s">
        <v>273</v>
      </c>
      <c r="K100" s="605"/>
      <c r="L100" s="605" t="s">
        <v>274</v>
      </c>
      <c r="M100" s="605"/>
      <c r="N100" s="605" t="s">
        <v>275</v>
      </c>
      <c r="O100" s="605"/>
      <c r="P100" s="605" t="s">
        <v>276</v>
      </c>
      <c r="Q100" s="605"/>
      <c r="R100" s="605" t="s">
        <v>277</v>
      </c>
      <c r="S100" s="605"/>
      <c r="T100" s="605" t="s">
        <v>278</v>
      </c>
      <c r="U100" s="605"/>
      <c r="V100" s="605" t="s">
        <v>279</v>
      </c>
      <c r="W100" s="605"/>
      <c r="X100" s="605" t="s">
        <v>280</v>
      </c>
      <c r="Y100" s="605"/>
      <c r="Z100" s="605" t="s">
        <v>281</v>
      </c>
      <c r="AA100" s="605"/>
      <c r="AB100" s="605" t="s">
        <v>282</v>
      </c>
      <c r="AC100" s="605"/>
      <c r="AD100" s="605" t="s">
        <v>283</v>
      </c>
      <c r="AE100" s="605"/>
      <c r="AF100" s="605" t="s">
        <v>284</v>
      </c>
      <c r="AG100" s="605"/>
      <c r="AH100" s="605" t="s">
        <v>285</v>
      </c>
      <c r="AI100" s="605"/>
      <c r="AJ100" s="605" t="s">
        <v>286</v>
      </c>
      <c r="AK100" s="605"/>
      <c r="AL100" s="605" t="s">
        <v>287</v>
      </c>
      <c r="AM100" s="606"/>
      <c r="AN100" s="607" t="s">
        <v>23</v>
      </c>
      <c r="AO100" s="608"/>
    </row>
    <row r="101" spans="1:41" s="91" customFormat="1" ht="15" customHeight="1" thickTop="1" x14ac:dyDescent="0.25">
      <c r="A101" s="600"/>
      <c r="B101" s="601"/>
      <c r="C101" s="603"/>
      <c r="D101" s="254">
        <f ca="1">IF(ISERROR(E101/$AO$101),"",E101/$AO$101)</f>
        <v>0</v>
      </c>
      <c r="E101" s="361">
        <f ca="1">SUM(E6,E10,E34,E61,E86,E88)</f>
        <v>0</v>
      </c>
      <c r="F101" s="255">
        <f ca="1">IF(ISERROR(G101/$AO$101),"",G101/$AO$101)</f>
        <v>0</v>
      </c>
      <c r="G101" s="361">
        <f ca="1">SUM(G6,G10,G34,G61,G86,G88)</f>
        <v>0</v>
      </c>
      <c r="H101" s="255">
        <f ca="1">IF(ISERROR(I101/$AO$101),"",I101/$AO$101)</f>
        <v>0</v>
      </c>
      <c r="I101" s="361">
        <f ca="1">SUM(I6,I10,I34,I61,I86,I88)</f>
        <v>0</v>
      </c>
      <c r="J101" s="255">
        <f ca="1">IF(ISERROR(K101/$AO$101),"",K101/$AO$101)</f>
        <v>0</v>
      </c>
      <c r="K101" s="361">
        <f ca="1">SUM(K6,K10,K34,K61,K86,K88)</f>
        <v>0</v>
      </c>
      <c r="L101" s="255">
        <f ca="1">IF(ISERROR(M101/$AO$101),"",M101/$AO$101)</f>
        <v>0</v>
      </c>
      <c r="M101" s="361">
        <f ca="1">SUM(M6,M10,M34,M61,M86,M88)</f>
        <v>0</v>
      </c>
      <c r="N101" s="255">
        <f ca="1">IF(ISERROR(O101/$AO$101),"",O101/$AO$101)</f>
        <v>0</v>
      </c>
      <c r="O101" s="361">
        <f ca="1">SUM(O6,O10,O34,O61,O86,O88)</f>
        <v>0</v>
      </c>
      <c r="P101" s="255">
        <f ca="1">IF(ISERROR(Q101/$AO$101),"",Q101/$AO$101)</f>
        <v>0</v>
      </c>
      <c r="Q101" s="361">
        <f ca="1">SUM(Q6,Q10,Q34,Q61,Q86,Q88)</f>
        <v>0</v>
      </c>
      <c r="R101" s="255">
        <f ca="1">IF(ISERROR(S101/$AO$101),"",S101/$AO$101)</f>
        <v>0</v>
      </c>
      <c r="S101" s="361">
        <f ca="1">SUM(S6,S10,S34,S61,S86,S88)</f>
        <v>0</v>
      </c>
      <c r="T101" s="255">
        <f ca="1">IF(ISERROR(U101/$AO$101),"",U101/$AO$101)</f>
        <v>0</v>
      </c>
      <c r="U101" s="361">
        <f ca="1">SUM(U6,U10,U34,U61,U86,U88)</f>
        <v>0</v>
      </c>
      <c r="V101" s="255">
        <f ca="1">IF(ISERROR(W101/$AO$101),"",W101/$AO$101)</f>
        <v>1</v>
      </c>
      <c r="W101" s="361">
        <f ca="1">SUM(W6,W10,W34,W61,W86,W88)</f>
        <v>1990219.6506260568</v>
      </c>
      <c r="X101" s="255">
        <f ca="1">IF(ISERROR(Y101/$AO$101),"",Y101/$AO$101)</f>
        <v>0</v>
      </c>
      <c r="Y101" s="361">
        <f ca="1">SUM(Y6,Y10,Y34,Y61,Y86,Y88)</f>
        <v>0</v>
      </c>
      <c r="Z101" s="255">
        <f ca="1">IF(ISERROR(AA101/$AO$101),"",AA101/$AO$101)</f>
        <v>0</v>
      </c>
      <c r="AA101" s="361">
        <f ca="1">SUM(AA6,AA10,AA34,AA61,AA86,AA88)</f>
        <v>0</v>
      </c>
      <c r="AB101" s="255">
        <f ca="1">IF(ISERROR(AC101/$AO$101),"",AC101/$AO$101)</f>
        <v>0</v>
      </c>
      <c r="AC101" s="361">
        <f ca="1">SUM(AC6,AC10,AC34,AC61,AC86,AC88)</f>
        <v>0</v>
      </c>
      <c r="AD101" s="255">
        <f ca="1">IF(ISERROR(AE101/$AO$101),"",AE101/$AO$101)</f>
        <v>0</v>
      </c>
      <c r="AE101" s="361">
        <f ca="1">SUM(AE6,AE10,AE34,AE61,AE86,AE88)</f>
        <v>0</v>
      </c>
      <c r="AF101" s="255">
        <f ca="1">IF(ISERROR(AG101/$AO$101),"",AG101/$AO$101)</f>
        <v>0</v>
      </c>
      <c r="AG101" s="361">
        <f ca="1">SUM(AG6,AG10,AG34,AG61,AG86,AG88)</f>
        <v>0</v>
      </c>
      <c r="AH101" s="255">
        <f ca="1">IF(ISERROR(AI101/$AO$101),"",AI101/$AO$101)</f>
        <v>0</v>
      </c>
      <c r="AI101" s="361">
        <f ca="1">SUM(AI6,AI10,AI34,AI61,AI86,AI88)</f>
        <v>0</v>
      </c>
      <c r="AJ101" s="255">
        <f ca="1">IF(ISERROR(AK101/$AO$101),"",AK101/$AO$101)</f>
        <v>0</v>
      </c>
      <c r="AK101" s="361">
        <f ca="1">SUM(AK6,AK10,AK34,AK61,AK86,AK88)</f>
        <v>0</v>
      </c>
      <c r="AL101" s="255">
        <f ca="1">IF(ISERROR(AM101/$AO$101),"",AM101/$AO$101)</f>
        <v>0</v>
      </c>
      <c r="AM101" s="361">
        <f ca="1">SUM(AM6,AM10,AM34,AM61,AM86,AM88)</f>
        <v>0</v>
      </c>
      <c r="AN101" s="252">
        <f ca="1">IF(ISERROR(AO101/$AO$101),"",AO101/$AO$101)</f>
        <v>1</v>
      </c>
      <c r="AO101" s="249">
        <f ca="1">SUM(E101,G101,I101,K101,M101,O101,Q101,S101,U101,W101,Y101,AA101,AC101,AE101,AG101,AI101,AK101,AM101,)</f>
        <v>1990219.6506260568</v>
      </c>
    </row>
    <row r="102" spans="1:41" s="91" customFormat="1" ht="15" customHeight="1" thickBot="1" x14ac:dyDescent="0.3">
      <c r="A102" s="609" t="s">
        <v>290</v>
      </c>
      <c r="B102" s="610"/>
      <c r="C102" s="347">
        <f ca="1">C100*1.182</f>
        <v>2352439.6270399992</v>
      </c>
      <c r="D102" s="250">
        <f ca="1">IF(ISERROR(E102/$AO$102),"",E102/$AO$102)</f>
        <v>0</v>
      </c>
      <c r="E102" s="360">
        <f ca="1">E101*1.182</f>
        <v>0</v>
      </c>
      <c r="F102" s="250">
        <f ca="1">IF(ISERROR(G102/$AO$102),"",G102/$AO$102)</f>
        <v>0</v>
      </c>
      <c r="G102" s="360">
        <f ca="1">G101*1.182</f>
        <v>0</v>
      </c>
      <c r="H102" s="250">
        <f ca="1">IF(ISERROR(I102/$AO$102),"",I102/$AO$102)</f>
        <v>0</v>
      </c>
      <c r="I102" s="360">
        <f ca="1">I101*1.182</f>
        <v>0</v>
      </c>
      <c r="J102" s="250">
        <f ca="1">IF(ISERROR(K102/$AO$102),"",K102/$AO$102)</f>
        <v>0</v>
      </c>
      <c r="K102" s="360">
        <f ca="1">K101*1.182</f>
        <v>0</v>
      </c>
      <c r="L102" s="250">
        <f ca="1">IF(ISERROR(M102/$AO$102),"",M102/$AO$102)</f>
        <v>0</v>
      </c>
      <c r="M102" s="360">
        <f ca="1">M101*1.182</f>
        <v>0</v>
      </c>
      <c r="N102" s="250">
        <f ca="1">IF(ISERROR(O102/$AO$102),"",O102/$AO$102)</f>
        <v>0</v>
      </c>
      <c r="O102" s="360">
        <f ca="1">O101*1.182</f>
        <v>0</v>
      </c>
      <c r="P102" s="250">
        <f ca="1">IF(ISERROR(Q102/$AO$102),"",Q102/$AO$102)</f>
        <v>0</v>
      </c>
      <c r="Q102" s="360">
        <f ca="1">Q101*1.182</f>
        <v>0</v>
      </c>
      <c r="R102" s="250">
        <f ca="1">IF(ISERROR(S102/$AO$102),"",S102/$AO$102)</f>
        <v>0</v>
      </c>
      <c r="S102" s="360">
        <f ca="1">S101*1.182</f>
        <v>0</v>
      </c>
      <c r="T102" s="250">
        <f ca="1">IF(ISERROR(U102/$AO$102),"",U102/$AO$102)</f>
        <v>0</v>
      </c>
      <c r="U102" s="360">
        <f ca="1">U101*1.182</f>
        <v>0</v>
      </c>
      <c r="V102" s="250">
        <f ca="1">IF(ISERROR(W102/$AO$102),"",W102/$AO$102)</f>
        <v>1</v>
      </c>
      <c r="W102" s="360">
        <f ca="1">W101*1.182</f>
        <v>2352439.6270399992</v>
      </c>
      <c r="X102" s="250">
        <f ca="1">IF(ISERROR(Y102/$AO$102),"",Y102/$AO$102)</f>
        <v>0</v>
      </c>
      <c r="Y102" s="360">
        <f ca="1">Y101*1.182</f>
        <v>0</v>
      </c>
      <c r="Z102" s="250">
        <f ca="1">IF(ISERROR(AA102/$AO$102),"",AA102/$AO$102)</f>
        <v>0</v>
      </c>
      <c r="AA102" s="360">
        <f ca="1">AA101*1.182</f>
        <v>0</v>
      </c>
      <c r="AB102" s="250">
        <f ca="1">IF(ISERROR(AC102/$AO$102),"",AC102/$AO$102)</f>
        <v>0</v>
      </c>
      <c r="AC102" s="360">
        <f ca="1">AC101*1.182</f>
        <v>0</v>
      </c>
      <c r="AD102" s="250">
        <f ca="1">IF(ISERROR(AE102/$AO$102),"",AE102/$AO$102)</f>
        <v>0</v>
      </c>
      <c r="AE102" s="360">
        <f ca="1">AE101*1.182</f>
        <v>0</v>
      </c>
      <c r="AF102" s="250">
        <f ca="1">IF(ISERROR(AG102/$AO$101),"",AG102/$AO$101)</f>
        <v>0</v>
      </c>
      <c r="AG102" s="360">
        <f ca="1">AG101*1.182</f>
        <v>0</v>
      </c>
      <c r="AH102" s="250">
        <f ca="1">IF(ISERROR(AI102/$AO$101),"",AI102/$AO$101)</f>
        <v>0</v>
      </c>
      <c r="AI102" s="360">
        <f ca="1">AI101*1.182</f>
        <v>0</v>
      </c>
      <c r="AJ102" s="250">
        <f ca="1">IF(ISERROR(AK102/$AO$101),"",AK102/$AO$101)</f>
        <v>0</v>
      </c>
      <c r="AK102" s="360">
        <f ca="1">AK101*1.182</f>
        <v>0</v>
      </c>
      <c r="AL102" s="250">
        <f ca="1">IF(ISERROR(AM102/$AO$101),"",AM102/$AO$101)</f>
        <v>0</v>
      </c>
      <c r="AM102" s="360">
        <f ca="1">AM101*1.182</f>
        <v>0</v>
      </c>
      <c r="AN102" s="253">
        <f ca="1">IF(ISERROR(AO102/$C$102),"",AO102/$C$102)</f>
        <v>1</v>
      </c>
      <c r="AO102" s="251">
        <f ca="1">SUM(E102,G102,I102,K102,M102,O102,Q102,S102,U102,W102,Y102,AA102,AC102,AE102,AG102,AI102,AK102,AM102,)</f>
        <v>2352439.6270399992</v>
      </c>
    </row>
    <row r="103" spans="1:41" ht="15" customHeight="1" thickTop="1" x14ac:dyDescent="0.25"/>
    <row r="106" spans="1:41" ht="15" customHeight="1" x14ac:dyDescent="0.25">
      <c r="AE106" s="248"/>
    </row>
    <row r="107" spans="1:41" ht="15" customHeight="1" x14ac:dyDescent="0.25">
      <c r="AE107" s="248"/>
    </row>
  </sheetData>
  <mergeCells count="45">
    <mergeCell ref="A102:B102"/>
    <mergeCell ref="AD100:AE100"/>
    <mergeCell ref="AF100:AG100"/>
    <mergeCell ref="AH100:AI100"/>
    <mergeCell ref="AJ100:AK100"/>
    <mergeCell ref="AL100:AM100"/>
    <mergeCell ref="AN100:AO100"/>
    <mergeCell ref="R100:S100"/>
    <mergeCell ref="T100:U100"/>
    <mergeCell ref="V100:W100"/>
    <mergeCell ref="X100:Y100"/>
    <mergeCell ref="Z100:AA100"/>
    <mergeCell ref="AB100:AC100"/>
    <mergeCell ref="AN2:AO3"/>
    <mergeCell ref="A100:B101"/>
    <mergeCell ref="C100:C101"/>
    <mergeCell ref="D100:E100"/>
    <mergeCell ref="F100:G100"/>
    <mergeCell ref="H100:I100"/>
    <mergeCell ref="J100:K100"/>
    <mergeCell ref="L100:M100"/>
    <mergeCell ref="N100:O100"/>
    <mergeCell ref="P100:Q100"/>
    <mergeCell ref="AB2:AC3"/>
    <mergeCell ref="AD2:AE3"/>
    <mergeCell ref="AF2:AG3"/>
    <mergeCell ref="AH2:AI3"/>
    <mergeCell ref="AJ2:AK3"/>
    <mergeCell ref="AL2:AM3"/>
    <mergeCell ref="Z2:AA3"/>
    <mergeCell ref="A1:AO1"/>
    <mergeCell ref="A2:A4"/>
    <mergeCell ref="B2:B4"/>
    <mergeCell ref="C2:C3"/>
    <mergeCell ref="D2:E3"/>
    <mergeCell ref="F2:G3"/>
    <mergeCell ref="H2:I3"/>
    <mergeCell ref="J2:K3"/>
    <mergeCell ref="L2:M3"/>
    <mergeCell ref="N2:O3"/>
    <mergeCell ref="P2:Q3"/>
    <mergeCell ref="R2:S3"/>
    <mergeCell ref="T2:U3"/>
    <mergeCell ref="V2:W3"/>
    <mergeCell ref="X2:Y3"/>
  </mergeCells>
  <phoneticPr fontId="16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D0F6-C3E6-4575-9A1C-E9391066473B}">
  <sheetPr>
    <pageSetUpPr fitToPage="1"/>
  </sheetPr>
  <dimension ref="B1:S31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0" width="12.7109375" style="3" customWidth="1"/>
    <col min="11" max="11" width="20.7109375" style="3" customWidth="1"/>
    <col min="12" max="13" width="10.7109375" style="3" customWidth="1"/>
    <col min="14" max="16384" width="10.7109375" style="3"/>
  </cols>
  <sheetData>
    <row r="1" spans="2:17" ht="19.899999999999999" customHeight="1" thickBot="1" x14ac:dyDescent="0.3"/>
    <row r="2" spans="2:17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3"/>
      <c r="P2" s="611" t="s">
        <v>294</v>
      </c>
      <c r="Q2" s="611"/>
    </row>
    <row r="3" spans="2:17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5"/>
      <c r="P3" s="36"/>
      <c r="Q3" s="36"/>
    </row>
    <row r="4" spans="2:17" ht="15" customHeight="1" x14ac:dyDescent="0.25">
      <c r="B4" s="647" t="s">
        <v>296</v>
      </c>
      <c r="C4" s="648"/>
      <c r="D4" s="648"/>
      <c r="E4" s="653">
        <f>IF($G$13="","",VLOOKUP($G$13,RESUMO!$C:$G,5,FALSE))</f>
        <v>1</v>
      </c>
      <c r="F4" s="653"/>
      <c r="G4" s="640">
        <f t="shared" ref="G4:G9" si="0">E4*$M$13</f>
        <v>22570.81</v>
      </c>
      <c r="H4" s="641"/>
      <c r="J4" s="613"/>
      <c r="K4" s="614"/>
      <c r="L4" s="614"/>
      <c r="M4" s="614"/>
      <c r="N4" s="615"/>
      <c r="P4" s="36"/>
      <c r="Q4" s="36"/>
    </row>
    <row r="5" spans="2:17" ht="15" customHeight="1" x14ac:dyDescent="0.25">
      <c r="B5" s="649" t="s">
        <v>297</v>
      </c>
      <c r="C5" s="650"/>
      <c r="D5" s="650"/>
      <c r="E5" s="654">
        <f>SUMIFS(I:I,N:N,"&lt;&gt;")</f>
        <v>1</v>
      </c>
      <c r="F5" s="654"/>
      <c r="G5" s="642">
        <f t="shared" si="0"/>
        <v>22570.81</v>
      </c>
      <c r="H5" s="643"/>
      <c r="J5" s="613"/>
      <c r="K5" s="614"/>
      <c r="L5" s="614"/>
      <c r="M5" s="614"/>
      <c r="N5" s="615"/>
      <c r="P5" s="36"/>
      <c r="Q5" s="36"/>
    </row>
    <row r="6" spans="2:17" ht="15" customHeight="1" x14ac:dyDescent="0.25">
      <c r="B6" s="649" t="s">
        <v>298</v>
      </c>
      <c r="C6" s="650"/>
      <c r="D6" s="650"/>
      <c r="E6" s="654">
        <f>E5-E9</f>
        <v>1</v>
      </c>
      <c r="F6" s="654"/>
      <c r="G6" s="642">
        <f t="shared" si="0"/>
        <v>22570.81</v>
      </c>
      <c r="H6" s="643"/>
      <c r="J6" s="613"/>
      <c r="K6" s="614"/>
      <c r="L6" s="614"/>
      <c r="M6" s="614"/>
      <c r="N6" s="615"/>
    </row>
    <row r="7" spans="2:17" ht="15" customHeight="1" x14ac:dyDescent="0.25">
      <c r="B7" s="649" t="s">
        <v>299</v>
      </c>
      <c r="C7" s="650"/>
      <c r="D7" s="650"/>
      <c r="E7" s="644">
        <f>E4-E5</f>
        <v>0</v>
      </c>
      <c r="F7" s="645"/>
      <c r="G7" s="642">
        <f t="shared" si="0"/>
        <v>0</v>
      </c>
      <c r="H7" s="643"/>
      <c r="J7" s="613"/>
      <c r="K7" s="614"/>
      <c r="L7" s="614"/>
      <c r="M7" s="614"/>
      <c r="N7" s="615"/>
    </row>
    <row r="8" spans="2:17" ht="15" customHeight="1" x14ac:dyDescent="0.25">
      <c r="B8" s="655" t="s">
        <v>300</v>
      </c>
      <c r="C8" s="656"/>
      <c r="D8" s="656"/>
      <c r="E8" s="657">
        <f>SUM(I:I)-E5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5"/>
    </row>
    <row r="9" spans="2:17" ht="15" customHeight="1" thickBot="1" x14ac:dyDescent="0.3">
      <c r="B9" s="651" t="s">
        <v>301</v>
      </c>
      <c r="C9" s="652"/>
      <c r="D9" s="652"/>
      <c r="E9" s="646">
        <f>SUMIF(N:N,CAPA!$I$2,I:I)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8"/>
    </row>
    <row r="10" spans="2:17" ht="10.15" customHeight="1" thickTop="1" thickBot="1" x14ac:dyDescent="0.3"/>
    <row r="11" spans="2:17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6"/>
    </row>
    <row r="12" spans="2:17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14" t="s">
        <v>303</v>
      </c>
      <c r="M12" s="619" t="s">
        <v>304</v>
      </c>
      <c r="N12" s="620"/>
    </row>
    <row r="13" spans="2:17" s="8" customFormat="1" ht="30" customHeight="1" thickBot="1" x14ac:dyDescent="0.3">
      <c r="B13" s="15" t="str">
        <f>RESUMO!C8</f>
        <v>A.</v>
      </c>
      <c r="C13" s="623" t="str">
        <f>IF($B$13="","",VLOOKUP($B$13,RESUMO!$C:$F,2,FALSE))</f>
        <v>Custos Indiretos</v>
      </c>
      <c r="D13" s="623"/>
      <c r="E13" s="623"/>
      <c r="F13" s="662"/>
      <c r="G13" s="16" t="str">
        <f>RESUMO!C9</f>
        <v>A.1</v>
      </c>
      <c r="H13" s="623" t="str">
        <f>IF($G$13="","",VLOOKUP($G$13,RESUMO!$C:$F,2,FALSE))</f>
        <v>Mobilização e desmobilização</v>
      </c>
      <c r="I13" s="623"/>
      <c r="J13" s="623"/>
      <c r="K13" s="623"/>
      <c r="L13" s="17" t="str">
        <f>IF($G$13="","",VLOOKUP($G$13,RESUMO!$C:$F,3,FALSE))</f>
        <v>vb.</v>
      </c>
      <c r="M13" s="621">
        <f>IF($G$13="","",VLOOKUP($G$13,RESUMO!$C:$F,4,FALSE))</f>
        <v>22570.81</v>
      </c>
      <c r="N13" s="622"/>
    </row>
    <row r="14" spans="2:17" ht="10.15" customHeight="1" thickTop="1" thickBot="1" x14ac:dyDescent="0.3"/>
    <row r="15" spans="2:17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310</v>
      </c>
      <c r="J15" s="627" t="s">
        <v>311</v>
      </c>
      <c r="K15" s="627" t="s">
        <v>312</v>
      </c>
      <c r="L15" s="627"/>
      <c r="M15" s="627"/>
      <c r="N15" s="629" t="s">
        <v>27</v>
      </c>
      <c r="P15" s="611" t="s">
        <v>313</v>
      </c>
      <c r="Q15" s="611"/>
    </row>
    <row r="16" spans="2:17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28"/>
      <c r="K16" s="628"/>
      <c r="L16" s="628"/>
      <c r="M16" s="628"/>
      <c r="N16" s="630"/>
      <c r="P16" s="35" t="s">
        <v>269</v>
      </c>
      <c r="Q16" s="35" t="s">
        <v>47</v>
      </c>
    </row>
    <row r="17" spans="2:19" ht="19.899999999999999" customHeight="1" thickTop="1" x14ac:dyDescent="0.25">
      <c r="B17" s="19" t="s">
        <v>316</v>
      </c>
      <c r="C17" s="20" t="s">
        <v>317</v>
      </c>
      <c r="D17" s="21"/>
      <c r="E17" s="22"/>
      <c r="F17" s="21"/>
      <c r="G17" s="22"/>
      <c r="H17" s="20"/>
      <c r="I17" s="23">
        <v>0.5</v>
      </c>
      <c r="J17" s="23">
        <f>IF(OR(B17="",I17=""),"",IF(AND(J16="",N17=""),J16,SUM(I17,J16)))</f>
        <v>0.5</v>
      </c>
      <c r="K17" s="635" t="s">
        <v>318</v>
      </c>
      <c r="L17" s="635"/>
      <c r="M17" s="635"/>
      <c r="N17" s="24">
        <v>1</v>
      </c>
      <c r="P17" s="84" t="s">
        <v>61</v>
      </c>
      <c r="Q17" s="83" t="str">
        <f>IF($P17="","",VLOOKUP($P17,RESUMO!$C:$D,2,FALSE))</f>
        <v>Mobilização e desmobilização</v>
      </c>
      <c r="S17" s="85" t="str">
        <f>HYPERLINK("#"&amp;"'"&amp;P17&amp;"'"&amp;"!A1","LINK")</f>
        <v>LINK</v>
      </c>
    </row>
    <row r="18" spans="2:19" ht="19.899999999999999" customHeight="1" x14ac:dyDescent="0.25">
      <c r="B18" s="25" t="s">
        <v>316</v>
      </c>
      <c r="C18" s="26" t="s">
        <v>317</v>
      </c>
      <c r="D18" s="27"/>
      <c r="E18" s="28"/>
      <c r="F18" s="27"/>
      <c r="G18" s="28"/>
      <c r="H18" s="26"/>
      <c r="I18" s="11">
        <v>0.5</v>
      </c>
      <c r="J18" s="11">
        <f>IF(B18="","",IF(OR(J17="",N18=""),J17,SUM(I18,J17)))</f>
        <v>1</v>
      </c>
      <c r="K18" s="612" t="s">
        <v>318</v>
      </c>
      <c r="L18" s="612"/>
      <c r="M18" s="612"/>
      <c r="N18" s="29">
        <v>2</v>
      </c>
      <c r="P18" s="84" t="s">
        <v>64</v>
      </c>
      <c r="Q18" s="83" t="str">
        <f>IF($P18="","",VLOOKUP($P18,RESUMO!$C:$D,2,FALSE))</f>
        <v>Sinalização e desvio de tráfego</v>
      </c>
      <c r="S18" s="85" t="str">
        <f t="shared" ref="S18:S19" si="1">HYPERLINK("#"&amp;"'"&amp;P18&amp;"'"&amp;"!A1","LINK")</f>
        <v>LINK</v>
      </c>
    </row>
    <row r="19" spans="2:19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 t="str">
        <f t="shared" ref="J19:J30" si="2">IF(B19="","",IF(OR(J18="",N19=""),J18,SUM(I19,J18)))</f>
        <v/>
      </c>
      <c r="K19" s="612"/>
      <c r="L19" s="612"/>
      <c r="M19" s="612"/>
      <c r="N19" s="29"/>
      <c r="P19" s="84" t="s">
        <v>66</v>
      </c>
      <c r="Q19" s="83" t="str">
        <f>IF($P19="","",VLOOKUP($P19,RESUMO!$C:$D,2,FALSE))</f>
        <v>Administração local</v>
      </c>
      <c r="S19" s="85" t="str">
        <f t="shared" si="1"/>
        <v>LINK</v>
      </c>
    </row>
    <row r="20" spans="2:19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 t="str">
        <f t="shared" si="2"/>
        <v/>
      </c>
      <c r="K20" s="612"/>
      <c r="L20" s="612"/>
      <c r="M20" s="612"/>
      <c r="N20" s="29"/>
      <c r="P20" s="84"/>
      <c r="Q20" s="83"/>
      <c r="S20" s="85"/>
    </row>
    <row r="21" spans="2:19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 t="str">
        <f t="shared" si="2"/>
        <v/>
      </c>
      <c r="K21" s="612"/>
      <c r="L21" s="612"/>
      <c r="M21" s="612"/>
      <c r="N21" s="29"/>
      <c r="P21" s="84"/>
      <c r="Q21" s="83"/>
      <c r="S21" s="85"/>
    </row>
    <row r="22" spans="2:19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 t="str">
        <f t="shared" si="2"/>
        <v/>
      </c>
      <c r="K22" s="612"/>
      <c r="L22" s="612"/>
      <c r="M22" s="612"/>
      <c r="N22" s="29"/>
    </row>
    <row r="23" spans="2:19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 t="str">
        <f t="shared" si="2"/>
        <v/>
      </c>
      <c r="K23" s="612"/>
      <c r="L23" s="612"/>
      <c r="M23" s="612"/>
      <c r="N23" s="29"/>
    </row>
    <row r="24" spans="2:19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 t="str">
        <f t="shared" si="2"/>
        <v/>
      </c>
      <c r="K24" s="612"/>
      <c r="L24" s="612"/>
      <c r="M24" s="612"/>
      <c r="N24" s="29"/>
    </row>
    <row r="25" spans="2:19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 t="str">
        <f t="shared" si="2"/>
        <v/>
      </c>
      <c r="K25" s="612"/>
      <c r="L25" s="612"/>
      <c r="M25" s="612"/>
      <c r="N25" s="29"/>
    </row>
    <row r="26" spans="2:19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 t="str">
        <f t="shared" si="2"/>
        <v/>
      </c>
      <c r="K26" s="612"/>
      <c r="L26" s="612"/>
      <c r="M26" s="612"/>
      <c r="N26" s="29"/>
    </row>
    <row r="27" spans="2:19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 t="str">
        <f t="shared" si="2"/>
        <v/>
      </c>
      <c r="K27" s="612"/>
      <c r="L27" s="612"/>
      <c r="M27" s="612"/>
      <c r="N27" s="29"/>
    </row>
    <row r="28" spans="2:19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 t="str">
        <f t="shared" si="2"/>
        <v/>
      </c>
      <c r="K28" s="612"/>
      <c r="L28" s="612"/>
      <c r="M28" s="612"/>
      <c r="N28" s="29"/>
    </row>
    <row r="29" spans="2:19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 t="str">
        <f t="shared" si="2"/>
        <v/>
      </c>
      <c r="K29" s="612"/>
      <c r="L29" s="612"/>
      <c r="M29" s="612"/>
      <c r="N29" s="29"/>
    </row>
    <row r="30" spans="2:19" ht="19.899999999999999" customHeight="1" thickBot="1" x14ac:dyDescent="0.3">
      <c r="B30" s="30"/>
      <c r="C30" s="31"/>
      <c r="D30" s="32"/>
      <c r="E30" s="33"/>
      <c r="F30" s="32"/>
      <c r="G30" s="33"/>
      <c r="H30" s="31"/>
      <c r="I30" s="12"/>
      <c r="J30" s="12" t="str">
        <f t="shared" si="2"/>
        <v/>
      </c>
      <c r="K30" s="634"/>
      <c r="L30" s="634"/>
      <c r="M30" s="634"/>
      <c r="N30" s="34"/>
    </row>
    <row r="31" spans="2:19" ht="19.899999999999999" customHeight="1" thickTop="1" x14ac:dyDescent="0.25"/>
  </sheetData>
  <mergeCells count="63">
    <mergeCell ref="B11:F11"/>
    <mergeCell ref="C12:F12"/>
    <mergeCell ref="C13:F13"/>
    <mergeCell ref="H15:H16"/>
    <mergeCell ref="I15:I16"/>
    <mergeCell ref="B15:B16"/>
    <mergeCell ref="C15:C16"/>
    <mergeCell ref="D15:E15"/>
    <mergeCell ref="F15:G15"/>
    <mergeCell ref="G7:H7"/>
    <mergeCell ref="E7:F7"/>
    <mergeCell ref="E9:F9"/>
    <mergeCell ref="B4:D4"/>
    <mergeCell ref="B5:D5"/>
    <mergeCell ref="B6:D6"/>
    <mergeCell ref="B7:D7"/>
    <mergeCell ref="B9:D9"/>
    <mergeCell ref="E4:F4"/>
    <mergeCell ref="E5:F5"/>
    <mergeCell ref="E6:F6"/>
    <mergeCell ref="B8:D8"/>
    <mergeCell ref="E8:F8"/>
    <mergeCell ref="G8:H8"/>
    <mergeCell ref="G9:H9"/>
    <mergeCell ref="B2:D3"/>
    <mergeCell ref="G3:H3"/>
    <mergeCell ref="G4:H4"/>
    <mergeCell ref="G5:H5"/>
    <mergeCell ref="G6:H6"/>
    <mergeCell ref="E3:F3"/>
    <mergeCell ref="E2:H2"/>
    <mergeCell ref="J2:N2"/>
    <mergeCell ref="J3:N3"/>
    <mergeCell ref="J4:N4"/>
    <mergeCell ref="J5:N5"/>
    <mergeCell ref="K30:M30"/>
    <mergeCell ref="J8:N8"/>
    <mergeCell ref="K27:M27"/>
    <mergeCell ref="K25:M25"/>
    <mergeCell ref="K28:M28"/>
    <mergeCell ref="K26:M26"/>
    <mergeCell ref="K17:M17"/>
    <mergeCell ref="K18:M18"/>
    <mergeCell ref="K19:M19"/>
    <mergeCell ref="K20:M20"/>
    <mergeCell ref="K21:M21"/>
    <mergeCell ref="K22:M22"/>
    <mergeCell ref="P2:Q2"/>
    <mergeCell ref="K23:M23"/>
    <mergeCell ref="K24:M24"/>
    <mergeCell ref="P15:Q15"/>
    <mergeCell ref="K29:M29"/>
    <mergeCell ref="J6:N6"/>
    <mergeCell ref="J7:N7"/>
    <mergeCell ref="J9:N9"/>
    <mergeCell ref="M12:N12"/>
    <mergeCell ref="M13:N13"/>
    <mergeCell ref="H12:K12"/>
    <mergeCell ref="H13:K13"/>
    <mergeCell ref="G11:N11"/>
    <mergeCell ref="J15:J16"/>
    <mergeCell ref="N15:N16"/>
    <mergeCell ref="K15:M16"/>
  </mergeCells>
  <phoneticPr fontId="16" type="noConversion"/>
  <conditionalFormatting sqref="B17:K30 N17:N30">
    <cfRule type="containsBlanks" dxfId="119" priority="2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93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DDC9-01E8-4A21-B08C-327529406DF0}">
  <sheetPr>
    <pageSetUpPr fitToPage="1"/>
  </sheetPr>
  <dimension ref="B1:S31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0" width="12.7109375" style="3" customWidth="1"/>
    <col min="11" max="11" width="20.7109375" style="3" customWidth="1"/>
    <col min="12" max="13" width="10.7109375" style="3" customWidth="1"/>
    <col min="14" max="16384" width="10.7109375" style="3"/>
  </cols>
  <sheetData>
    <row r="1" spans="2:17" ht="19.899999999999999" customHeight="1" thickBot="1" x14ac:dyDescent="0.3"/>
    <row r="2" spans="2:17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3"/>
      <c r="P2" s="611" t="s">
        <v>294</v>
      </c>
      <c r="Q2" s="611"/>
    </row>
    <row r="3" spans="2:17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5"/>
      <c r="P3" s="36"/>
      <c r="Q3" s="36"/>
    </row>
    <row r="4" spans="2:17" ht="15" customHeight="1" x14ac:dyDescent="0.25">
      <c r="B4" s="647" t="s">
        <v>296</v>
      </c>
      <c r="C4" s="648"/>
      <c r="D4" s="648"/>
      <c r="E4" s="653">
        <f>IF($G$13="","",VLOOKUP($G$13,RESUMO!$C:$G,5,FALSE))</f>
        <v>1</v>
      </c>
      <c r="F4" s="653"/>
      <c r="G4" s="640">
        <f t="shared" ref="G4:G9" si="0">E4*$M$13</f>
        <v>45141.63</v>
      </c>
      <c r="H4" s="641"/>
      <c r="J4" s="613"/>
      <c r="K4" s="614"/>
      <c r="L4" s="614"/>
      <c r="M4" s="614"/>
      <c r="N4" s="615"/>
      <c r="P4" s="36"/>
      <c r="Q4" s="36"/>
    </row>
    <row r="5" spans="2:17" ht="15" customHeight="1" x14ac:dyDescent="0.25">
      <c r="B5" s="649" t="s">
        <v>297</v>
      </c>
      <c r="C5" s="650"/>
      <c r="D5" s="650"/>
      <c r="E5" s="654">
        <f>SUMIFS(I:I,N:N,"&lt;&gt;")</f>
        <v>1</v>
      </c>
      <c r="F5" s="654"/>
      <c r="G5" s="642">
        <f t="shared" si="0"/>
        <v>45141.63</v>
      </c>
      <c r="H5" s="643"/>
      <c r="J5" s="613"/>
      <c r="K5" s="614"/>
      <c r="L5" s="614"/>
      <c r="M5" s="614"/>
      <c r="N5" s="615"/>
      <c r="P5" s="36"/>
      <c r="Q5" s="36"/>
    </row>
    <row r="6" spans="2:17" ht="15" customHeight="1" x14ac:dyDescent="0.25">
      <c r="B6" s="649" t="s">
        <v>298</v>
      </c>
      <c r="C6" s="650"/>
      <c r="D6" s="650"/>
      <c r="E6" s="654">
        <f>E5-E9</f>
        <v>1</v>
      </c>
      <c r="F6" s="654"/>
      <c r="G6" s="642">
        <f t="shared" si="0"/>
        <v>45141.63</v>
      </c>
      <c r="H6" s="643"/>
      <c r="J6" s="613"/>
      <c r="K6" s="614"/>
      <c r="L6" s="614"/>
      <c r="M6" s="614"/>
      <c r="N6" s="615"/>
    </row>
    <row r="7" spans="2:17" ht="15" customHeight="1" x14ac:dyDescent="0.25">
      <c r="B7" s="649" t="s">
        <v>299</v>
      </c>
      <c r="C7" s="650"/>
      <c r="D7" s="650"/>
      <c r="E7" s="644">
        <f>E4-E5</f>
        <v>0</v>
      </c>
      <c r="F7" s="645"/>
      <c r="G7" s="642">
        <f t="shared" si="0"/>
        <v>0</v>
      </c>
      <c r="H7" s="643"/>
      <c r="J7" s="613"/>
      <c r="K7" s="614"/>
      <c r="L7" s="614"/>
      <c r="M7" s="614"/>
      <c r="N7" s="615"/>
    </row>
    <row r="8" spans="2:17" ht="15" customHeight="1" x14ac:dyDescent="0.25">
      <c r="B8" s="655" t="s">
        <v>300</v>
      </c>
      <c r="C8" s="656"/>
      <c r="D8" s="656"/>
      <c r="E8" s="657">
        <f>SUM(I:I)-E5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5"/>
    </row>
    <row r="9" spans="2:17" ht="15" customHeight="1" thickBot="1" x14ac:dyDescent="0.3">
      <c r="B9" s="651" t="s">
        <v>301</v>
      </c>
      <c r="C9" s="652"/>
      <c r="D9" s="652"/>
      <c r="E9" s="646">
        <f>SUMIF(N:N,CAPA!$I$2,I:I)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8"/>
    </row>
    <row r="10" spans="2:17" ht="10.15" customHeight="1" thickTop="1" thickBot="1" x14ac:dyDescent="0.3"/>
    <row r="11" spans="2:17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6"/>
    </row>
    <row r="12" spans="2:17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14" t="s">
        <v>303</v>
      </c>
      <c r="M12" s="619" t="s">
        <v>304</v>
      </c>
      <c r="N12" s="620"/>
    </row>
    <row r="13" spans="2:17" s="8" customFormat="1" ht="30" customHeight="1" thickBot="1" x14ac:dyDescent="0.3">
      <c r="B13" s="15" t="str">
        <f>RESUMO!C8</f>
        <v>A.</v>
      </c>
      <c r="C13" s="623" t="str">
        <f>IF($B$13="","",VLOOKUP($B$13,RESUMO!$C:$F,2,FALSE))</f>
        <v>Custos Indiretos</v>
      </c>
      <c r="D13" s="623"/>
      <c r="E13" s="623"/>
      <c r="F13" s="662"/>
      <c r="G13" s="16" t="str">
        <f>RESUMO!C10</f>
        <v>A.2</v>
      </c>
      <c r="H13" s="623" t="str">
        <f>IF($G$13="","",VLOOKUP($G$13,RESUMO!$C:$F,2,FALSE))</f>
        <v>Sinalização e desvio de tráfego</v>
      </c>
      <c r="I13" s="623"/>
      <c r="J13" s="623"/>
      <c r="K13" s="623"/>
      <c r="L13" s="17" t="str">
        <f>IF($G$13="","",VLOOKUP($G$13,RESUMO!$C:$F,3,FALSE))</f>
        <v>vb.</v>
      </c>
      <c r="M13" s="621">
        <f>IF($G$13="","",VLOOKUP($G$13,RESUMO!$C:$F,4,FALSE))</f>
        <v>45141.63</v>
      </c>
      <c r="N13" s="622"/>
    </row>
    <row r="14" spans="2:17" ht="10.15" customHeight="1" thickTop="1" thickBot="1" x14ac:dyDescent="0.3"/>
    <row r="15" spans="2:17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310</v>
      </c>
      <c r="J15" s="627" t="s">
        <v>311</v>
      </c>
      <c r="K15" s="627" t="s">
        <v>312</v>
      </c>
      <c r="L15" s="627"/>
      <c r="M15" s="627"/>
      <c r="N15" s="629" t="s">
        <v>27</v>
      </c>
      <c r="P15" s="611" t="s">
        <v>313</v>
      </c>
      <c r="Q15" s="611"/>
    </row>
    <row r="16" spans="2:17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28"/>
      <c r="K16" s="628"/>
      <c r="L16" s="628"/>
      <c r="M16" s="628"/>
      <c r="N16" s="630"/>
      <c r="P16" s="35" t="s">
        <v>269</v>
      </c>
      <c r="Q16" s="35" t="s">
        <v>47</v>
      </c>
    </row>
    <row r="17" spans="2:19" ht="19.899999999999999" customHeight="1" thickTop="1" x14ac:dyDescent="0.25">
      <c r="B17" s="19" t="s">
        <v>316</v>
      </c>
      <c r="C17" s="20" t="s">
        <v>317</v>
      </c>
      <c r="D17" s="21"/>
      <c r="E17" s="22"/>
      <c r="F17" s="21"/>
      <c r="G17" s="22"/>
      <c r="H17" s="20"/>
      <c r="I17" s="23">
        <v>0.5</v>
      </c>
      <c r="J17" s="23">
        <f>IF(OR(B17="",I17=""),"",IF(AND(J16="",N17=""),J16,SUM(I17,J16)))</f>
        <v>0.5</v>
      </c>
      <c r="K17" s="635" t="s">
        <v>318</v>
      </c>
      <c r="L17" s="635"/>
      <c r="M17" s="635"/>
      <c r="N17" s="24">
        <v>1</v>
      </c>
      <c r="P17" s="84" t="s">
        <v>61</v>
      </c>
      <c r="Q17" s="83" t="str">
        <f>IF($P17="","",VLOOKUP($P17,RESUMO!$C:$D,2,FALSE))</f>
        <v>Mobilização e desmobilização</v>
      </c>
      <c r="S17" s="85" t="str">
        <f>HYPERLINK("#"&amp;"'"&amp;P17&amp;"'"&amp;"!A1","LINK")</f>
        <v>LINK</v>
      </c>
    </row>
    <row r="18" spans="2:19" ht="19.899999999999999" customHeight="1" x14ac:dyDescent="0.25">
      <c r="B18" s="25" t="s">
        <v>316</v>
      </c>
      <c r="C18" s="26" t="s">
        <v>317</v>
      </c>
      <c r="D18" s="27"/>
      <c r="E18" s="28"/>
      <c r="F18" s="27"/>
      <c r="G18" s="28"/>
      <c r="H18" s="26"/>
      <c r="I18" s="11">
        <v>0.5</v>
      </c>
      <c r="J18" s="11">
        <f>IF(B18="","",IF(OR(J17="",N18=""),J17,SUM(I18,J17)))</f>
        <v>1</v>
      </c>
      <c r="K18" s="612" t="s">
        <v>318</v>
      </c>
      <c r="L18" s="612"/>
      <c r="M18" s="612"/>
      <c r="N18" s="29">
        <v>2</v>
      </c>
      <c r="P18" s="84" t="s">
        <v>64</v>
      </c>
      <c r="Q18" s="83" t="str">
        <f>IF($P18="","",VLOOKUP($P18,RESUMO!$C:$D,2,FALSE))</f>
        <v>Sinalização e desvio de tráfego</v>
      </c>
      <c r="S18" s="85" t="str">
        <f t="shared" ref="S18:S19" si="1">HYPERLINK("#"&amp;"'"&amp;P18&amp;"'"&amp;"!A1","LINK")</f>
        <v>LINK</v>
      </c>
    </row>
    <row r="19" spans="2:19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 t="str">
        <f t="shared" ref="J19:J30" si="2">IF(B19="","",IF(OR(J18="",N19=""),J18,SUM(I19,J18)))</f>
        <v/>
      </c>
      <c r="K19" s="612"/>
      <c r="L19" s="612"/>
      <c r="M19" s="612"/>
      <c r="N19" s="29"/>
      <c r="P19" s="84" t="s">
        <v>66</v>
      </c>
      <c r="Q19" s="83" t="str">
        <f>IF($P19="","",VLOOKUP($P19,RESUMO!$C:$D,2,FALSE))</f>
        <v>Administração local</v>
      </c>
      <c r="S19" s="85" t="str">
        <f t="shared" si="1"/>
        <v>LINK</v>
      </c>
    </row>
    <row r="20" spans="2:19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 t="str">
        <f t="shared" si="2"/>
        <v/>
      </c>
      <c r="K20" s="612"/>
      <c r="L20" s="612"/>
      <c r="M20" s="612"/>
      <c r="N20" s="29"/>
    </row>
    <row r="21" spans="2:19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 t="str">
        <f t="shared" si="2"/>
        <v/>
      </c>
      <c r="K21" s="612"/>
      <c r="L21" s="612"/>
      <c r="M21" s="612"/>
      <c r="N21" s="29"/>
    </row>
    <row r="22" spans="2:19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 t="str">
        <f t="shared" si="2"/>
        <v/>
      </c>
      <c r="K22" s="612"/>
      <c r="L22" s="612"/>
      <c r="M22" s="612"/>
      <c r="N22" s="29"/>
    </row>
    <row r="23" spans="2:19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 t="str">
        <f t="shared" si="2"/>
        <v/>
      </c>
      <c r="K23" s="612"/>
      <c r="L23" s="612"/>
      <c r="M23" s="612"/>
      <c r="N23" s="29"/>
    </row>
    <row r="24" spans="2:19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 t="str">
        <f t="shared" si="2"/>
        <v/>
      </c>
      <c r="K24" s="612"/>
      <c r="L24" s="612"/>
      <c r="M24" s="612"/>
      <c r="N24" s="29"/>
    </row>
    <row r="25" spans="2:19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 t="str">
        <f t="shared" si="2"/>
        <v/>
      </c>
      <c r="K25" s="612"/>
      <c r="L25" s="612"/>
      <c r="M25" s="612"/>
      <c r="N25" s="29"/>
    </row>
    <row r="26" spans="2:19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 t="str">
        <f t="shared" si="2"/>
        <v/>
      </c>
      <c r="K26" s="612"/>
      <c r="L26" s="612"/>
      <c r="M26" s="612"/>
      <c r="N26" s="29"/>
    </row>
    <row r="27" spans="2:19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 t="str">
        <f t="shared" si="2"/>
        <v/>
      </c>
      <c r="K27" s="612"/>
      <c r="L27" s="612"/>
      <c r="M27" s="612"/>
      <c r="N27" s="29"/>
    </row>
    <row r="28" spans="2:19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 t="str">
        <f t="shared" si="2"/>
        <v/>
      </c>
      <c r="K28" s="612"/>
      <c r="L28" s="612"/>
      <c r="M28" s="612"/>
      <c r="N28" s="29"/>
    </row>
    <row r="29" spans="2:19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 t="str">
        <f t="shared" si="2"/>
        <v/>
      </c>
      <c r="K29" s="612"/>
      <c r="L29" s="612"/>
      <c r="M29" s="612"/>
      <c r="N29" s="29"/>
    </row>
    <row r="30" spans="2:19" ht="19.899999999999999" customHeight="1" thickBot="1" x14ac:dyDescent="0.3">
      <c r="B30" s="30"/>
      <c r="C30" s="31"/>
      <c r="D30" s="32"/>
      <c r="E30" s="33"/>
      <c r="F30" s="32"/>
      <c r="G30" s="33"/>
      <c r="H30" s="31"/>
      <c r="I30" s="12"/>
      <c r="J30" s="12" t="str">
        <f t="shared" si="2"/>
        <v/>
      </c>
      <c r="K30" s="634"/>
      <c r="L30" s="634"/>
      <c r="M30" s="634"/>
      <c r="N30" s="34"/>
    </row>
    <row r="31" spans="2:19" ht="19.899999999999999" customHeight="1" thickTop="1" x14ac:dyDescent="0.25"/>
  </sheetData>
  <mergeCells count="63">
    <mergeCell ref="B2:D3"/>
    <mergeCell ref="E2:H2"/>
    <mergeCell ref="J2:N2"/>
    <mergeCell ref="E3:F3"/>
    <mergeCell ref="G3:H3"/>
    <mergeCell ref="J3:N3"/>
    <mergeCell ref="B4:D4"/>
    <mergeCell ref="E4:F4"/>
    <mergeCell ref="G4:H4"/>
    <mergeCell ref="J4:N4"/>
    <mergeCell ref="B5:D5"/>
    <mergeCell ref="E5:F5"/>
    <mergeCell ref="G5:H5"/>
    <mergeCell ref="J5:N5"/>
    <mergeCell ref="B6:D6"/>
    <mergeCell ref="E6:F6"/>
    <mergeCell ref="G6:H6"/>
    <mergeCell ref="J6:N6"/>
    <mergeCell ref="B7:D7"/>
    <mergeCell ref="E7:F7"/>
    <mergeCell ref="G7:H7"/>
    <mergeCell ref="J7:N7"/>
    <mergeCell ref="B8:D8"/>
    <mergeCell ref="E8:F8"/>
    <mergeCell ref="G8:H8"/>
    <mergeCell ref="J8:N8"/>
    <mergeCell ref="B9:D9"/>
    <mergeCell ref="E9:F9"/>
    <mergeCell ref="G9:H9"/>
    <mergeCell ref="J9:N9"/>
    <mergeCell ref="I15:I16"/>
    <mergeCell ref="B11:F11"/>
    <mergeCell ref="G11:N11"/>
    <mergeCell ref="C12:F12"/>
    <mergeCell ref="H12:K12"/>
    <mergeCell ref="M12:N12"/>
    <mergeCell ref="C13:F13"/>
    <mergeCell ref="H13:K13"/>
    <mergeCell ref="M13:N13"/>
    <mergeCell ref="B15:B16"/>
    <mergeCell ref="C15:C16"/>
    <mergeCell ref="D15:E15"/>
    <mergeCell ref="F15:G15"/>
    <mergeCell ref="H15:H16"/>
    <mergeCell ref="J15:J16"/>
    <mergeCell ref="K15:M16"/>
    <mergeCell ref="K29:M29"/>
    <mergeCell ref="K30:M30"/>
    <mergeCell ref="K19:M19"/>
    <mergeCell ref="K20:M20"/>
    <mergeCell ref="K21:M21"/>
    <mergeCell ref="K22:M22"/>
    <mergeCell ref="K23:M23"/>
    <mergeCell ref="K24:M24"/>
    <mergeCell ref="P2:Q2"/>
    <mergeCell ref="K25:M25"/>
    <mergeCell ref="K26:M26"/>
    <mergeCell ref="K27:M27"/>
    <mergeCell ref="K28:M28"/>
    <mergeCell ref="K18:M18"/>
    <mergeCell ref="N15:N16"/>
    <mergeCell ref="P15:Q15"/>
    <mergeCell ref="K17:M17"/>
  </mergeCells>
  <conditionalFormatting sqref="B17:K30 N17:N30">
    <cfRule type="containsBlanks" dxfId="118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93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5CE0-12FA-42A4-9F66-43422A0F2048}">
  <sheetPr>
    <pageSetUpPr fitToPage="1"/>
  </sheetPr>
  <dimension ref="B1:S31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0" width="12.7109375" style="3" customWidth="1"/>
    <col min="11" max="11" width="20.7109375" style="3" customWidth="1"/>
    <col min="12" max="13" width="10.7109375" style="3" customWidth="1"/>
    <col min="14" max="16384" width="10.7109375" style="3"/>
  </cols>
  <sheetData>
    <row r="1" spans="2:17" ht="19.899999999999999" customHeight="1" thickBot="1" x14ac:dyDescent="0.3"/>
    <row r="2" spans="2:17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3"/>
      <c r="P2" s="611" t="s">
        <v>294</v>
      </c>
      <c r="Q2" s="611"/>
    </row>
    <row r="3" spans="2:17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5"/>
      <c r="P3" s="36"/>
      <c r="Q3" s="36"/>
    </row>
    <row r="4" spans="2:17" ht="15" customHeight="1" x14ac:dyDescent="0.25">
      <c r="B4" s="647" t="s">
        <v>296</v>
      </c>
      <c r="C4" s="648"/>
      <c r="D4" s="648"/>
      <c r="E4" s="653">
        <f>IF($G$13="","",VLOOKUP($G$13,RESUMO!$C:$G,5,FALSE))</f>
        <v>1</v>
      </c>
      <c r="F4" s="653"/>
      <c r="G4" s="640">
        <f t="shared" ref="G4:G9" si="0">E4*$M$13</f>
        <v>482795.22</v>
      </c>
      <c r="H4" s="641"/>
      <c r="J4" s="613"/>
      <c r="K4" s="614"/>
      <c r="L4" s="614"/>
      <c r="M4" s="614"/>
      <c r="N4" s="615"/>
      <c r="P4" s="36"/>
      <c r="Q4" s="36"/>
    </row>
    <row r="5" spans="2:17" ht="15" customHeight="1" x14ac:dyDescent="0.25">
      <c r="B5" s="649" t="s">
        <v>297</v>
      </c>
      <c r="C5" s="650"/>
      <c r="D5" s="650"/>
      <c r="E5" s="654">
        <f>SUMIFS(I:I,N:N,"&lt;&gt;")</f>
        <v>1</v>
      </c>
      <c r="F5" s="654"/>
      <c r="G5" s="642">
        <f t="shared" si="0"/>
        <v>482795.22</v>
      </c>
      <c r="H5" s="643"/>
      <c r="J5" s="613"/>
      <c r="K5" s="614"/>
      <c r="L5" s="614"/>
      <c r="M5" s="614"/>
      <c r="N5" s="615"/>
      <c r="P5" s="36"/>
      <c r="Q5" s="36"/>
    </row>
    <row r="6" spans="2:17" ht="15" customHeight="1" x14ac:dyDescent="0.25">
      <c r="B6" s="649" t="s">
        <v>298</v>
      </c>
      <c r="C6" s="650"/>
      <c r="D6" s="650"/>
      <c r="E6" s="654">
        <f>E5-E9</f>
        <v>1</v>
      </c>
      <c r="F6" s="654"/>
      <c r="G6" s="642">
        <f t="shared" si="0"/>
        <v>482795.22</v>
      </c>
      <c r="H6" s="643"/>
      <c r="J6" s="613"/>
      <c r="K6" s="614"/>
      <c r="L6" s="614"/>
      <c r="M6" s="614"/>
      <c r="N6" s="615"/>
    </row>
    <row r="7" spans="2:17" ht="15" customHeight="1" x14ac:dyDescent="0.25">
      <c r="B7" s="649" t="s">
        <v>299</v>
      </c>
      <c r="C7" s="650"/>
      <c r="D7" s="650"/>
      <c r="E7" s="644">
        <f>E4-E5</f>
        <v>0</v>
      </c>
      <c r="F7" s="645"/>
      <c r="G7" s="642">
        <f t="shared" si="0"/>
        <v>0</v>
      </c>
      <c r="H7" s="643"/>
      <c r="J7" s="613"/>
      <c r="K7" s="614"/>
      <c r="L7" s="614"/>
      <c r="M7" s="614"/>
      <c r="N7" s="615"/>
    </row>
    <row r="8" spans="2:17" ht="15" customHeight="1" x14ac:dyDescent="0.25">
      <c r="B8" s="655" t="s">
        <v>300</v>
      </c>
      <c r="C8" s="656"/>
      <c r="D8" s="656"/>
      <c r="E8" s="657">
        <f>SUM(I:I)-E5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5"/>
    </row>
    <row r="9" spans="2:17" ht="15" customHeight="1" thickBot="1" x14ac:dyDescent="0.3">
      <c r="B9" s="651" t="s">
        <v>301</v>
      </c>
      <c r="C9" s="652"/>
      <c r="D9" s="652"/>
      <c r="E9" s="646">
        <f>SUMIF(N:N,CAPA!$I$2,I:I)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8"/>
    </row>
    <row r="10" spans="2:17" ht="10.15" customHeight="1" thickTop="1" thickBot="1" x14ac:dyDescent="0.3"/>
    <row r="11" spans="2:17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6"/>
    </row>
    <row r="12" spans="2:17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14" t="s">
        <v>303</v>
      </c>
      <c r="M12" s="619" t="s">
        <v>304</v>
      </c>
      <c r="N12" s="620"/>
    </row>
    <row r="13" spans="2:17" s="8" customFormat="1" ht="30" customHeight="1" thickBot="1" x14ac:dyDescent="0.3">
      <c r="B13" s="15" t="str">
        <f>RESUMO!C8</f>
        <v>A.</v>
      </c>
      <c r="C13" s="623" t="str">
        <f>IF($B$13="","",VLOOKUP($B$13,RESUMO!$C:$F,2,FALSE))</f>
        <v>Custos Indiretos</v>
      </c>
      <c r="D13" s="623"/>
      <c r="E13" s="623"/>
      <c r="F13" s="662"/>
      <c r="G13" s="16" t="str">
        <f>RESUMO!C11</f>
        <v>A.3</v>
      </c>
      <c r="H13" s="623" t="str">
        <f>IF($G$13="","",VLOOKUP($G$13,RESUMO!$C:$F,2,FALSE))</f>
        <v>Administração local</v>
      </c>
      <c r="I13" s="623"/>
      <c r="J13" s="623"/>
      <c r="K13" s="623"/>
      <c r="L13" s="17" t="str">
        <f>IF($G$13="","",VLOOKUP($G$13,RESUMO!$C:$F,3,FALSE))</f>
        <v>vb.</v>
      </c>
      <c r="M13" s="621">
        <f>IF($G$13="","",VLOOKUP($G$13,RESUMO!$C:$F,4,FALSE))</f>
        <v>482795.22</v>
      </c>
      <c r="N13" s="622"/>
    </row>
    <row r="14" spans="2:17" ht="10.15" customHeight="1" thickTop="1" thickBot="1" x14ac:dyDescent="0.3"/>
    <row r="15" spans="2:17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310</v>
      </c>
      <c r="J15" s="627" t="s">
        <v>311</v>
      </c>
      <c r="K15" s="627" t="s">
        <v>312</v>
      </c>
      <c r="L15" s="627"/>
      <c r="M15" s="627"/>
      <c r="N15" s="629" t="s">
        <v>27</v>
      </c>
      <c r="P15" s="611" t="s">
        <v>313</v>
      </c>
      <c r="Q15" s="611"/>
    </row>
    <row r="16" spans="2:17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28"/>
      <c r="K16" s="628"/>
      <c r="L16" s="628"/>
      <c r="M16" s="628"/>
      <c r="N16" s="630"/>
      <c r="P16" s="35" t="s">
        <v>269</v>
      </c>
      <c r="Q16" s="35" t="s">
        <v>47</v>
      </c>
    </row>
    <row r="17" spans="2:19" ht="19.899999999999999" customHeight="1" thickTop="1" x14ac:dyDescent="0.25">
      <c r="B17" s="19" t="s">
        <v>316</v>
      </c>
      <c r="C17" s="20" t="s">
        <v>317</v>
      </c>
      <c r="D17" s="21"/>
      <c r="E17" s="22"/>
      <c r="F17" s="21"/>
      <c r="G17" s="22"/>
      <c r="H17" s="20"/>
      <c r="I17" s="23">
        <v>0.5</v>
      </c>
      <c r="J17" s="23">
        <f>IF(OR(B17="",I17=""),"",IF(AND(J16="",N17=""),J16,SUM(I17,J16)))</f>
        <v>0.5</v>
      </c>
      <c r="K17" s="635" t="s">
        <v>318</v>
      </c>
      <c r="L17" s="635"/>
      <c r="M17" s="635"/>
      <c r="N17" s="24">
        <v>1</v>
      </c>
      <c r="P17" s="84" t="s">
        <v>61</v>
      </c>
      <c r="Q17" s="83" t="str">
        <f>IF($P17="","",VLOOKUP($P17,RESUMO!$C:$D,2,FALSE))</f>
        <v>Mobilização e desmobilização</v>
      </c>
      <c r="S17" s="85" t="str">
        <f>HYPERLINK("#"&amp;"'"&amp;P17&amp;"'"&amp;"!A1","LINK")</f>
        <v>LINK</v>
      </c>
    </row>
    <row r="18" spans="2:19" ht="19.899999999999999" customHeight="1" x14ac:dyDescent="0.25">
      <c r="B18" s="25" t="s">
        <v>316</v>
      </c>
      <c r="C18" s="26" t="s">
        <v>317</v>
      </c>
      <c r="D18" s="27"/>
      <c r="E18" s="28"/>
      <c r="F18" s="27"/>
      <c r="G18" s="28"/>
      <c r="H18" s="26"/>
      <c r="I18" s="11">
        <v>0.5</v>
      </c>
      <c r="J18" s="11">
        <f>IF(B18="","",IF(OR(J17="",N18=""),J17,SUM(I18,J17)))</f>
        <v>1</v>
      </c>
      <c r="K18" s="612" t="s">
        <v>318</v>
      </c>
      <c r="L18" s="612"/>
      <c r="M18" s="612"/>
      <c r="N18" s="29">
        <v>2</v>
      </c>
      <c r="P18" s="84" t="s">
        <v>64</v>
      </c>
      <c r="Q18" s="83" t="str">
        <f>IF($P18="","",VLOOKUP($P18,RESUMO!$C:$D,2,FALSE))</f>
        <v>Sinalização e desvio de tráfego</v>
      </c>
      <c r="S18" s="85" t="str">
        <f t="shared" ref="S18:S19" si="1">HYPERLINK("#"&amp;"'"&amp;P18&amp;"'"&amp;"!A1","LINK")</f>
        <v>LINK</v>
      </c>
    </row>
    <row r="19" spans="2:19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 t="str">
        <f t="shared" ref="J19:J30" si="2">IF(B19="","",IF(OR(J18="",N19=""),J18,SUM(I19,J18)))</f>
        <v/>
      </c>
      <c r="K19" s="612"/>
      <c r="L19" s="612"/>
      <c r="M19" s="612"/>
      <c r="N19" s="29"/>
      <c r="P19" s="84" t="s">
        <v>66</v>
      </c>
      <c r="Q19" s="83" t="str">
        <f>IF($P19="","",VLOOKUP($P19,RESUMO!$C:$D,2,FALSE))</f>
        <v>Administração local</v>
      </c>
      <c r="S19" s="85" t="str">
        <f t="shared" si="1"/>
        <v>LINK</v>
      </c>
    </row>
    <row r="20" spans="2:19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 t="str">
        <f t="shared" si="2"/>
        <v/>
      </c>
      <c r="K20" s="612"/>
      <c r="L20" s="612"/>
      <c r="M20" s="612"/>
      <c r="N20" s="29"/>
    </row>
    <row r="21" spans="2:19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 t="str">
        <f t="shared" si="2"/>
        <v/>
      </c>
      <c r="K21" s="612"/>
      <c r="L21" s="612"/>
      <c r="M21" s="612"/>
      <c r="N21" s="29"/>
    </row>
    <row r="22" spans="2:19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 t="str">
        <f t="shared" si="2"/>
        <v/>
      </c>
      <c r="K22" s="612"/>
      <c r="L22" s="612"/>
      <c r="M22" s="612"/>
      <c r="N22" s="29"/>
    </row>
    <row r="23" spans="2:19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 t="str">
        <f t="shared" si="2"/>
        <v/>
      </c>
      <c r="K23" s="612"/>
      <c r="L23" s="612"/>
      <c r="M23" s="612"/>
      <c r="N23" s="29"/>
    </row>
    <row r="24" spans="2:19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 t="str">
        <f t="shared" si="2"/>
        <v/>
      </c>
      <c r="K24" s="612"/>
      <c r="L24" s="612"/>
      <c r="M24" s="612"/>
      <c r="N24" s="29"/>
    </row>
    <row r="25" spans="2:19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 t="str">
        <f t="shared" si="2"/>
        <v/>
      </c>
      <c r="K25" s="612"/>
      <c r="L25" s="612"/>
      <c r="M25" s="612"/>
      <c r="N25" s="29"/>
    </row>
    <row r="26" spans="2:19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 t="str">
        <f t="shared" si="2"/>
        <v/>
      </c>
      <c r="K26" s="612"/>
      <c r="L26" s="612"/>
      <c r="M26" s="612"/>
      <c r="N26" s="29"/>
    </row>
    <row r="27" spans="2:19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 t="str">
        <f t="shared" si="2"/>
        <v/>
      </c>
      <c r="K27" s="612"/>
      <c r="L27" s="612"/>
      <c r="M27" s="612"/>
      <c r="N27" s="29"/>
    </row>
    <row r="28" spans="2:19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 t="str">
        <f t="shared" si="2"/>
        <v/>
      </c>
      <c r="K28" s="612"/>
      <c r="L28" s="612"/>
      <c r="M28" s="612"/>
      <c r="N28" s="29"/>
    </row>
    <row r="29" spans="2:19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 t="str">
        <f t="shared" si="2"/>
        <v/>
      </c>
      <c r="K29" s="612"/>
      <c r="L29" s="612"/>
      <c r="M29" s="612"/>
      <c r="N29" s="29"/>
    </row>
    <row r="30" spans="2:19" ht="19.899999999999999" customHeight="1" thickBot="1" x14ac:dyDescent="0.3">
      <c r="B30" s="30"/>
      <c r="C30" s="31"/>
      <c r="D30" s="32"/>
      <c r="E30" s="33"/>
      <c r="F30" s="32"/>
      <c r="G30" s="33"/>
      <c r="H30" s="31"/>
      <c r="I30" s="12"/>
      <c r="J30" s="12" t="str">
        <f t="shared" si="2"/>
        <v/>
      </c>
      <c r="K30" s="634"/>
      <c r="L30" s="634"/>
      <c r="M30" s="634"/>
      <c r="N30" s="34"/>
    </row>
    <row r="31" spans="2:19" ht="19.899999999999999" customHeight="1" thickTop="1" x14ac:dyDescent="0.25"/>
  </sheetData>
  <mergeCells count="63">
    <mergeCell ref="B2:D3"/>
    <mergeCell ref="E2:H2"/>
    <mergeCell ref="J2:N2"/>
    <mergeCell ref="E3:F3"/>
    <mergeCell ref="G3:H3"/>
    <mergeCell ref="J3:N3"/>
    <mergeCell ref="B4:D4"/>
    <mergeCell ref="E4:F4"/>
    <mergeCell ref="G4:H4"/>
    <mergeCell ref="J4:N4"/>
    <mergeCell ref="B5:D5"/>
    <mergeCell ref="E5:F5"/>
    <mergeCell ref="G5:H5"/>
    <mergeCell ref="J5:N5"/>
    <mergeCell ref="B6:D6"/>
    <mergeCell ref="E6:F6"/>
    <mergeCell ref="G6:H6"/>
    <mergeCell ref="J6:N6"/>
    <mergeCell ref="B7:D7"/>
    <mergeCell ref="E7:F7"/>
    <mergeCell ref="G7:H7"/>
    <mergeCell ref="J7:N7"/>
    <mergeCell ref="B8:D8"/>
    <mergeCell ref="E8:F8"/>
    <mergeCell ref="G8:H8"/>
    <mergeCell ref="J8:N8"/>
    <mergeCell ref="B9:D9"/>
    <mergeCell ref="E9:F9"/>
    <mergeCell ref="G9:H9"/>
    <mergeCell ref="J9:N9"/>
    <mergeCell ref="I15:I16"/>
    <mergeCell ref="B11:F11"/>
    <mergeCell ref="G11:N11"/>
    <mergeCell ref="C12:F12"/>
    <mergeCell ref="H12:K12"/>
    <mergeCell ref="M12:N12"/>
    <mergeCell ref="C13:F13"/>
    <mergeCell ref="H13:K13"/>
    <mergeCell ref="M13:N13"/>
    <mergeCell ref="B15:B16"/>
    <mergeCell ref="C15:C16"/>
    <mergeCell ref="D15:E15"/>
    <mergeCell ref="F15:G15"/>
    <mergeCell ref="H15:H16"/>
    <mergeCell ref="J15:J16"/>
    <mergeCell ref="K15:M16"/>
    <mergeCell ref="K29:M29"/>
    <mergeCell ref="K30:M30"/>
    <mergeCell ref="K19:M19"/>
    <mergeCell ref="K20:M20"/>
    <mergeCell ref="K21:M21"/>
    <mergeCell ref="K22:M22"/>
    <mergeCell ref="K23:M23"/>
    <mergeCell ref="K24:M24"/>
    <mergeCell ref="P2:Q2"/>
    <mergeCell ref="K25:M25"/>
    <mergeCell ref="K26:M26"/>
    <mergeCell ref="K27:M27"/>
    <mergeCell ref="K28:M28"/>
    <mergeCell ref="K18:M18"/>
    <mergeCell ref="N15:N16"/>
    <mergeCell ref="P15:Q15"/>
    <mergeCell ref="K17:M17"/>
  </mergeCells>
  <conditionalFormatting sqref="B17:K30 N17:N30">
    <cfRule type="containsBlanks" dxfId="117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93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1B1B-2FD1-4246-A5FD-AED054DDF13D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0</v>
      </c>
      <c r="F4" s="653"/>
      <c r="G4" s="640">
        <f t="shared" ref="G4:G9" si="0">E4*$P$13</f>
        <v>0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65">
        <f>E4-E5</f>
        <v>0</v>
      </c>
      <c r="F7" s="666"/>
      <c r="G7" s="667">
        <f t="shared" si="0"/>
        <v>0</v>
      </c>
      <c r="H7" s="668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RESUMO!C13</f>
        <v>B.1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RESUMO!C14</f>
        <v>B.1.1</v>
      </c>
      <c r="H13" s="623" t="str">
        <f>IF($G$13="","",VLOOKUP($G$13,RESUMO!$C:$F,2,FALSE))</f>
        <v>Escavação, carga e transporte de material de 1ª categoria - DMT de 800 a 1.000 m - caminho de serviço pavimentado - com escavadeira e caminhão basculante de 14 m³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m³</v>
      </c>
      <c r="P13" s="621">
        <f>IF($G$13="","",VLOOKUP($G$13,RESUMO!$C:$F,4,FALSE))</f>
        <v>0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/>
      <c r="C17" s="20"/>
      <c r="D17" s="21"/>
      <c r="E17" s="22"/>
      <c r="F17" s="21"/>
      <c r="G17" s="22"/>
      <c r="H17" s="20"/>
      <c r="I17" s="23"/>
      <c r="J17" s="23"/>
      <c r="K17" s="23"/>
      <c r="L17" s="23"/>
      <c r="M17" s="23"/>
      <c r="N17" s="612"/>
      <c r="O17" s="612"/>
      <c r="P17" s="612"/>
      <c r="Q17" s="24"/>
      <c r="S17" s="84" t="s">
        <v>72</v>
      </c>
      <c r="T17" s="83" t="str">
        <f>IF($S17="","",VLOOKUP($S17,RESUMO!$C:$D,2,FALSE))</f>
        <v>Escavação, carga e transporte de material de 1ª categoria - DMT de 800 a 1.000 m - caminho de serviço pavimentado - com escavadeira e caminhão basculante de 14 m³</v>
      </c>
      <c r="V17" s="85" t="str">
        <f>HYPERLINK("#"&amp;"'"&amp;S17&amp;"'"&amp;"!A1","LINK")</f>
        <v>LINK</v>
      </c>
    </row>
    <row r="18" spans="2:22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11"/>
      <c r="N18" s="612"/>
      <c r="O18" s="612"/>
      <c r="P18" s="612"/>
      <c r="Q18" s="29"/>
      <c r="S18" s="84" t="s">
        <v>75</v>
      </c>
      <c r="T18" s="83" t="str">
        <f>IF($S18="","",VLOOKUP($S18,RESUMO!$C:$D,2,FALSE))</f>
        <v>Escavação e carga de material de 1ª categoria - DMT acima de 3.000 m</v>
      </c>
      <c r="V18" s="85" t="str">
        <f t="shared" ref="V18:V21" si="1"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 t="str">
        <f t="shared" ref="L19:L36" si="2">IF(J19="","",J19*K19)</f>
        <v/>
      </c>
      <c r="M19" s="11" t="str">
        <f>IF(B19="","",IF(OR(M18="",Q19=""),M18,SUM(L19,M18)))</f>
        <v/>
      </c>
      <c r="N19" s="612"/>
      <c r="O19" s="612"/>
      <c r="P19" s="612"/>
      <c r="Q19" s="29"/>
      <c r="S19" s="84" t="s">
        <v>77</v>
      </c>
      <c r="T19" s="83" t="str">
        <f>IF($S19="","",VLOOKUP($S19,RESUMO!$C:$D,2,FALSE))</f>
        <v>Transporte com caminhão basculante de 10 m³ - rodovia pavimentada (DMT 5 Km)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si="2"/>
        <v/>
      </c>
      <c r="M20" s="11" t="str">
        <f t="shared" ref="M20:M36" si="3">IF(B20="","",IF(OR(M19="",Q20=""),M19,SUM(L20,M19)))</f>
        <v/>
      </c>
      <c r="N20" s="612"/>
      <c r="O20" s="612"/>
      <c r="P20" s="612"/>
      <c r="Q20" s="29"/>
      <c r="S20" s="84" t="s">
        <v>80</v>
      </c>
      <c r="T20" s="83" t="str">
        <f>IF($S20="","",VLOOKUP($S20,RESUMO!$C:$D,2,FALSE))</f>
        <v>Regularização de bota-fora com espalhamento e execução de hidrossemeadura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2"/>
        <v/>
      </c>
      <c r="M21" s="11" t="str">
        <f t="shared" si="3"/>
        <v/>
      </c>
      <c r="N21" s="612"/>
      <c r="O21" s="612"/>
      <c r="P21" s="612"/>
      <c r="Q21" s="29"/>
      <c r="S21" s="84" t="s">
        <v>82</v>
      </c>
      <c r="T21" s="83" t="str">
        <f>IF($S21="","",VLOOKUP($S21,RESUMO!$C:$D,2,FALSE))</f>
        <v>Royaltie de bota-fora</v>
      </c>
      <c r="V21" s="85" t="str">
        <f t="shared" si="1"/>
        <v>LINK</v>
      </c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2"/>
        <v/>
      </c>
      <c r="M22" s="11" t="str">
        <f t="shared" si="3"/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B2:D3"/>
    <mergeCell ref="E2:H2"/>
    <mergeCell ref="S2:T2"/>
    <mergeCell ref="E3:F3"/>
    <mergeCell ref="G3:H3"/>
    <mergeCell ref="J2:Q2"/>
    <mergeCell ref="J3:Q3"/>
    <mergeCell ref="J6:Q6"/>
    <mergeCell ref="J7:Q7"/>
    <mergeCell ref="B4:D4"/>
    <mergeCell ref="E4:F4"/>
    <mergeCell ref="G4:H4"/>
    <mergeCell ref="B5:D5"/>
    <mergeCell ref="E5:F5"/>
    <mergeCell ref="G5:H5"/>
    <mergeCell ref="J4:Q4"/>
    <mergeCell ref="J5:Q5"/>
    <mergeCell ref="B6:D6"/>
    <mergeCell ref="E6:F6"/>
    <mergeCell ref="G6:H6"/>
    <mergeCell ref="B7:D7"/>
    <mergeCell ref="E7:F7"/>
    <mergeCell ref="G7:H7"/>
    <mergeCell ref="C13:F13"/>
    <mergeCell ref="H13:N13"/>
    <mergeCell ref="P13:Q13"/>
    <mergeCell ref="B8:D8"/>
    <mergeCell ref="E8:F8"/>
    <mergeCell ref="G8:H8"/>
    <mergeCell ref="B9:D9"/>
    <mergeCell ref="E9:F9"/>
    <mergeCell ref="G9:H9"/>
    <mergeCell ref="J8:Q8"/>
    <mergeCell ref="J9:Q9"/>
    <mergeCell ref="B11:F11"/>
    <mergeCell ref="G11:Q11"/>
    <mergeCell ref="C12:F12"/>
    <mergeCell ref="H12:N12"/>
    <mergeCell ref="P12:Q12"/>
    <mergeCell ref="N18:P18"/>
    <mergeCell ref="B15:B16"/>
    <mergeCell ref="C15:C16"/>
    <mergeCell ref="D15:E15"/>
    <mergeCell ref="F15:G15"/>
    <mergeCell ref="H15:H16"/>
    <mergeCell ref="L15:L16"/>
    <mergeCell ref="I15:I16"/>
    <mergeCell ref="M15:M16"/>
    <mergeCell ref="N15:P16"/>
    <mergeCell ref="Q15:Q16"/>
    <mergeCell ref="S15:T15"/>
    <mergeCell ref="N17:P17"/>
    <mergeCell ref="N36:P36"/>
    <mergeCell ref="N19:P19"/>
    <mergeCell ref="N20:P20"/>
    <mergeCell ref="N21:P21"/>
    <mergeCell ref="N22:P22"/>
    <mergeCell ref="N30:P30"/>
    <mergeCell ref="N31:P31"/>
    <mergeCell ref="N32:P32"/>
    <mergeCell ref="N33:P33"/>
    <mergeCell ref="N34:P34"/>
    <mergeCell ref="N35:P35"/>
    <mergeCell ref="N23:P23"/>
    <mergeCell ref="N24:P24"/>
    <mergeCell ref="N25:P25"/>
    <mergeCell ref="N26:P26"/>
    <mergeCell ref="N27:P27"/>
    <mergeCell ref="N28:P28"/>
    <mergeCell ref="N29:P29"/>
  </mergeCells>
  <phoneticPr fontId="16" type="noConversion"/>
  <conditionalFormatting sqref="B17:N36 Q17:Q36">
    <cfRule type="containsBlanks" dxfId="116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244E-0EE2-4960-8854-6DFFCB731BF8}">
  <sheetPr>
    <pageSetUpPr fitToPage="1"/>
  </sheetPr>
  <dimension ref="B1:W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5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72616.710000000006</v>
      </c>
      <c r="F4" s="653"/>
      <c r="G4" s="640">
        <f t="shared" ref="G4:G9" si="0">E4*$Q$13</f>
        <v>1151937.74</v>
      </c>
      <c r="H4" s="641"/>
      <c r="J4" s="613"/>
      <c r="K4" s="614"/>
      <c r="L4" s="614"/>
      <c r="M4" s="614"/>
      <c r="N4" s="614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68762.525999999998</v>
      </c>
      <c r="F5" s="654"/>
      <c r="G5" s="642">
        <f t="shared" si="0"/>
        <v>1090797.8177079521</v>
      </c>
      <c r="H5" s="643"/>
      <c r="J5" s="613"/>
      <c r="K5" s="614"/>
      <c r="L5" s="614"/>
      <c r="M5" s="614"/>
      <c r="N5" s="614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62616.71</v>
      </c>
      <c r="F6" s="654"/>
      <c r="G6" s="642">
        <f t="shared" si="0"/>
        <v>993305.14152507589</v>
      </c>
      <c r="H6" s="643"/>
      <c r="J6" s="613"/>
      <c r="K6" s="614"/>
      <c r="L6" s="614"/>
      <c r="M6" s="614"/>
      <c r="N6" s="614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3854.1840000000084</v>
      </c>
      <c r="F7" s="645"/>
      <c r="G7" s="642">
        <f t="shared" si="0"/>
        <v>61139.922292047784</v>
      </c>
      <c r="H7" s="643"/>
      <c r="J7" s="613"/>
      <c r="K7" s="614"/>
      <c r="L7" s="614"/>
      <c r="M7" s="614"/>
      <c r="N7" s="614"/>
      <c r="O7" s="614"/>
      <c r="P7" s="614"/>
      <c r="Q7" s="614"/>
      <c r="R7" s="615"/>
    </row>
    <row r="8" spans="2:21" ht="15" customHeight="1" x14ac:dyDescent="0.25">
      <c r="B8" s="655" t="s">
        <v>300</v>
      </c>
      <c r="C8" s="656"/>
      <c r="D8" s="656"/>
      <c r="E8" s="657">
        <f>SUM(M:M)-E5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5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6145.8159999999989</v>
      </c>
      <c r="F9" s="646"/>
      <c r="G9" s="660">
        <f t="shared" si="0"/>
        <v>97492.676182876341</v>
      </c>
      <c r="H9" s="661"/>
      <c r="J9" s="616"/>
      <c r="K9" s="617"/>
      <c r="L9" s="617"/>
      <c r="M9" s="617"/>
      <c r="N9" s="617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RESUMO!C13</f>
        <v>B.1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RESUMO!C15</f>
        <v>B.1.2</v>
      </c>
      <c r="H13" s="623" t="str">
        <f>IF($G$13="","",VLOOKUP($G$13,RESUMO!$C:$F,2,FALSE))</f>
        <v>Escavação e carga de material de 1ª categoria - DMT acima de 3.000 m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m³</v>
      </c>
      <c r="Q13" s="621">
        <f>IF($G$13="","",VLOOKUP($G$13,RESUMO!$C:$F,4,FALSE))</f>
        <v>15.863259847492401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9" t="s">
        <v>323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10" t="s">
        <v>322</v>
      </c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324</v>
      </c>
      <c r="I17" s="23" t="s">
        <v>325</v>
      </c>
      <c r="J17" s="23"/>
      <c r="K17" s="23"/>
      <c r="L17" s="23"/>
      <c r="M17" s="23">
        <v>62616.71</v>
      </c>
      <c r="N17" s="23">
        <f>IF(OR(B17="",M17=""),"",IF(AND(N16="",R17=""),N16,SUM(M17,N16)))</f>
        <v>62616.71</v>
      </c>
      <c r="O17" s="612" t="s">
        <v>326</v>
      </c>
      <c r="P17" s="612"/>
      <c r="Q17" s="612"/>
      <c r="R17" s="24">
        <v>2</v>
      </c>
      <c r="T17" s="84" t="s">
        <v>72</v>
      </c>
      <c r="U17" s="83" t="str">
        <f>IF($T17="","",VLOOKUP($T17,RESUMO!$C:$D,2,FALSE))</f>
        <v>Escavação, carga e transporte de material de 1ª categoria - DMT de 800 a 1.000 m - caminho de serviço pavimentado - com escavadeira e caminhão basculante de 14 m³</v>
      </c>
      <c r="W17" s="85" t="str">
        <f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297</v>
      </c>
      <c r="E18" s="28">
        <v>500</v>
      </c>
      <c r="F18" s="27"/>
      <c r="G18" s="28"/>
      <c r="H18" s="26" t="s">
        <v>324</v>
      </c>
      <c r="I18" s="11" t="s">
        <v>325</v>
      </c>
      <c r="J18" s="11"/>
      <c r="K18" s="11"/>
      <c r="L18" s="11"/>
      <c r="M18" s="11">
        <f>68762.526-M17</f>
        <v>6145.8159999999989</v>
      </c>
      <c r="N18" s="11">
        <f>N17+M18</f>
        <v>68762.525999999998</v>
      </c>
      <c r="O18" s="612" t="s">
        <v>326</v>
      </c>
      <c r="P18" s="612"/>
      <c r="Q18" s="612"/>
      <c r="R18" s="29">
        <v>3</v>
      </c>
      <c r="T18" s="84" t="s">
        <v>75</v>
      </c>
      <c r="U18" s="83" t="str">
        <f>IF($T18="","",VLOOKUP($T18,RESUMO!$C:$D,2,FALSE))</f>
        <v>Escavação e carga de material de 1ª categoria - DMT acima de 3.000 m</v>
      </c>
      <c r="W18" s="85" t="str">
        <f t="shared" ref="W18:W21" si="1">HYPERLINK("#"&amp;"'"&amp;T18&amp;"'"&amp;"!A1","LINK")</f>
        <v>LINK</v>
      </c>
    </row>
    <row r="19" spans="2:23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11"/>
      <c r="O19" s="612"/>
      <c r="P19" s="612"/>
      <c r="Q19" s="612"/>
      <c r="R19" s="29"/>
      <c r="T19" s="84" t="s">
        <v>77</v>
      </c>
      <c r="U19" s="83" t="str">
        <f>IF($T19="","",VLOOKUP($T19,RESUMO!$C:$D,2,FALSE))</f>
        <v>Transporte com caminhão basculante de 10 m³ - rodovia pavimentada (DMT 5 Km)</v>
      </c>
      <c r="W19" s="85" t="str">
        <f t="shared" si="1"/>
        <v>LINK</v>
      </c>
    </row>
    <row r="20" spans="2:23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/>
      <c r="O20" s="612"/>
      <c r="P20" s="612"/>
      <c r="Q20" s="612"/>
      <c r="R20" s="29"/>
      <c r="T20" s="84" t="s">
        <v>80</v>
      </c>
      <c r="U20" s="83" t="str">
        <f>IF($T20="","",VLOOKUP($T20,RESUMO!$C:$D,2,FALSE))</f>
        <v>Regularização de bota-fora com espalhamento e execução de hidrossemeadura</v>
      </c>
      <c r="W20" s="85" t="str">
        <f t="shared" si="1"/>
        <v>LINK</v>
      </c>
    </row>
    <row r="21" spans="2:23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/>
      <c r="O21" s="612"/>
      <c r="P21" s="612"/>
      <c r="Q21" s="612"/>
      <c r="R21" s="29"/>
      <c r="T21" s="84" t="s">
        <v>82</v>
      </c>
      <c r="U21" s="83" t="str">
        <f>IF($T21="","",VLOOKUP($T21,RESUMO!$C:$D,2,FALSE))</f>
        <v>Royaltie de bota-fora</v>
      </c>
      <c r="W21" s="85" t="str">
        <f t="shared" si="1"/>
        <v>LINK</v>
      </c>
    </row>
    <row r="22" spans="2:23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/>
      <c r="O22" s="612"/>
      <c r="P22" s="612"/>
      <c r="Q22" s="612"/>
      <c r="R22" s="29"/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 t="shared" ref="M23:M39" si="2">IF(J23="","",J23*K23*L23)</f>
        <v/>
      </c>
      <c r="N23" s="11" t="str">
        <f t="shared" ref="N23:N39" si="3">IF(B23="","",IF(OR(N22="",R23=""),N22,SUM(M23,N22)))</f>
        <v/>
      </c>
      <c r="O23" s="612"/>
      <c r="P23" s="612"/>
      <c r="Q23" s="612"/>
      <c r="R23" s="29"/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 t="shared" si="2"/>
        <v/>
      </c>
      <c r="N24" s="11" t="str">
        <f t="shared" si="3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 t="shared" si="2"/>
        <v/>
      </c>
      <c r="N25" s="11" t="str">
        <f t="shared" si="3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 t="shared" si="2"/>
        <v/>
      </c>
      <c r="N26" s="11" t="str">
        <f t="shared" si="3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 t="shared" ref="M27:M31" si="4">IF(J27="","",J27*K27*L27)</f>
        <v/>
      </c>
      <c r="N27" s="11" t="str">
        <f>IF(B27="","",IF(OR(N26="",R27=""),N26,SUM(M27,N26)))</f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 t="shared" si="4"/>
        <v/>
      </c>
      <c r="N28" s="11" t="str">
        <f t="shared" si="3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 t="shared" si="4"/>
        <v/>
      </c>
      <c r="N29" s="11" t="str">
        <f t="shared" si="3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 t="shared" si="4"/>
        <v/>
      </c>
      <c r="N30" s="11" t="str">
        <f t="shared" si="3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 t="shared" si="4"/>
        <v/>
      </c>
      <c r="N31" s="11" t="str">
        <f t="shared" si="3"/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 t="shared" si="2"/>
        <v/>
      </c>
      <c r="N32" s="11" t="str">
        <f t="shared" si="3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 t="shared" si="2"/>
        <v/>
      </c>
      <c r="N33" s="11" t="str">
        <f t="shared" si="3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 t="shared" si="2"/>
        <v/>
      </c>
      <c r="N34" s="11" t="str">
        <f t="shared" si="3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 t="shared" si="2"/>
        <v/>
      </c>
      <c r="N35" s="11" t="str">
        <f t="shared" si="3"/>
        <v/>
      </c>
      <c r="O35" s="612"/>
      <c r="P35" s="612"/>
      <c r="Q35" s="612"/>
      <c r="R35" s="29"/>
    </row>
    <row r="36" spans="2:18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 t="str">
        <f t="shared" si="2"/>
        <v/>
      </c>
      <c r="N36" s="11" t="str">
        <f t="shared" si="3"/>
        <v/>
      </c>
      <c r="O36" s="612"/>
      <c r="P36" s="612"/>
      <c r="Q36" s="612"/>
      <c r="R36" s="29"/>
    </row>
    <row r="37" spans="2:18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 t="str">
        <f t="shared" si="2"/>
        <v/>
      </c>
      <c r="N37" s="11" t="str">
        <f t="shared" si="3"/>
        <v/>
      </c>
      <c r="O37" s="612"/>
      <c r="P37" s="612"/>
      <c r="Q37" s="612"/>
      <c r="R37" s="29"/>
    </row>
    <row r="38" spans="2:18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 t="str">
        <f t="shared" si="2"/>
        <v/>
      </c>
      <c r="N38" s="11" t="str">
        <f t="shared" si="3"/>
        <v/>
      </c>
      <c r="O38" s="612"/>
      <c r="P38" s="612"/>
      <c r="Q38" s="612"/>
      <c r="R38" s="29"/>
    </row>
    <row r="39" spans="2:18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 t="str">
        <f t="shared" si="2"/>
        <v/>
      </c>
      <c r="N39" s="12" t="str">
        <f t="shared" si="3"/>
        <v/>
      </c>
      <c r="O39" s="634"/>
      <c r="P39" s="634"/>
      <c r="Q39" s="634"/>
      <c r="R39" s="34"/>
    </row>
    <row r="40" spans="2:18" ht="19.899999999999999" customHeight="1" thickTop="1" x14ac:dyDescent="0.25"/>
  </sheetData>
  <mergeCells count="73">
    <mergeCell ref="O27:Q27"/>
    <mergeCell ref="O28:Q28"/>
    <mergeCell ref="O29:Q29"/>
    <mergeCell ref="O30:Q30"/>
    <mergeCell ref="O31:Q31"/>
    <mergeCell ref="B2:D3"/>
    <mergeCell ref="E2:H2"/>
    <mergeCell ref="J2:R2"/>
    <mergeCell ref="T2:U2"/>
    <mergeCell ref="E3:F3"/>
    <mergeCell ref="G3:H3"/>
    <mergeCell ref="J3:R3"/>
    <mergeCell ref="B4:D4"/>
    <mergeCell ref="E4:F4"/>
    <mergeCell ref="G4:H4"/>
    <mergeCell ref="J4:R4"/>
    <mergeCell ref="B5:D5"/>
    <mergeCell ref="E5:F5"/>
    <mergeCell ref="G5:H5"/>
    <mergeCell ref="J5:R5"/>
    <mergeCell ref="B6:D6"/>
    <mergeCell ref="E6:F6"/>
    <mergeCell ref="G6:H6"/>
    <mergeCell ref="J6:R6"/>
    <mergeCell ref="B7:D7"/>
    <mergeCell ref="E7:F7"/>
    <mergeCell ref="G7:H7"/>
    <mergeCell ref="J7:R7"/>
    <mergeCell ref="B11:F11"/>
    <mergeCell ref="G11:R11"/>
    <mergeCell ref="C12:F12"/>
    <mergeCell ref="H12:O12"/>
    <mergeCell ref="Q12:R12"/>
    <mergeCell ref="B8:D8"/>
    <mergeCell ref="E8:F8"/>
    <mergeCell ref="G8:H8"/>
    <mergeCell ref="J8:R8"/>
    <mergeCell ref="B9:D9"/>
    <mergeCell ref="E9:F9"/>
    <mergeCell ref="G9:H9"/>
    <mergeCell ref="J9:R9"/>
    <mergeCell ref="I15:I16"/>
    <mergeCell ref="M15:M16"/>
    <mergeCell ref="N15:N16"/>
    <mergeCell ref="O15:Q16"/>
    <mergeCell ref="C13:F13"/>
    <mergeCell ref="H13:O13"/>
    <mergeCell ref="Q13:R13"/>
    <mergeCell ref="R15:R16"/>
    <mergeCell ref="B15:B16"/>
    <mergeCell ref="C15:C16"/>
    <mergeCell ref="D15:E15"/>
    <mergeCell ref="F15:G15"/>
    <mergeCell ref="H15:H16"/>
    <mergeCell ref="T15:U15"/>
    <mergeCell ref="O24:Q24"/>
    <mergeCell ref="O25:Q25"/>
    <mergeCell ref="O26:Q26"/>
    <mergeCell ref="O18:Q18"/>
    <mergeCell ref="O19:Q19"/>
    <mergeCell ref="O20:Q20"/>
    <mergeCell ref="O21:Q21"/>
    <mergeCell ref="O22:Q22"/>
    <mergeCell ref="O23:Q23"/>
    <mergeCell ref="O17:Q17"/>
    <mergeCell ref="O36:Q36"/>
    <mergeCell ref="O37:Q37"/>
    <mergeCell ref="O38:Q38"/>
    <mergeCell ref="O39:Q39"/>
    <mergeCell ref="O32:Q32"/>
    <mergeCell ref="O33:Q33"/>
    <mergeCell ref="O34:Q34"/>
    <mergeCell ref="O35:Q35"/>
  </mergeCells>
  <phoneticPr fontId="16" type="noConversion"/>
  <conditionalFormatting sqref="B17:O39 R17:R39">
    <cfRule type="containsBlanks" dxfId="115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35D7-ED53-41C9-8982-4A3D3E8107FA}">
  <sheetPr>
    <pageSetUpPr fitToPage="1"/>
  </sheetPr>
  <dimension ref="B1:AB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9" width="12.7109375" style="3" customWidth="1"/>
    <col min="20" max="20" width="20.7109375" style="3" customWidth="1"/>
    <col min="21" max="22" width="10.7109375" style="3" customWidth="1"/>
    <col min="23" max="16384" width="10.7109375" style="3"/>
  </cols>
  <sheetData>
    <row r="1" spans="2:26" ht="19.899999999999999" customHeight="1" thickBot="1" x14ac:dyDescent="0.3"/>
    <row r="2" spans="2:26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3"/>
      <c r="Y2" s="611" t="s">
        <v>294</v>
      </c>
      <c r="Z2" s="611"/>
    </row>
    <row r="3" spans="2:26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5"/>
      <c r="Y3" s="36"/>
      <c r="Z3" s="36"/>
    </row>
    <row r="4" spans="2:26" ht="15" customHeight="1" x14ac:dyDescent="0.25">
      <c r="B4" s="647" t="s">
        <v>296</v>
      </c>
      <c r="C4" s="648"/>
      <c r="D4" s="648"/>
      <c r="E4" s="653">
        <f>IF($G$13="","",VLOOKUP($G$13,RESUMO!$C:$G,5,FALSE))</f>
        <v>543194.93999999994</v>
      </c>
      <c r="F4" s="653"/>
      <c r="G4" s="640">
        <f t="shared" ref="G4:G9" si="0">E4*$V$13</f>
        <v>558339.16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5"/>
      <c r="Y4" s="36"/>
      <c r="Z4" s="36"/>
    </row>
    <row r="5" spans="2:26" ht="15" customHeight="1" x14ac:dyDescent="0.25">
      <c r="B5" s="649" t="s">
        <v>297</v>
      </c>
      <c r="C5" s="650"/>
      <c r="D5" s="650"/>
      <c r="E5" s="654">
        <f>SUMIFS(R:R,W:W,"&lt;&gt;")</f>
        <v>530909.13709360803</v>
      </c>
      <c r="F5" s="654"/>
      <c r="G5" s="642">
        <f t="shared" si="0"/>
        <v>545710.83015090309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  <c r="V5" s="614"/>
      <c r="W5" s="615"/>
      <c r="Y5" s="36"/>
      <c r="Z5" s="36"/>
    </row>
    <row r="6" spans="2:26" ht="15" customHeight="1" x14ac:dyDescent="0.25">
      <c r="B6" s="649" t="s">
        <v>298</v>
      </c>
      <c r="C6" s="650"/>
      <c r="D6" s="650"/>
      <c r="E6" s="654">
        <f>E5-E9</f>
        <v>483457.85717268003</v>
      </c>
      <c r="F6" s="654"/>
      <c r="G6" s="642">
        <f t="shared" si="0"/>
        <v>496936.61334399431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4"/>
      <c r="T6" s="614"/>
      <c r="U6" s="614"/>
      <c r="V6" s="614"/>
      <c r="W6" s="615"/>
    </row>
    <row r="7" spans="2:26" ht="15" customHeight="1" x14ac:dyDescent="0.25">
      <c r="B7" s="649" t="s">
        <v>299</v>
      </c>
      <c r="C7" s="650"/>
      <c r="D7" s="650"/>
      <c r="E7" s="644">
        <f>E4-E5</f>
        <v>12285.802906391909</v>
      </c>
      <c r="F7" s="645"/>
      <c r="G7" s="642">
        <f t="shared" si="0"/>
        <v>12628.329849096934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4"/>
      <c r="T7" s="614"/>
      <c r="U7" s="614"/>
      <c r="V7" s="614"/>
      <c r="W7" s="615"/>
    </row>
    <row r="8" spans="2:26" ht="15" customHeight="1" x14ac:dyDescent="0.25">
      <c r="B8" s="655" t="s">
        <v>300</v>
      </c>
      <c r="C8" s="656"/>
      <c r="D8" s="656"/>
      <c r="E8" s="657">
        <f>SUM(R:R)-E5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4"/>
      <c r="T8" s="614"/>
      <c r="U8" s="614"/>
      <c r="V8" s="614"/>
      <c r="W8" s="615"/>
    </row>
    <row r="9" spans="2:26" ht="15" customHeight="1" thickBot="1" x14ac:dyDescent="0.3">
      <c r="B9" s="651" t="s">
        <v>301</v>
      </c>
      <c r="C9" s="652"/>
      <c r="D9" s="652"/>
      <c r="E9" s="646">
        <f>SUMIF(W:W,CAPA!$I$2,R:R)</f>
        <v>47451.279920927998</v>
      </c>
      <c r="F9" s="646"/>
      <c r="G9" s="660">
        <f t="shared" si="0"/>
        <v>48774.216806908786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7"/>
      <c r="T9" s="617"/>
      <c r="U9" s="617"/>
      <c r="V9" s="617"/>
      <c r="W9" s="618"/>
    </row>
    <row r="10" spans="2:26" ht="10.15" customHeight="1" thickTop="1" thickBot="1" x14ac:dyDescent="0.3"/>
    <row r="11" spans="2:26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5"/>
      <c r="U11" s="625"/>
      <c r="V11" s="625"/>
      <c r="W11" s="626"/>
    </row>
    <row r="12" spans="2:26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619"/>
      <c r="R12" s="619"/>
      <c r="S12" s="619"/>
      <c r="T12" s="619"/>
      <c r="U12" s="14" t="s">
        <v>303</v>
      </c>
      <c r="V12" s="619" t="s">
        <v>304</v>
      </c>
      <c r="W12" s="620"/>
    </row>
    <row r="13" spans="2:26" s="8" customFormat="1" ht="30" customHeight="1" thickBot="1" x14ac:dyDescent="0.3">
      <c r="B13" s="15" t="str">
        <f>RESUMO!C13</f>
        <v>B.1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RESUMO!C16</f>
        <v>B.1.3</v>
      </c>
      <c r="H13" s="623" t="str">
        <f>IF($G$13="","",VLOOKUP($G$13,RESUMO!$C:$F,2,FALSE))</f>
        <v>Transporte com caminhão basculante de 10 m³ - rodovia pavimentada (DMT 5 Km)</v>
      </c>
      <c r="I13" s="623"/>
      <c r="J13" s="623"/>
      <c r="K13" s="623"/>
      <c r="L13" s="623"/>
      <c r="M13" s="623"/>
      <c r="N13" s="623"/>
      <c r="O13" s="623"/>
      <c r="P13" s="623"/>
      <c r="Q13" s="623"/>
      <c r="R13" s="623"/>
      <c r="S13" s="623"/>
      <c r="T13" s="623"/>
      <c r="U13" s="17" t="str">
        <f>IF($G$13="","",VLOOKUP($G$13,RESUMO!$C:$F,3,FALSE))</f>
        <v>T x Km</v>
      </c>
      <c r="V13" s="621">
        <f>IF($G$13="","",VLOOKUP($G$13,RESUMO!$C:$F,4,FALSE))</f>
        <v>1.0278798988812379</v>
      </c>
      <c r="W13" s="622"/>
    </row>
    <row r="14" spans="2:26" ht="10.15" customHeight="1" thickTop="1" thickBot="1" x14ac:dyDescent="0.3"/>
    <row r="15" spans="2:26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627" t="s">
        <v>327</v>
      </c>
      <c r="K15" s="627" t="s">
        <v>328</v>
      </c>
      <c r="L15" s="627"/>
      <c r="M15" s="9" t="s">
        <v>329</v>
      </c>
      <c r="N15" s="9" t="s">
        <v>323</v>
      </c>
      <c r="O15" s="9" t="s">
        <v>330</v>
      </c>
      <c r="P15" s="9" t="s">
        <v>331</v>
      </c>
      <c r="Q15" s="627" t="s">
        <v>332</v>
      </c>
      <c r="R15" s="627" t="s">
        <v>310</v>
      </c>
      <c r="S15" s="672" t="s">
        <v>311</v>
      </c>
      <c r="T15" s="627" t="s">
        <v>312</v>
      </c>
      <c r="U15" s="627"/>
      <c r="V15" s="627"/>
      <c r="W15" s="629" t="s">
        <v>27</v>
      </c>
      <c r="Y15" s="611" t="s">
        <v>313</v>
      </c>
      <c r="Z15" s="611"/>
    </row>
    <row r="16" spans="2:26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28"/>
      <c r="K16" s="10" t="s">
        <v>314</v>
      </c>
      <c r="L16" s="10" t="s">
        <v>315</v>
      </c>
      <c r="M16" s="10" t="s">
        <v>333</v>
      </c>
      <c r="N16" s="10" t="s">
        <v>322</v>
      </c>
      <c r="O16" s="10" t="s">
        <v>334</v>
      </c>
      <c r="P16" s="10" t="s">
        <v>335</v>
      </c>
      <c r="Q16" s="628"/>
      <c r="R16" s="628"/>
      <c r="S16" s="673"/>
      <c r="T16" s="628"/>
      <c r="U16" s="628"/>
      <c r="V16" s="628"/>
      <c r="W16" s="630"/>
      <c r="Y16" s="35" t="s">
        <v>269</v>
      </c>
      <c r="Z16" s="35" t="s">
        <v>47</v>
      </c>
    </row>
    <row r="17" spans="2:28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324</v>
      </c>
      <c r="I17" s="23" t="s">
        <v>325</v>
      </c>
      <c r="J17" s="23" t="s">
        <v>336</v>
      </c>
      <c r="K17" s="23"/>
      <c r="L17" s="23"/>
      <c r="M17" s="23"/>
      <c r="N17" s="23"/>
      <c r="O17" s="23">
        <v>62616.71</v>
      </c>
      <c r="P17" s="23">
        <f>5939.16/1000</f>
        <v>5.9391600000000002</v>
      </c>
      <c r="Q17" s="23">
        <v>1.3</v>
      </c>
      <c r="R17" s="23">
        <f>O17*P17*Q17</f>
        <v>483457.85717268003</v>
      </c>
      <c r="S17" s="23">
        <f>R17</f>
        <v>483457.85717268003</v>
      </c>
      <c r="T17" s="612" t="s">
        <v>326</v>
      </c>
      <c r="U17" s="612"/>
      <c r="V17" s="612"/>
      <c r="W17" s="24">
        <v>2</v>
      </c>
      <c r="Y17" s="84" t="s">
        <v>72</v>
      </c>
      <c r="Z17" s="83" t="str">
        <f>IF($Y17="","",VLOOKUP($Y17,RESUMO!$C:$D,2,FALSE))</f>
        <v>Escavação, carga e transporte de material de 1ª categoria - DMT de 800 a 1.000 m - caminho de serviço pavimentado - com escavadeira e caminhão basculante de 14 m³</v>
      </c>
      <c r="AB17" s="85" t="str">
        <f>HYPERLINK("#"&amp;"'"&amp;Y17&amp;"'"&amp;"!A1","LINK")</f>
        <v>LINK</v>
      </c>
    </row>
    <row r="18" spans="2:28" ht="19.899999999999999" customHeight="1" x14ac:dyDescent="0.25">
      <c r="B18" s="257" t="s">
        <v>316</v>
      </c>
      <c r="C18" s="258" t="s">
        <v>306</v>
      </c>
      <c r="D18" s="259">
        <v>297</v>
      </c>
      <c r="E18" s="260">
        <v>500</v>
      </c>
      <c r="F18" s="259"/>
      <c r="G18" s="260"/>
      <c r="H18" s="258" t="s">
        <v>324</v>
      </c>
      <c r="I18" s="256" t="s">
        <v>325</v>
      </c>
      <c r="J18" s="256" t="s">
        <v>336</v>
      </c>
      <c r="K18" s="256"/>
      <c r="L18" s="256"/>
      <c r="M18" s="256"/>
      <c r="N18" s="256"/>
      <c r="O18" s="256">
        <v>6145.8159999999989</v>
      </c>
      <c r="P18" s="256">
        <v>5.9391600000000002</v>
      </c>
      <c r="Q18" s="256">
        <v>1.3</v>
      </c>
      <c r="R18" s="11">
        <f>O18*P18*Q18</f>
        <v>47451.279920927998</v>
      </c>
      <c r="S18" s="11">
        <f>S17+R18</f>
        <v>530909.13709360803</v>
      </c>
      <c r="T18" s="612" t="s">
        <v>326</v>
      </c>
      <c r="U18" s="612"/>
      <c r="V18" s="612"/>
      <c r="W18" s="29">
        <v>3</v>
      </c>
      <c r="Y18" s="84"/>
      <c r="Z18" s="83"/>
      <c r="AB18" s="85"/>
    </row>
    <row r="19" spans="2:28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612"/>
      <c r="U19" s="612"/>
      <c r="V19" s="612"/>
      <c r="W19" s="29"/>
      <c r="Y19" s="84" t="s">
        <v>75</v>
      </c>
      <c r="Z19" s="83" t="str">
        <f>IF($Y19="","",VLOOKUP($Y19,RESUMO!$C:$D,2,FALSE))</f>
        <v>Escavação e carga de material de 1ª categoria - DMT acima de 3.000 m</v>
      </c>
      <c r="AB19" s="85" t="str">
        <f t="shared" ref="AB19:AB22" si="1">HYPERLINK("#"&amp;"'"&amp;Y19&amp;"'"&amp;"!A1","LINK")</f>
        <v>LINK</v>
      </c>
    </row>
    <row r="20" spans="2:28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669"/>
      <c r="U20" s="670"/>
      <c r="V20" s="671"/>
      <c r="W20" s="29"/>
      <c r="Y20" s="84" t="s">
        <v>77</v>
      </c>
      <c r="Z20" s="83" t="str">
        <f>IF($Y20="","",VLOOKUP($Y20,RESUMO!$C:$D,2,FALSE))</f>
        <v>Transporte com caminhão basculante de 10 m³ - rodovia pavimentada (DMT 5 Km)</v>
      </c>
      <c r="AB20" s="85" t="str">
        <f t="shared" si="1"/>
        <v>LINK</v>
      </c>
    </row>
    <row r="21" spans="2:28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669"/>
      <c r="U21" s="670"/>
      <c r="V21" s="671"/>
      <c r="W21" s="29"/>
      <c r="Y21" s="84" t="s">
        <v>80</v>
      </c>
      <c r="Z21" s="83" t="str">
        <f>IF($Y21="","",VLOOKUP($Y21,RESUMO!$C:$D,2,FALSE))</f>
        <v>Regularização de bota-fora com espalhamento e execução de hidrossemeadura</v>
      </c>
      <c r="AB21" s="85" t="str">
        <f t="shared" si="1"/>
        <v>LINK</v>
      </c>
    </row>
    <row r="22" spans="2:28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/>
      <c r="O22" s="11"/>
      <c r="P22" s="11"/>
      <c r="Q22" s="11"/>
      <c r="R22" s="11" t="str">
        <f t="shared" ref="R22:R36" si="2">IF(P22="","",P22*Q22)</f>
        <v/>
      </c>
      <c r="S22" s="11" t="str">
        <f t="shared" ref="S22:S25" si="3">IF(B22="","",IF(OR(S21="",W22=""),S21,SUM(R22,S21)))</f>
        <v/>
      </c>
      <c r="T22" s="612"/>
      <c r="U22" s="612"/>
      <c r="V22" s="612"/>
      <c r="W22" s="29"/>
      <c r="Y22" s="84" t="s">
        <v>82</v>
      </c>
      <c r="Z22" s="83" t="str">
        <f>IF($Y22="","",VLOOKUP($Y22,RESUMO!$C:$D,2,FALSE))</f>
        <v>Royaltie de bota-fora</v>
      </c>
      <c r="AB22" s="85" t="str">
        <f t="shared" si="1"/>
        <v>LINK</v>
      </c>
    </row>
    <row r="23" spans="2:28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/>
      <c r="N23" s="11"/>
      <c r="O23" s="11"/>
      <c r="P23" s="11"/>
      <c r="Q23" s="11"/>
      <c r="R23" s="11" t="str">
        <f t="shared" si="2"/>
        <v/>
      </c>
      <c r="S23" s="11" t="str">
        <f t="shared" si="3"/>
        <v/>
      </c>
      <c r="T23" s="612"/>
      <c r="U23" s="612"/>
      <c r="V23" s="612"/>
      <c r="W23" s="29"/>
    </row>
    <row r="24" spans="2:28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/>
      <c r="N24" s="11"/>
      <c r="O24" s="11"/>
      <c r="P24" s="11"/>
      <c r="Q24" s="11"/>
      <c r="R24" s="11" t="str">
        <f t="shared" si="2"/>
        <v/>
      </c>
      <c r="S24" s="11" t="str">
        <f t="shared" si="3"/>
        <v/>
      </c>
      <c r="T24" s="612"/>
      <c r="U24" s="612"/>
      <c r="V24" s="612"/>
      <c r="W24" s="29"/>
    </row>
    <row r="25" spans="2:28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/>
      <c r="N25" s="11"/>
      <c r="O25" s="11"/>
      <c r="P25" s="11"/>
      <c r="Q25" s="11"/>
      <c r="R25" s="11" t="str">
        <f t="shared" si="2"/>
        <v/>
      </c>
      <c r="S25" s="11" t="str">
        <f t="shared" si="3"/>
        <v/>
      </c>
      <c r="T25" s="612"/>
      <c r="U25" s="612"/>
      <c r="V25" s="612"/>
      <c r="W25" s="29"/>
    </row>
    <row r="26" spans="2:28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/>
      <c r="N26" s="11"/>
      <c r="O26" s="11"/>
      <c r="P26" s="11"/>
      <c r="Q26" s="11"/>
      <c r="R26" s="11" t="str">
        <f t="shared" si="2"/>
        <v/>
      </c>
      <c r="S26" s="11" t="str">
        <f t="shared" ref="S26:S36" si="4">IF(B26="","",IF(OR(S25="",W26=""),S25,SUM(R26,S25)))</f>
        <v/>
      </c>
      <c r="T26" s="612"/>
      <c r="U26" s="612"/>
      <c r="V26" s="612"/>
      <c r="W26" s="29"/>
    </row>
    <row r="27" spans="2:28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/>
      <c r="N27" s="11"/>
      <c r="O27" s="11"/>
      <c r="P27" s="11"/>
      <c r="Q27" s="11"/>
      <c r="R27" s="11" t="str">
        <f t="shared" si="2"/>
        <v/>
      </c>
      <c r="S27" s="11" t="str">
        <f t="shared" si="4"/>
        <v/>
      </c>
      <c r="T27" s="612"/>
      <c r="U27" s="612"/>
      <c r="V27" s="612"/>
      <c r="W27" s="29"/>
    </row>
    <row r="28" spans="2:28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/>
      <c r="N28" s="11"/>
      <c r="O28" s="11"/>
      <c r="P28" s="11"/>
      <c r="Q28" s="11"/>
      <c r="R28" s="11" t="str">
        <f t="shared" si="2"/>
        <v/>
      </c>
      <c r="S28" s="11" t="str">
        <f t="shared" si="4"/>
        <v/>
      </c>
      <c r="T28" s="612"/>
      <c r="U28" s="612"/>
      <c r="V28" s="612"/>
      <c r="W28" s="29"/>
    </row>
    <row r="29" spans="2:28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/>
      <c r="N29" s="11"/>
      <c r="O29" s="11"/>
      <c r="P29" s="11"/>
      <c r="Q29" s="11"/>
      <c r="R29" s="11" t="str">
        <f t="shared" si="2"/>
        <v/>
      </c>
      <c r="S29" s="11" t="str">
        <f t="shared" si="4"/>
        <v/>
      </c>
      <c r="T29" s="612"/>
      <c r="U29" s="612"/>
      <c r="V29" s="612"/>
      <c r="W29" s="29"/>
    </row>
    <row r="30" spans="2:28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/>
      <c r="N30" s="11"/>
      <c r="O30" s="11"/>
      <c r="P30" s="11"/>
      <c r="Q30" s="11"/>
      <c r="R30" s="11" t="str">
        <f t="shared" si="2"/>
        <v/>
      </c>
      <c r="S30" s="11" t="str">
        <f t="shared" si="4"/>
        <v/>
      </c>
      <c r="T30" s="612"/>
      <c r="U30" s="612"/>
      <c r="V30" s="612"/>
      <c r="W30" s="29"/>
    </row>
    <row r="31" spans="2:28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/>
      <c r="N31" s="11"/>
      <c r="O31" s="11"/>
      <c r="P31" s="11"/>
      <c r="Q31" s="11"/>
      <c r="R31" s="11" t="str">
        <f t="shared" si="2"/>
        <v/>
      </c>
      <c r="S31" s="11" t="str">
        <f t="shared" si="4"/>
        <v/>
      </c>
      <c r="T31" s="612"/>
      <c r="U31" s="612"/>
      <c r="V31" s="612"/>
      <c r="W31" s="29"/>
    </row>
    <row r="32" spans="2:28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/>
      <c r="N32" s="11"/>
      <c r="O32" s="11"/>
      <c r="P32" s="11"/>
      <c r="Q32" s="11"/>
      <c r="R32" s="11" t="str">
        <f t="shared" si="2"/>
        <v/>
      </c>
      <c r="S32" s="11" t="str">
        <f t="shared" si="4"/>
        <v/>
      </c>
      <c r="T32" s="612"/>
      <c r="U32" s="612"/>
      <c r="V32" s="612"/>
      <c r="W32" s="29"/>
    </row>
    <row r="33" spans="2:23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/>
      <c r="N33" s="11"/>
      <c r="O33" s="11"/>
      <c r="P33" s="11"/>
      <c r="Q33" s="11"/>
      <c r="R33" s="11" t="str">
        <f t="shared" si="2"/>
        <v/>
      </c>
      <c r="S33" s="11" t="str">
        <f t="shared" si="4"/>
        <v/>
      </c>
      <c r="T33" s="612"/>
      <c r="U33" s="612"/>
      <c r="V33" s="612"/>
      <c r="W33" s="29"/>
    </row>
    <row r="34" spans="2:23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/>
      <c r="N34" s="11"/>
      <c r="O34" s="11"/>
      <c r="P34" s="11"/>
      <c r="Q34" s="11"/>
      <c r="R34" s="11" t="str">
        <f t="shared" si="2"/>
        <v/>
      </c>
      <c r="S34" s="11" t="str">
        <f t="shared" si="4"/>
        <v/>
      </c>
      <c r="T34" s="612"/>
      <c r="U34" s="612"/>
      <c r="V34" s="612"/>
      <c r="W34" s="29"/>
    </row>
    <row r="35" spans="2:23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/>
      <c r="N35" s="11"/>
      <c r="O35" s="11"/>
      <c r="P35" s="11"/>
      <c r="Q35" s="11"/>
      <c r="R35" s="11" t="str">
        <f t="shared" si="2"/>
        <v/>
      </c>
      <c r="S35" s="11" t="str">
        <f t="shared" si="4"/>
        <v/>
      </c>
      <c r="T35" s="612"/>
      <c r="U35" s="612"/>
      <c r="V35" s="612"/>
      <c r="W35" s="29"/>
    </row>
    <row r="36" spans="2:23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/>
      <c r="M36" s="12"/>
      <c r="N36" s="12"/>
      <c r="O36" s="12"/>
      <c r="P36" s="12"/>
      <c r="Q36" s="12"/>
      <c r="R36" s="12" t="str">
        <f t="shared" si="2"/>
        <v/>
      </c>
      <c r="S36" s="12" t="str">
        <f t="shared" si="4"/>
        <v/>
      </c>
      <c r="T36" s="634"/>
      <c r="U36" s="634"/>
      <c r="V36" s="634"/>
      <c r="W36" s="34"/>
    </row>
    <row r="37" spans="2:23" ht="19.899999999999999" customHeight="1" thickTop="1" x14ac:dyDescent="0.25"/>
  </sheetData>
  <mergeCells count="73">
    <mergeCell ref="J4:W4"/>
    <mergeCell ref="B4:D4"/>
    <mergeCell ref="E4:F4"/>
    <mergeCell ref="G4:H4"/>
    <mergeCell ref="B5:D5"/>
    <mergeCell ref="E5:F5"/>
    <mergeCell ref="G5:H5"/>
    <mergeCell ref="J5:W5"/>
    <mergeCell ref="B2:D3"/>
    <mergeCell ref="E2:H2"/>
    <mergeCell ref="Y2:Z2"/>
    <mergeCell ref="E3:F3"/>
    <mergeCell ref="G3:H3"/>
    <mergeCell ref="J2:W2"/>
    <mergeCell ref="J3:W3"/>
    <mergeCell ref="B6:D6"/>
    <mergeCell ref="E6:F6"/>
    <mergeCell ref="G6:H6"/>
    <mergeCell ref="B7:D7"/>
    <mergeCell ref="E7:F7"/>
    <mergeCell ref="G7:H7"/>
    <mergeCell ref="J6:W6"/>
    <mergeCell ref="J7:W7"/>
    <mergeCell ref="C13:F13"/>
    <mergeCell ref="H13:T13"/>
    <mergeCell ref="V13:W13"/>
    <mergeCell ref="B8:D8"/>
    <mergeCell ref="E8:F8"/>
    <mergeCell ref="G8:H8"/>
    <mergeCell ref="B9:D9"/>
    <mergeCell ref="E9:F9"/>
    <mergeCell ref="G9:H9"/>
    <mergeCell ref="B11:F11"/>
    <mergeCell ref="G11:W11"/>
    <mergeCell ref="C12:F12"/>
    <mergeCell ref="H12:T12"/>
    <mergeCell ref="V12:W12"/>
    <mergeCell ref="J8:W8"/>
    <mergeCell ref="J9:W9"/>
    <mergeCell ref="W15:W16"/>
    <mergeCell ref="Y15:Z15"/>
    <mergeCell ref="T17:V17"/>
    <mergeCell ref="B15:B16"/>
    <mergeCell ref="C15:C16"/>
    <mergeCell ref="D15:E15"/>
    <mergeCell ref="F15:G15"/>
    <mergeCell ref="H15:H16"/>
    <mergeCell ref="I15:I16"/>
    <mergeCell ref="J15:J16"/>
    <mergeCell ref="K15:L15"/>
    <mergeCell ref="T21:V21"/>
    <mergeCell ref="T22:V22"/>
    <mergeCell ref="T23:V23"/>
    <mergeCell ref="R15:R16"/>
    <mergeCell ref="S15:S16"/>
    <mergeCell ref="T15:V16"/>
    <mergeCell ref="T18:V18"/>
    <mergeCell ref="T33:V33"/>
    <mergeCell ref="T34:V34"/>
    <mergeCell ref="T35:V35"/>
    <mergeCell ref="T36:V36"/>
    <mergeCell ref="Q15:Q16"/>
    <mergeCell ref="T29:V29"/>
    <mergeCell ref="T30:V30"/>
    <mergeCell ref="T31:V31"/>
    <mergeCell ref="T32:V32"/>
    <mergeCell ref="T24:V24"/>
    <mergeCell ref="T25:V25"/>
    <mergeCell ref="T26:V26"/>
    <mergeCell ref="T27:V27"/>
    <mergeCell ref="T28:V28"/>
    <mergeCell ref="T19:V19"/>
    <mergeCell ref="T20:V20"/>
  </mergeCells>
  <phoneticPr fontId="16" type="noConversion"/>
  <conditionalFormatting sqref="B17:T36">
    <cfRule type="containsBlanks" dxfId="114" priority="1">
      <formula>LEN(TRIM(B17))=0</formula>
    </cfRule>
  </conditionalFormatting>
  <conditionalFormatting sqref="W17:W36">
    <cfRule type="containsBlanks" dxfId="113" priority="3">
      <formula>LEN(TRIM(W17))=0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25B9-635E-4290-912B-4D0B194C7302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74" t="s">
        <v>412</v>
      </c>
      <c r="K3" s="675"/>
      <c r="L3" s="675"/>
      <c r="M3" s="675"/>
      <c r="N3" s="675"/>
      <c r="O3" s="675"/>
      <c r="P3" s="675"/>
      <c r="Q3" s="676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0</v>
      </c>
      <c r="F4" s="653"/>
      <c r="G4" s="640">
        <f t="shared" ref="G4:G9" si="0">E4*$P$13</f>
        <v>0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0</v>
      </c>
      <c r="F7" s="645"/>
      <c r="G7" s="642">
        <f t="shared" si="0"/>
        <v>0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RESUMO!C13</f>
        <v>B.1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RESUMO!C17</f>
        <v>B.1.4</v>
      </c>
      <c r="H13" s="623" t="str">
        <f>IF($G$13="","",VLOOKUP($G$13,RESUMO!$C:$F,2,FALSE))</f>
        <v>Regularização de bota-fora com espalhamento e execução de hidrossemeadura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m³</v>
      </c>
      <c r="P13" s="621">
        <f>IF($G$13="","",VLOOKUP($G$13,RESUMO!$C:$F,4,FALSE))</f>
        <v>0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330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334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0</v>
      </c>
      <c r="F17" s="21"/>
      <c r="G17" s="22"/>
      <c r="H17" s="20" t="s">
        <v>324</v>
      </c>
      <c r="I17" s="23" t="s">
        <v>325</v>
      </c>
      <c r="J17" s="23">
        <v>55083.697</v>
      </c>
      <c r="K17" s="23"/>
      <c r="L17" s="23">
        <v>0</v>
      </c>
      <c r="M17" s="23">
        <f>IF(OR(B17="",L17=""),"",IF(AND(M16="",Q17=""),M16,SUM(L17,M16)))</f>
        <v>0</v>
      </c>
      <c r="N17" s="612" t="s">
        <v>326</v>
      </c>
      <c r="O17" s="612"/>
      <c r="P17" s="612"/>
      <c r="Q17" s="24"/>
      <c r="S17" s="84" t="s">
        <v>72</v>
      </c>
      <c r="T17" s="83" t="str">
        <f>IF($S17="","",VLOOKUP($S17,RESUMO!$C:$D,2,FALSE))</f>
        <v>Escavação, carga e transporte de material de 1ª categoria - DMT de 800 a 1.000 m - caminho de serviço pavimentado - com escavadeira e caminhão basculante de 14 m³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297</v>
      </c>
      <c r="E18" s="28">
        <v>0</v>
      </c>
      <c r="F18" s="27"/>
      <c r="G18" s="28"/>
      <c r="H18" s="26" t="s">
        <v>324</v>
      </c>
      <c r="I18" s="11" t="s">
        <v>325</v>
      </c>
      <c r="J18" s="11">
        <v>62616.71</v>
      </c>
      <c r="K18" s="11"/>
      <c r="L18" s="11">
        <v>0</v>
      </c>
      <c r="M18" s="11">
        <f>IF(B18="","",IF(OR(M17="",Q18=""),M17,SUM(L18,M17)))</f>
        <v>0</v>
      </c>
      <c r="N18" s="612" t="s">
        <v>326</v>
      </c>
      <c r="O18" s="612"/>
      <c r="P18" s="612"/>
      <c r="Q18" s="29"/>
      <c r="S18" s="84" t="s">
        <v>75</v>
      </c>
      <c r="T18" s="83" t="str">
        <f>IF($S18="","",VLOOKUP($S18,RESUMO!$C:$D,2,FALSE))</f>
        <v>Escavação e carga de material de 1ª categoria - DMT acima de 3.000 m</v>
      </c>
      <c r="V18" s="85" t="str">
        <f t="shared" ref="V18:V21" si="1">HYPERLINK("#"&amp;"'"&amp;S18&amp;"'"&amp;"!A1","LINK")</f>
        <v>LINK</v>
      </c>
    </row>
    <row r="19" spans="2:22" ht="19.899999999999999" customHeight="1" x14ac:dyDescent="0.25">
      <c r="B19" s="25" t="s">
        <v>316</v>
      </c>
      <c r="C19" s="26" t="s">
        <v>306</v>
      </c>
      <c r="D19" s="27">
        <v>297</v>
      </c>
      <c r="E19" s="28">
        <v>0</v>
      </c>
      <c r="F19" s="27"/>
      <c r="G19" s="28"/>
      <c r="H19" s="26" t="s">
        <v>324</v>
      </c>
      <c r="I19" s="11" t="s">
        <v>325</v>
      </c>
      <c r="J19" s="11">
        <f>68762.526-J18</f>
        <v>6145.8159999999989</v>
      </c>
      <c r="K19" s="11"/>
      <c r="L19" s="11">
        <v>0</v>
      </c>
      <c r="M19" s="11">
        <f>IF(B19="","",IF(OR(M18="",Q19=""),M18,SUM(L19,M18)))</f>
        <v>0</v>
      </c>
      <c r="N19" s="612" t="s">
        <v>326</v>
      </c>
      <c r="O19" s="612"/>
      <c r="P19" s="612"/>
      <c r="Q19" s="29"/>
      <c r="S19" s="84" t="s">
        <v>77</v>
      </c>
      <c r="T19" s="83" t="str">
        <f>IF($S19="","",VLOOKUP($S19,RESUMO!$C:$D,2,FALSE))</f>
        <v>Transporte com caminhão basculante de 10 m³ - rodovia pavimentada (DMT 5 Km)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ref="L20:L36" si="2">IF(J20="","",J20*K20)</f>
        <v/>
      </c>
      <c r="M20" s="11" t="str">
        <f t="shared" ref="M20:M36" si="3">IF(B20="","",IF(OR(M19="",Q20=""),M19,SUM(L20,M19)))</f>
        <v/>
      </c>
      <c r="N20" s="612"/>
      <c r="O20" s="612"/>
      <c r="P20" s="612"/>
      <c r="Q20" s="29"/>
      <c r="S20" s="84" t="s">
        <v>80</v>
      </c>
      <c r="T20" s="83" t="str">
        <f>IF($S20="","",VLOOKUP($S20,RESUMO!$C:$D,2,FALSE))</f>
        <v>Regularização de bota-fora com espalhamento e execução de hidrossemeadura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2"/>
        <v/>
      </c>
      <c r="M21" s="11" t="str">
        <f t="shared" si="3"/>
        <v/>
      </c>
      <c r="N21" s="612"/>
      <c r="O21" s="612"/>
      <c r="P21" s="612"/>
      <c r="Q21" s="29"/>
      <c r="S21" s="84" t="s">
        <v>82</v>
      </c>
      <c r="T21" s="83" t="str">
        <f>IF($S21="","",VLOOKUP($S21,RESUMO!$C:$D,2,FALSE))</f>
        <v>Royaltie de bota-fora</v>
      </c>
      <c r="V21" s="85" t="str">
        <f t="shared" si="1"/>
        <v>LINK</v>
      </c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2"/>
        <v/>
      </c>
      <c r="M22" s="11" t="str">
        <f t="shared" si="3"/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phoneticPr fontId="16" type="noConversion"/>
  <conditionalFormatting sqref="B17:N36 Q17:Q36">
    <cfRule type="containsBlanks" dxfId="112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3805-CD00-426B-A91C-446D9A87D031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0</v>
      </c>
      <c r="F4" s="653"/>
      <c r="G4" s="640">
        <f t="shared" ref="G4:G9" si="0">E4*$P$13</f>
        <v>0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0</v>
      </c>
      <c r="F7" s="645"/>
      <c r="G7" s="642">
        <f t="shared" si="0"/>
        <v>0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RESUMO!C13</f>
        <v>B.1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RESUMO!C18</f>
        <v>B.1.5</v>
      </c>
      <c r="H13" s="623" t="str">
        <f>IF($G$13="","",VLOOKUP($G$13,RESUMO!$C:$F,2,FALSE))</f>
        <v>Royaltie de bota-fora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m³</v>
      </c>
      <c r="P13" s="621">
        <f>IF($G$13="","",VLOOKUP($G$13,RESUMO!$C:$F,4,FALSE))</f>
        <v>0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330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334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/>
      <c r="C17" s="20"/>
      <c r="D17" s="21"/>
      <c r="E17" s="22"/>
      <c r="F17" s="21"/>
      <c r="G17" s="22"/>
      <c r="H17" s="20"/>
      <c r="I17" s="23"/>
      <c r="J17" s="23"/>
      <c r="K17" s="23"/>
      <c r="L17" s="23" t="str">
        <f>IF(J17="","",J17*K17)</f>
        <v/>
      </c>
      <c r="M17" s="23" t="str">
        <f>IF(OR(B17="",L17=""),"",IF(AND(M16="",Q17=""),M16,SUM(L17,M16)))</f>
        <v/>
      </c>
      <c r="N17" s="635"/>
      <c r="O17" s="635"/>
      <c r="P17" s="635"/>
      <c r="Q17" s="24"/>
      <c r="S17" s="84" t="s">
        <v>72</v>
      </c>
      <c r="T17" s="83" t="str">
        <f>IF($S17="","",VLOOKUP($S17,RESUMO!$C:$D,2,FALSE))</f>
        <v>Escavação, carga e transporte de material de 1ª categoria - DMT de 800 a 1.000 m - caminho de serviço pavimentado - com escavadeira e caminhão basculante de 14 m³</v>
      </c>
      <c r="V17" s="85" t="str">
        <f>HYPERLINK("#"&amp;"'"&amp;S17&amp;"'"&amp;"!A1","LINK")</f>
        <v>LINK</v>
      </c>
    </row>
    <row r="18" spans="2:22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 t="str">
        <f>IF(J18="","",J18*K18)</f>
        <v/>
      </c>
      <c r="M18" s="11" t="str">
        <f>IF(B18="","",IF(OR(M17="",Q18=""),M17,SUM(L18,M17)))</f>
        <v/>
      </c>
      <c r="N18" s="612"/>
      <c r="O18" s="612"/>
      <c r="P18" s="612"/>
      <c r="Q18" s="29"/>
      <c r="S18" s="84" t="s">
        <v>75</v>
      </c>
      <c r="T18" s="83" t="str">
        <f>IF($S18="","",VLOOKUP($S18,RESUMO!$C:$D,2,FALSE))</f>
        <v>Escavação e carga de material de 1ª categoria - DMT acima de 3.000 m</v>
      </c>
      <c r="V18" s="85" t="str">
        <f t="shared" ref="V18:V21" si="1"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 t="str">
        <f t="shared" ref="L19:L36" si="2">IF(J19="","",J19*K19)</f>
        <v/>
      </c>
      <c r="M19" s="11" t="str">
        <f>IF(B19="","",IF(OR(M18="",Q19=""),M18,SUM(L19,M18)))</f>
        <v/>
      </c>
      <c r="N19" s="612"/>
      <c r="O19" s="612"/>
      <c r="P19" s="612"/>
      <c r="Q19" s="29"/>
      <c r="S19" s="84" t="s">
        <v>77</v>
      </c>
      <c r="T19" s="83" t="str">
        <f>IF($S19="","",VLOOKUP($S19,RESUMO!$C:$D,2,FALSE))</f>
        <v>Transporte com caminhão basculante de 10 m³ - rodovia pavimentada (DMT 5 Km)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si="2"/>
        <v/>
      </c>
      <c r="M20" s="11" t="str">
        <f t="shared" ref="M20:M36" si="3">IF(B20="","",IF(OR(M19="",Q20=""),M19,SUM(L20,M19)))</f>
        <v/>
      </c>
      <c r="N20" s="612"/>
      <c r="O20" s="612"/>
      <c r="P20" s="612"/>
      <c r="Q20" s="29"/>
      <c r="S20" s="84" t="s">
        <v>80</v>
      </c>
      <c r="T20" s="83" t="str">
        <f>IF($S20="","",VLOOKUP($S20,RESUMO!$C:$D,2,FALSE))</f>
        <v>Regularização de bota-fora com espalhamento e execução de hidrossemeadura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2"/>
        <v/>
      </c>
      <c r="M21" s="11" t="str">
        <f t="shared" si="3"/>
        <v/>
      </c>
      <c r="N21" s="612"/>
      <c r="O21" s="612"/>
      <c r="P21" s="612"/>
      <c r="Q21" s="29"/>
      <c r="S21" s="84" t="s">
        <v>82</v>
      </c>
      <c r="T21" s="83" t="str">
        <f>IF($S21="","",VLOOKUP($S21,RESUMO!$C:$D,2,FALSE))</f>
        <v>Royaltie de bota-fora</v>
      </c>
      <c r="V21" s="85" t="str">
        <f t="shared" si="1"/>
        <v>LINK</v>
      </c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2"/>
        <v/>
      </c>
      <c r="M22" s="11" t="str">
        <f t="shared" si="3"/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phoneticPr fontId="16" type="noConversion"/>
  <conditionalFormatting sqref="B17:N36 Q17:Q36">
    <cfRule type="containsBlanks" dxfId="111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BF42-85F7-486B-8FE3-EE9843BE9E98}">
  <sheetPr>
    <pageSetUpPr fitToPage="1"/>
  </sheetPr>
  <dimension ref="B1:W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5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23377.56</v>
      </c>
      <c r="F4" s="653"/>
      <c r="G4" s="640">
        <f t="shared" ref="G4:G9" si="0">E4*$Q$13</f>
        <v>20104.7</v>
      </c>
      <c r="H4" s="641"/>
      <c r="J4" s="613"/>
      <c r="K4" s="614"/>
      <c r="L4" s="614"/>
      <c r="M4" s="614"/>
      <c r="N4" s="614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21252.33</v>
      </c>
      <c r="F5" s="654"/>
      <c r="G5" s="642">
        <f t="shared" si="0"/>
        <v>18277.002345454359</v>
      </c>
      <c r="H5" s="643"/>
      <c r="J5" s="613"/>
      <c r="K5" s="614"/>
      <c r="L5" s="614"/>
      <c r="M5" s="614"/>
      <c r="N5" s="614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2125.2299999999996</v>
      </c>
      <c r="F7" s="645"/>
      <c r="G7" s="642">
        <f t="shared" si="0"/>
        <v>1827.6976545456409</v>
      </c>
      <c r="H7" s="643"/>
      <c r="J7" s="613"/>
      <c r="K7" s="614"/>
      <c r="L7" s="614"/>
      <c r="M7" s="614"/>
      <c r="N7" s="614"/>
      <c r="O7" s="614"/>
      <c r="P7" s="614"/>
      <c r="Q7" s="614"/>
      <c r="R7" s="615"/>
    </row>
    <row r="8" spans="2:21" ht="15" customHeight="1" x14ac:dyDescent="0.25">
      <c r="B8" s="655" t="s">
        <v>300</v>
      </c>
      <c r="C8" s="656"/>
      <c r="D8" s="656"/>
      <c r="E8" s="657">
        <f>SUM(M:M)-E5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5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21252.33</v>
      </c>
      <c r="F9" s="646"/>
      <c r="G9" s="660">
        <f t="shared" si="0"/>
        <v>18277.002345454359</v>
      </c>
      <c r="H9" s="661"/>
      <c r="J9" s="616"/>
      <c r="K9" s="617"/>
      <c r="L9" s="617"/>
      <c r="M9" s="617"/>
      <c r="N9" s="617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RESUMO!C13</f>
        <v>B.1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RESUMO!C19</f>
        <v>B.1.6</v>
      </c>
      <c r="H13" s="623" t="str">
        <f>IF($G$13="","",VLOOKUP($G$13,RESUMO!$C:$F,2,FALSE))</f>
        <v>Desmatamento, destocamento, limpeza de área e estocagem do material de limpeza com árvores de diâmetro até 0,15 m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m²</v>
      </c>
      <c r="Q13" s="621">
        <f>IF($G$13="","",VLOOKUP($G$13,RESUMO!$C:$F,4,FALSE))</f>
        <v>0.85999993155829779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9" t="s">
        <v>323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10" t="s">
        <v>322</v>
      </c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0</v>
      </c>
      <c r="F17" s="21"/>
      <c r="G17" s="22"/>
      <c r="H17" s="20" t="s">
        <v>324</v>
      </c>
      <c r="I17" s="23" t="s">
        <v>325</v>
      </c>
      <c r="J17" s="23"/>
      <c r="K17" s="23"/>
      <c r="L17" s="23"/>
      <c r="M17" s="23">
        <v>21252.33</v>
      </c>
      <c r="N17" s="23">
        <f>IF(OR(B17="",M17=""),"",IF(AND(N16="",R17=""),N16,SUM(M17,N16)))</f>
        <v>21252.33</v>
      </c>
      <c r="O17" s="612" t="s">
        <v>326</v>
      </c>
      <c r="P17" s="612"/>
      <c r="Q17" s="612"/>
      <c r="R17" s="24">
        <v>3</v>
      </c>
      <c r="T17" s="84" t="s">
        <v>72</v>
      </c>
      <c r="U17" s="83" t="str">
        <f>IF($T17="","",VLOOKUP($T17,RESUMO!$C:$D,2,FALSE))</f>
        <v>Escavação, carga e transporte de material de 1ª categoria - DMT de 800 a 1.000 m - caminho de serviço pavimentado - com escavadeira e caminhão basculante de 14 m³</v>
      </c>
      <c r="W17" s="85" t="str">
        <f>HYPERLINK("#"&amp;"'"&amp;T17&amp;"'"&amp;"!A1","LINK")</f>
        <v>LINK</v>
      </c>
    </row>
    <row r="18" spans="2:23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11"/>
      <c r="N18" s="11"/>
      <c r="O18" s="612"/>
      <c r="P18" s="612"/>
      <c r="Q18" s="612"/>
      <c r="R18" s="29"/>
      <c r="T18" s="84" t="s">
        <v>75</v>
      </c>
      <c r="U18" s="83" t="str">
        <f>IF($T18="","",VLOOKUP($T18,RESUMO!$C:$D,2,FALSE))</f>
        <v>Escavação e carga de material de 1ª categoria - DMT acima de 3.000 m</v>
      </c>
      <c r="W18" s="85" t="str">
        <f t="shared" ref="W18:W21" si="1">HYPERLINK("#"&amp;"'"&amp;T18&amp;"'"&amp;"!A1","LINK")</f>
        <v>LINK</v>
      </c>
    </row>
    <row r="19" spans="2:23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11"/>
      <c r="O19" s="612"/>
      <c r="P19" s="612"/>
      <c r="Q19" s="612"/>
      <c r="R19" s="29"/>
      <c r="T19" s="84" t="s">
        <v>77</v>
      </c>
      <c r="U19" s="83" t="str">
        <f>IF($T19="","",VLOOKUP($T19,RESUMO!$C:$D,2,FALSE))</f>
        <v>Transporte com caminhão basculante de 10 m³ - rodovia pavimentada (DMT 5 Km)</v>
      </c>
      <c r="W19" s="85" t="str">
        <f t="shared" si="1"/>
        <v>LINK</v>
      </c>
    </row>
    <row r="20" spans="2:23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/>
      <c r="O20" s="612"/>
      <c r="P20" s="612"/>
      <c r="Q20" s="612"/>
      <c r="R20" s="29"/>
      <c r="T20" s="84" t="s">
        <v>80</v>
      </c>
      <c r="U20" s="83" t="str">
        <f>IF($T20="","",VLOOKUP($T20,RESUMO!$C:$D,2,FALSE))</f>
        <v>Regularização de bota-fora com espalhamento e execução de hidrossemeadura</v>
      </c>
      <c r="W20" s="85" t="str">
        <f t="shared" si="1"/>
        <v>LINK</v>
      </c>
    </row>
    <row r="21" spans="2:23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/>
      <c r="O21" s="612"/>
      <c r="P21" s="612"/>
      <c r="Q21" s="612"/>
      <c r="R21" s="29"/>
      <c r="T21" s="84" t="s">
        <v>82</v>
      </c>
      <c r="U21" s="83" t="str">
        <f>IF($T21="","",VLOOKUP($T21,RESUMO!$C:$D,2,FALSE))</f>
        <v>Royaltie de bota-fora</v>
      </c>
      <c r="W21" s="85" t="str">
        <f t="shared" si="1"/>
        <v>LINK</v>
      </c>
    </row>
    <row r="22" spans="2:23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/>
      <c r="O22" s="612"/>
      <c r="P22" s="612"/>
      <c r="Q22" s="612"/>
      <c r="R22" s="29"/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 t="shared" ref="M23:M39" si="2">IF(J23="","",J23*K23*L23)</f>
        <v/>
      </c>
      <c r="N23" s="11" t="str">
        <f t="shared" ref="N23:N39" si="3">IF(B23="","",IF(OR(N22="",R23=""),N22,SUM(M23,N22)))</f>
        <v/>
      </c>
      <c r="O23" s="612"/>
      <c r="P23" s="612"/>
      <c r="Q23" s="612"/>
      <c r="R23" s="29"/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 t="shared" si="2"/>
        <v/>
      </c>
      <c r="N24" s="11" t="str">
        <f t="shared" si="3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 t="shared" si="2"/>
        <v/>
      </c>
      <c r="N25" s="11" t="str">
        <f t="shared" si="3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 t="shared" si="2"/>
        <v/>
      </c>
      <c r="N26" s="11" t="str">
        <f t="shared" si="3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 t="shared" si="2"/>
        <v/>
      </c>
      <c r="N27" s="11" t="str">
        <f>IF(B27="","",IF(OR(N26="",R27=""),N26,SUM(M27,N26)))</f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 t="shared" si="2"/>
        <v/>
      </c>
      <c r="N28" s="11" t="str">
        <f t="shared" si="3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 t="shared" si="2"/>
        <v/>
      </c>
      <c r="N29" s="11" t="str">
        <f t="shared" si="3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 t="shared" si="2"/>
        <v/>
      </c>
      <c r="N30" s="11" t="str">
        <f t="shared" si="3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 t="shared" si="2"/>
        <v/>
      </c>
      <c r="N31" s="11" t="str">
        <f t="shared" si="3"/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 t="shared" si="2"/>
        <v/>
      </c>
      <c r="N32" s="11" t="str">
        <f t="shared" si="3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 t="shared" si="2"/>
        <v/>
      </c>
      <c r="N33" s="11" t="str">
        <f t="shared" si="3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 t="shared" si="2"/>
        <v/>
      </c>
      <c r="N34" s="11" t="str">
        <f t="shared" si="3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 t="shared" si="2"/>
        <v/>
      </c>
      <c r="N35" s="11" t="str">
        <f t="shared" si="3"/>
        <v/>
      </c>
      <c r="O35" s="612"/>
      <c r="P35" s="612"/>
      <c r="Q35" s="612"/>
      <c r="R35" s="29"/>
    </row>
    <row r="36" spans="2:18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 t="str">
        <f t="shared" si="2"/>
        <v/>
      </c>
      <c r="N36" s="11" t="str">
        <f t="shared" si="3"/>
        <v/>
      </c>
      <c r="O36" s="612"/>
      <c r="P36" s="612"/>
      <c r="Q36" s="612"/>
      <c r="R36" s="29"/>
    </row>
    <row r="37" spans="2:18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 t="str">
        <f t="shared" si="2"/>
        <v/>
      </c>
      <c r="N37" s="11" t="str">
        <f t="shared" si="3"/>
        <v/>
      </c>
      <c r="O37" s="612"/>
      <c r="P37" s="612"/>
      <c r="Q37" s="612"/>
      <c r="R37" s="29"/>
    </row>
    <row r="38" spans="2:18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 t="str">
        <f t="shared" si="2"/>
        <v/>
      </c>
      <c r="N38" s="11" t="str">
        <f t="shared" si="3"/>
        <v/>
      </c>
      <c r="O38" s="612"/>
      <c r="P38" s="612"/>
      <c r="Q38" s="612"/>
      <c r="R38" s="29"/>
    </row>
    <row r="39" spans="2:18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 t="str">
        <f t="shared" si="2"/>
        <v/>
      </c>
      <c r="N39" s="12" t="str">
        <f t="shared" si="3"/>
        <v/>
      </c>
      <c r="O39" s="634"/>
      <c r="P39" s="634"/>
      <c r="Q39" s="634"/>
      <c r="R39" s="34"/>
    </row>
    <row r="40" spans="2:18" ht="19.899999999999999" customHeight="1" thickTop="1" x14ac:dyDescent="0.25"/>
  </sheetData>
  <mergeCells count="73">
    <mergeCell ref="O36:Q36"/>
    <mergeCell ref="O37:Q37"/>
    <mergeCell ref="O38:Q38"/>
    <mergeCell ref="O39:Q39"/>
    <mergeCell ref="O30:Q30"/>
    <mergeCell ref="O31:Q31"/>
    <mergeCell ref="O32:Q32"/>
    <mergeCell ref="O33:Q33"/>
    <mergeCell ref="O34:Q34"/>
    <mergeCell ref="O35:Q35"/>
    <mergeCell ref="T15:U15"/>
    <mergeCell ref="O29:Q29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17:Q17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C13:F13"/>
    <mergeCell ref="H13:O13"/>
    <mergeCell ref="Q13:R13"/>
    <mergeCell ref="R15:R16"/>
    <mergeCell ref="B8:D8"/>
    <mergeCell ref="E8:F8"/>
    <mergeCell ref="G8:H8"/>
    <mergeCell ref="J8:R8"/>
    <mergeCell ref="B9:D9"/>
    <mergeCell ref="E9:F9"/>
    <mergeCell ref="G9:H9"/>
    <mergeCell ref="J9:R9"/>
    <mergeCell ref="B11:F11"/>
    <mergeCell ref="G11:R11"/>
    <mergeCell ref="C12:F12"/>
    <mergeCell ref="H12:O12"/>
    <mergeCell ref="Q12:R12"/>
    <mergeCell ref="B6:D6"/>
    <mergeCell ref="E6:F6"/>
    <mergeCell ref="G6:H6"/>
    <mergeCell ref="J6:R6"/>
    <mergeCell ref="B7:D7"/>
    <mergeCell ref="E7:F7"/>
    <mergeCell ref="G7:H7"/>
    <mergeCell ref="J7:R7"/>
    <mergeCell ref="B4:D4"/>
    <mergeCell ref="E4:F4"/>
    <mergeCell ref="G4:H4"/>
    <mergeCell ref="J4:R4"/>
    <mergeCell ref="B5:D5"/>
    <mergeCell ref="E5:F5"/>
    <mergeCell ref="G5:H5"/>
    <mergeCell ref="J5:R5"/>
    <mergeCell ref="B2:D3"/>
    <mergeCell ref="E2:H2"/>
    <mergeCell ref="J2:R2"/>
    <mergeCell ref="T2:U2"/>
    <mergeCell ref="E3:F3"/>
    <mergeCell ref="G3:H3"/>
    <mergeCell ref="J3:R3"/>
  </mergeCells>
  <conditionalFormatting sqref="B17:O39">
    <cfRule type="containsBlanks" dxfId="110" priority="1">
      <formula>LEN(TRIM(B17))=0</formula>
    </cfRule>
  </conditionalFormatting>
  <conditionalFormatting sqref="R17:R39">
    <cfRule type="containsBlanks" dxfId="109" priority="2">
      <formula>LEN(TRIM(R17))=0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64D3-7DA3-4472-A37A-050E8B072545}">
  <sheetPr>
    <pageSetUpPr fitToPage="1"/>
  </sheetPr>
  <dimension ref="B1:W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5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55083.7</v>
      </c>
      <c r="F4" s="653"/>
      <c r="G4" s="640">
        <f t="shared" ref="G4:G9" si="0">E4*$Q$13</f>
        <v>695707.09</v>
      </c>
      <c r="H4" s="641"/>
      <c r="J4" s="613"/>
      <c r="K4" s="614"/>
      <c r="L4" s="614"/>
      <c r="M4" s="614"/>
      <c r="N4" s="614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55083.697</v>
      </c>
      <c r="F5" s="654"/>
      <c r="G5" s="642">
        <f t="shared" si="0"/>
        <v>695707.05211000226</v>
      </c>
      <c r="H5" s="643"/>
      <c r="J5" s="613"/>
      <c r="K5" s="614"/>
      <c r="L5" s="614"/>
      <c r="M5" s="614"/>
      <c r="N5" s="614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2.9999999969732016E-3</v>
      </c>
      <c r="F7" s="645"/>
      <c r="G7" s="642">
        <f t="shared" si="0"/>
        <v>3.7889997728806073E-2</v>
      </c>
      <c r="H7" s="643"/>
      <c r="J7" s="613"/>
      <c r="K7" s="614"/>
      <c r="L7" s="614"/>
      <c r="M7" s="614"/>
      <c r="N7" s="614"/>
      <c r="O7" s="614"/>
      <c r="P7" s="614"/>
      <c r="Q7" s="614"/>
      <c r="R7" s="615"/>
    </row>
    <row r="8" spans="2:21" ht="15" customHeight="1" x14ac:dyDescent="0.25">
      <c r="B8" s="655" t="s">
        <v>300</v>
      </c>
      <c r="C8" s="656"/>
      <c r="D8" s="656"/>
      <c r="E8" s="657">
        <f>SUM(M:M)-E5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5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55083.697</v>
      </c>
      <c r="F9" s="646"/>
      <c r="G9" s="660">
        <f t="shared" si="0"/>
        <v>695707.05211000226</v>
      </c>
      <c r="H9" s="661"/>
      <c r="J9" s="616"/>
      <c r="K9" s="617"/>
      <c r="L9" s="617"/>
      <c r="M9" s="617"/>
      <c r="N9" s="617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RESUMO!C13</f>
        <v>B.1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RESUMO!C20</f>
        <v>B.1.7</v>
      </c>
      <c r="H13" s="623" t="str">
        <f>IF($G$13="","",VLOOKUP($G$13,RESUMO!$C:$F,2,FALSE))</f>
        <v>Escavação, carga e transporte de material de 1ª categoria - DMT de 1.400 a 1.600 m - caminho de serviço pavimentado - com escavadeira e caminhão basculante de 14 m³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m³</v>
      </c>
      <c r="Q13" s="621">
        <f>IF($G$13="","",VLOOKUP($G$13,RESUMO!$C:$F,4,FALSE))</f>
        <v>12.629999255678177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9" t="s">
        <v>323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10" t="s">
        <v>322</v>
      </c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0</v>
      </c>
      <c r="F17" s="21"/>
      <c r="G17" s="22"/>
      <c r="H17" s="20" t="s">
        <v>324</v>
      </c>
      <c r="I17" s="23" t="s">
        <v>325</v>
      </c>
      <c r="J17" s="23"/>
      <c r="K17" s="23"/>
      <c r="L17" s="23"/>
      <c r="M17" s="23">
        <v>55083.697</v>
      </c>
      <c r="N17" s="23">
        <f>IF(OR(B17="",M17=""),"",IF(AND(N16="",R17=""),N16,SUM(M17,N16)))</f>
        <v>55083.697</v>
      </c>
      <c r="O17" s="612" t="s">
        <v>326</v>
      </c>
      <c r="P17" s="612"/>
      <c r="Q17" s="612"/>
      <c r="R17" s="24">
        <v>3</v>
      </c>
      <c r="T17" s="84" t="s">
        <v>72</v>
      </c>
      <c r="U17" s="83" t="str">
        <f>IF($T17="","",VLOOKUP($T17,RESUMO!$C:$D,2,FALSE))</f>
        <v>Escavação, carga e transporte de material de 1ª categoria - DMT de 800 a 1.000 m - caminho de serviço pavimentado - com escavadeira e caminhão basculante de 14 m³</v>
      </c>
      <c r="W17" s="85" t="str">
        <f>HYPERLINK("#"&amp;"'"&amp;T17&amp;"'"&amp;"!A1","LINK")</f>
        <v>LINK</v>
      </c>
    </row>
    <row r="18" spans="2:23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11"/>
      <c r="N18" s="11"/>
      <c r="O18" s="612"/>
      <c r="P18" s="612"/>
      <c r="Q18" s="612"/>
      <c r="R18" s="29"/>
      <c r="T18" s="84" t="s">
        <v>75</v>
      </c>
      <c r="U18" s="83" t="str">
        <f>IF($T18="","",VLOOKUP($T18,RESUMO!$C:$D,2,FALSE))</f>
        <v>Escavação e carga de material de 1ª categoria - DMT acima de 3.000 m</v>
      </c>
      <c r="W18" s="85" t="str">
        <f t="shared" ref="W18:W21" si="1">HYPERLINK("#"&amp;"'"&amp;T18&amp;"'"&amp;"!A1","LINK")</f>
        <v>LINK</v>
      </c>
    </row>
    <row r="19" spans="2:23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11"/>
      <c r="O19" s="612"/>
      <c r="P19" s="612"/>
      <c r="Q19" s="612"/>
      <c r="R19" s="29"/>
      <c r="T19" s="84" t="s">
        <v>77</v>
      </c>
      <c r="U19" s="83" t="str">
        <f>IF($T19="","",VLOOKUP($T19,RESUMO!$C:$D,2,FALSE))</f>
        <v>Transporte com caminhão basculante de 10 m³ - rodovia pavimentada (DMT 5 Km)</v>
      </c>
      <c r="W19" s="85" t="str">
        <f t="shared" si="1"/>
        <v>LINK</v>
      </c>
    </row>
    <row r="20" spans="2:23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/>
      <c r="O20" s="612"/>
      <c r="P20" s="612"/>
      <c r="Q20" s="612"/>
      <c r="R20" s="29"/>
      <c r="T20" s="84" t="s">
        <v>80</v>
      </c>
      <c r="U20" s="83" t="str">
        <f>IF($T20="","",VLOOKUP($T20,RESUMO!$C:$D,2,FALSE))</f>
        <v>Regularização de bota-fora com espalhamento e execução de hidrossemeadura</v>
      </c>
      <c r="W20" s="85" t="str">
        <f t="shared" si="1"/>
        <v>LINK</v>
      </c>
    </row>
    <row r="21" spans="2:23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/>
      <c r="O21" s="612"/>
      <c r="P21" s="612"/>
      <c r="Q21" s="612"/>
      <c r="R21" s="29"/>
      <c r="T21" s="84" t="s">
        <v>82</v>
      </c>
      <c r="U21" s="83" t="str">
        <f>IF($T21="","",VLOOKUP($T21,RESUMO!$C:$D,2,FALSE))</f>
        <v>Royaltie de bota-fora</v>
      </c>
      <c r="W21" s="85" t="str">
        <f t="shared" si="1"/>
        <v>LINK</v>
      </c>
    </row>
    <row r="22" spans="2:23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/>
      <c r="O22" s="612"/>
      <c r="P22" s="612"/>
      <c r="Q22" s="612"/>
      <c r="R22" s="29"/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 t="shared" ref="M23:M39" si="2">IF(J23="","",J23*K23*L23)</f>
        <v/>
      </c>
      <c r="N23" s="11" t="str">
        <f t="shared" ref="N23:N39" si="3">IF(B23="","",IF(OR(N22="",R23=""),N22,SUM(M23,N22)))</f>
        <v/>
      </c>
      <c r="O23" s="612"/>
      <c r="P23" s="612"/>
      <c r="Q23" s="612"/>
      <c r="R23" s="29"/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 t="shared" si="2"/>
        <v/>
      </c>
      <c r="N24" s="11" t="str">
        <f t="shared" si="3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 t="shared" si="2"/>
        <v/>
      </c>
      <c r="N25" s="11" t="str">
        <f t="shared" si="3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 t="shared" si="2"/>
        <v/>
      </c>
      <c r="N26" s="11" t="str">
        <f t="shared" si="3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 t="shared" si="2"/>
        <v/>
      </c>
      <c r="N27" s="11" t="str">
        <f>IF(B27="","",IF(OR(N26="",R27=""),N26,SUM(M27,N26)))</f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 t="shared" si="2"/>
        <v/>
      </c>
      <c r="N28" s="11" t="str">
        <f t="shared" si="3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 t="shared" si="2"/>
        <v/>
      </c>
      <c r="N29" s="11" t="str">
        <f t="shared" si="3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 t="shared" si="2"/>
        <v/>
      </c>
      <c r="N30" s="11" t="str">
        <f t="shared" si="3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 t="shared" si="2"/>
        <v/>
      </c>
      <c r="N31" s="11" t="str">
        <f t="shared" si="3"/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 t="shared" si="2"/>
        <v/>
      </c>
      <c r="N32" s="11" t="str">
        <f t="shared" si="3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 t="shared" si="2"/>
        <v/>
      </c>
      <c r="N33" s="11" t="str">
        <f t="shared" si="3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 t="shared" si="2"/>
        <v/>
      </c>
      <c r="N34" s="11" t="str">
        <f t="shared" si="3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 t="shared" si="2"/>
        <v/>
      </c>
      <c r="N35" s="11" t="str">
        <f t="shared" si="3"/>
        <v/>
      </c>
      <c r="O35" s="612"/>
      <c r="P35" s="612"/>
      <c r="Q35" s="612"/>
      <c r="R35" s="29"/>
    </row>
    <row r="36" spans="2:18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 t="str">
        <f t="shared" si="2"/>
        <v/>
      </c>
      <c r="N36" s="11" t="str">
        <f t="shared" si="3"/>
        <v/>
      </c>
      <c r="O36" s="612"/>
      <c r="P36" s="612"/>
      <c r="Q36" s="612"/>
      <c r="R36" s="29"/>
    </row>
    <row r="37" spans="2:18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 t="str">
        <f t="shared" si="2"/>
        <v/>
      </c>
      <c r="N37" s="11" t="str">
        <f t="shared" si="3"/>
        <v/>
      </c>
      <c r="O37" s="612"/>
      <c r="P37" s="612"/>
      <c r="Q37" s="612"/>
      <c r="R37" s="29"/>
    </row>
    <row r="38" spans="2:18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 t="str">
        <f t="shared" si="2"/>
        <v/>
      </c>
      <c r="N38" s="11" t="str">
        <f t="shared" si="3"/>
        <v/>
      </c>
      <c r="O38" s="612"/>
      <c r="P38" s="612"/>
      <c r="Q38" s="612"/>
      <c r="R38" s="29"/>
    </row>
    <row r="39" spans="2:18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 t="str">
        <f t="shared" si="2"/>
        <v/>
      </c>
      <c r="N39" s="12" t="str">
        <f t="shared" si="3"/>
        <v/>
      </c>
      <c r="O39" s="634"/>
      <c r="P39" s="634"/>
      <c r="Q39" s="634"/>
      <c r="R39" s="34"/>
    </row>
    <row r="40" spans="2:18" ht="19.899999999999999" customHeight="1" thickTop="1" x14ac:dyDescent="0.25"/>
  </sheetData>
  <mergeCells count="73">
    <mergeCell ref="O36:Q36"/>
    <mergeCell ref="O37:Q37"/>
    <mergeCell ref="O38:Q38"/>
    <mergeCell ref="O39:Q39"/>
    <mergeCell ref="O30:Q30"/>
    <mergeCell ref="O31:Q31"/>
    <mergeCell ref="O32:Q32"/>
    <mergeCell ref="O33:Q33"/>
    <mergeCell ref="O34:Q34"/>
    <mergeCell ref="O35:Q35"/>
    <mergeCell ref="T15:U15"/>
    <mergeCell ref="O29:Q29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17:Q17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C13:F13"/>
    <mergeCell ref="H13:O13"/>
    <mergeCell ref="Q13:R13"/>
    <mergeCell ref="R15:R16"/>
    <mergeCell ref="B8:D8"/>
    <mergeCell ref="E8:F8"/>
    <mergeCell ref="G8:H8"/>
    <mergeCell ref="J8:R8"/>
    <mergeCell ref="B9:D9"/>
    <mergeCell ref="E9:F9"/>
    <mergeCell ref="G9:H9"/>
    <mergeCell ref="J9:R9"/>
    <mergeCell ref="B11:F11"/>
    <mergeCell ref="G11:R11"/>
    <mergeCell ref="C12:F12"/>
    <mergeCell ref="H12:O12"/>
    <mergeCell ref="Q12:R12"/>
    <mergeCell ref="B6:D6"/>
    <mergeCell ref="E6:F6"/>
    <mergeCell ref="G6:H6"/>
    <mergeCell ref="J6:R6"/>
    <mergeCell ref="B7:D7"/>
    <mergeCell ref="E7:F7"/>
    <mergeCell ref="G7:H7"/>
    <mergeCell ref="J7:R7"/>
    <mergeCell ref="B4:D4"/>
    <mergeCell ref="E4:F4"/>
    <mergeCell ref="G4:H4"/>
    <mergeCell ref="J4:R4"/>
    <mergeCell ref="B5:D5"/>
    <mergeCell ref="E5:F5"/>
    <mergeCell ref="G5:H5"/>
    <mergeCell ref="J5:R5"/>
    <mergeCell ref="B2:D3"/>
    <mergeCell ref="E2:H2"/>
    <mergeCell ref="J2:R2"/>
    <mergeCell ref="T2:U2"/>
    <mergeCell ref="E3:F3"/>
    <mergeCell ref="G3:H3"/>
    <mergeCell ref="J3:R3"/>
  </mergeCells>
  <conditionalFormatting sqref="B17:O39 R17:R39">
    <cfRule type="containsBlanks" dxfId="108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C15C-76FA-4EAE-B11D-DA4E451AF3BA}">
  <sheetPr>
    <pageSetUpPr fitToPage="1"/>
  </sheetPr>
  <dimension ref="B1:W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5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139.47999999999999</v>
      </c>
      <c r="F4" s="653"/>
      <c r="G4" s="640">
        <f t="shared" ref="G4:G9" si="0">E4*$Q$13</f>
        <v>2722.63</v>
      </c>
      <c r="H4" s="641"/>
      <c r="J4" s="613"/>
      <c r="K4" s="614"/>
      <c r="L4" s="614"/>
      <c r="M4" s="614"/>
      <c r="N4" s="614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139.47900000000001</v>
      </c>
      <c r="F5" s="654"/>
      <c r="G5" s="642">
        <f t="shared" si="0"/>
        <v>2722.6104801405227</v>
      </c>
      <c r="H5" s="643"/>
      <c r="J5" s="613"/>
      <c r="K5" s="614"/>
      <c r="L5" s="614"/>
      <c r="M5" s="614"/>
      <c r="N5" s="614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9.9999999997635314E-4</v>
      </c>
      <c r="F7" s="645"/>
      <c r="G7" s="642">
        <f t="shared" si="0"/>
        <v>1.951985947759979E-2</v>
      </c>
      <c r="H7" s="643"/>
      <c r="J7" s="613"/>
      <c r="K7" s="614"/>
      <c r="L7" s="614"/>
      <c r="M7" s="614"/>
      <c r="N7" s="614"/>
      <c r="O7" s="614"/>
      <c r="P7" s="614"/>
      <c r="Q7" s="614"/>
      <c r="R7" s="615"/>
    </row>
    <row r="8" spans="2:21" ht="15" customHeight="1" x14ac:dyDescent="0.25">
      <c r="B8" s="655" t="s">
        <v>300</v>
      </c>
      <c r="C8" s="656"/>
      <c r="D8" s="656"/>
      <c r="E8" s="657">
        <f>SUM(M:M)-E5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5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139.47900000000001</v>
      </c>
      <c r="F9" s="646"/>
      <c r="G9" s="660">
        <f t="shared" si="0"/>
        <v>2722.6104801405227</v>
      </c>
      <c r="H9" s="661"/>
      <c r="J9" s="616"/>
      <c r="K9" s="617"/>
      <c r="L9" s="617"/>
      <c r="M9" s="617"/>
      <c r="N9" s="617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RESUMO!C13</f>
        <v>B.1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RESUMO!C21</f>
        <v>B.1.8</v>
      </c>
      <c r="H13" s="623" t="str">
        <f>IF($G$13="","",VLOOKUP($G$13,RESUMO!$C:$F,2,FALSE))</f>
        <v>Escavação e carga de material de 2ª categoria - DMT acima de 3.000 m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m³</v>
      </c>
      <c r="Q13" s="621">
        <f>IF($G$13="","",VLOOKUP($G$13,RESUMO!$C:$F,4,FALSE))</f>
        <v>19.519859478061374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9" t="s">
        <v>323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10" t="s">
        <v>322</v>
      </c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0</v>
      </c>
      <c r="F17" s="21"/>
      <c r="G17" s="22"/>
      <c r="H17" s="20" t="s">
        <v>324</v>
      </c>
      <c r="I17" s="23" t="s">
        <v>325</v>
      </c>
      <c r="J17" s="23"/>
      <c r="K17" s="23"/>
      <c r="L17" s="23"/>
      <c r="M17" s="23">
        <v>139.47900000000001</v>
      </c>
      <c r="N17" s="23">
        <f>IF(OR(B17="",M17=""),"",IF(AND(N16="",R17=""),N16,SUM(M17,N16)))</f>
        <v>139.47900000000001</v>
      </c>
      <c r="O17" s="612" t="s">
        <v>326</v>
      </c>
      <c r="P17" s="612"/>
      <c r="Q17" s="612"/>
      <c r="R17" s="24">
        <v>3</v>
      </c>
      <c r="T17" s="84" t="s">
        <v>72</v>
      </c>
      <c r="U17" s="83" t="str">
        <f>IF($T17="","",VLOOKUP($T17,RESUMO!$C:$D,2,FALSE))</f>
        <v>Escavação, carga e transporte de material de 1ª categoria - DMT de 800 a 1.000 m - caminho de serviço pavimentado - com escavadeira e caminhão basculante de 14 m³</v>
      </c>
      <c r="W17" s="85" t="str">
        <f>HYPERLINK("#"&amp;"'"&amp;T17&amp;"'"&amp;"!A1","LINK")</f>
        <v>LINK</v>
      </c>
    </row>
    <row r="18" spans="2:23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11"/>
      <c r="N18" s="11"/>
      <c r="O18" s="612"/>
      <c r="P18" s="612"/>
      <c r="Q18" s="612"/>
      <c r="R18" s="29"/>
      <c r="T18" s="84" t="s">
        <v>75</v>
      </c>
      <c r="U18" s="83" t="str">
        <f>IF($T18="","",VLOOKUP($T18,RESUMO!$C:$D,2,FALSE))</f>
        <v>Escavação e carga de material de 1ª categoria - DMT acima de 3.000 m</v>
      </c>
      <c r="W18" s="85" t="str">
        <f t="shared" ref="W18:W21" si="1">HYPERLINK("#"&amp;"'"&amp;T18&amp;"'"&amp;"!A1","LINK")</f>
        <v>LINK</v>
      </c>
    </row>
    <row r="19" spans="2:23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11"/>
      <c r="O19" s="612"/>
      <c r="P19" s="612"/>
      <c r="Q19" s="612"/>
      <c r="R19" s="29"/>
      <c r="T19" s="84" t="s">
        <v>77</v>
      </c>
      <c r="U19" s="83" t="str">
        <f>IF($T19="","",VLOOKUP($T19,RESUMO!$C:$D,2,FALSE))</f>
        <v>Transporte com caminhão basculante de 10 m³ - rodovia pavimentada (DMT 5 Km)</v>
      </c>
      <c r="W19" s="85" t="str">
        <f t="shared" si="1"/>
        <v>LINK</v>
      </c>
    </row>
    <row r="20" spans="2:23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/>
      <c r="O20" s="612"/>
      <c r="P20" s="612"/>
      <c r="Q20" s="612"/>
      <c r="R20" s="29"/>
      <c r="T20" s="84" t="s">
        <v>80</v>
      </c>
      <c r="U20" s="83" t="str">
        <f>IF($T20="","",VLOOKUP($T20,RESUMO!$C:$D,2,FALSE))</f>
        <v>Regularização de bota-fora com espalhamento e execução de hidrossemeadura</v>
      </c>
      <c r="W20" s="85" t="str">
        <f t="shared" si="1"/>
        <v>LINK</v>
      </c>
    </row>
    <row r="21" spans="2:23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/>
      <c r="O21" s="612"/>
      <c r="P21" s="612"/>
      <c r="Q21" s="612"/>
      <c r="R21" s="29"/>
      <c r="T21" s="84" t="s">
        <v>82</v>
      </c>
      <c r="U21" s="83" t="str">
        <f>IF($T21="","",VLOOKUP($T21,RESUMO!$C:$D,2,FALSE))</f>
        <v>Royaltie de bota-fora</v>
      </c>
      <c r="W21" s="85" t="str">
        <f t="shared" si="1"/>
        <v>LINK</v>
      </c>
    </row>
    <row r="22" spans="2:23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/>
      <c r="O22" s="612"/>
      <c r="P22" s="612"/>
      <c r="Q22" s="612"/>
      <c r="R22" s="29"/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 t="shared" ref="M23:M39" si="2">IF(J23="","",J23*K23*L23)</f>
        <v/>
      </c>
      <c r="N23" s="11" t="str">
        <f t="shared" ref="N23:N39" si="3">IF(B23="","",IF(OR(N22="",R23=""),N22,SUM(M23,N22)))</f>
        <v/>
      </c>
      <c r="O23" s="612"/>
      <c r="P23" s="612"/>
      <c r="Q23" s="612"/>
      <c r="R23" s="29"/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 t="shared" si="2"/>
        <v/>
      </c>
      <c r="N24" s="11" t="str">
        <f t="shared" si="3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 t="shared" si="2"/>
        <v/>
      </c>
      <c r="N25" s="11" t="str">
        <f t="shared" si="3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 t="shared" si="2"/>
        <v/>
      </c>
      <c r="N26" s="11" t="str">
        <f t="shared" si="3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 t="shared" si="2"/>
        <v/>
      </c>
      <c r="N27" s="11" t="str">
        <f>IF(B27="","",IF(OR(N26="",R27=""),N26,SUM(M27,N26)))</f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 t="shared" si="2"/>
        <v/>
      </c>
      <c r="N28" s="11" t="str">
        <f t="shared" si="3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 t="shared" si="2"/>
        <v/>
      </c>
      <c r="N29" s="11" t="str">
        <f t="shared" si="3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 t="shared" si="2"/>
        <v/>
      </c>
      <c r="N30" s="11" t="str">
        <f t="shared" si="3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 t="shared" si="2"/>
        <v/>
      </c>
      <c r="N31" s="11" t="str">
        <f t="shared" si="3"/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 t="shared" si="2"/>
        <v/>
      </c>
      <c r="N32" s="11" t="str">
        <f t="shared" si="3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 t="shared" si="2"/>
        <v/>
      </c>
      <c r="N33" s="11" t="str">
        <f t="shared" si="3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 t="shared" si="2"/>
        <v/>
      </c>
      <c r="N34" s="11" t="str">
        <f t="shared" si="3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 t="shared" si="2"/>
        <v/>
      </c>
      <c r="N35" s="11" t="str">
        <f t="shared" si="3"/>
        <v/>
      </c>
      <c r="O35" s="612"/>
      <c r="P35" s="612"/>
      <c r="Q35" s="612"/>
      <c r="R35" s="29"/>
    </row>
    <row r="36" spans="2:18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 t="str">
        <f t="shared" si="2"/>
        <v/>
      </c>
      <c r="N36" s="11" t="str">
        <f t="shared" si="3"/>
        <v/>
      </c>
      <c r="O36" s="612"/>
      <c r="P36" s="612"/>
      <c r="Q36" s="612"/>
      <c r="R36" s="29"/>
    </row>
    <row r="37" spans="2:18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 t="str">
        <f t="shared" si="2"/>
        <v/>
      </c>
      <c r="N37" s="11" t="str">
        <f t="shared" si="3"/>
        <v/>
      </c>
      <c r="O37" s="612"/>
      <c r="P37" s="612"/>
      <c r="Q37" s="612"/>
      <c r="R37" s="29"/>
    </row>
    <row r="38" spans="2:18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 t="str">
        <f t="shared" si="2"/>
        <v/>
      </c>
      <c r="N38" s="11" t="str">
        <f t="shared" si="3"/>
        <v/>
      </c>
      <c r="O38" s="612"/>
      <c r="P38" s="612"/>
      <c r="Q38" s="612"/>
      <c r="R38" s="29"/>
    </row>
    <row r="39" spans="2:18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 t="str">
        <f t="shared" si="2"/>
        <v/>
      </c>
      <c r="N39" s="12" t="str">
        <f t="shared" si="3"/>
        <v/>
      </c>
      <c r="O39" s="634"/>
      <c r="P39" s="634"/>
      <c r="Q39" s="634"/>
      <c r="R39" s="34"/>
    </row>
    <row r="40" spans="2:18" ht="19.899999999999999" customHeight="1" thickTop="1" x14ac:dyDescent="0.25"/>
  </sheetData>
  <mergeCells count="73">
    <mergeCell ref="O36:Q36"/>
    <mergeCell ref="O37:Q37"/>
    <mergeCell ref="O38:Q38"/>
    <mergeCell ref="O39:Q39"/>
    <mergeCell ref="O30:Q30"/>
    <mergeCell ref="O31:Q31"/>
    <mergeCell ref="O32:Q32"/>
    <mergeCell ref="O33:Q33"/>
    <mergeCell ref="O34:Q34"/>
    <mergeCell ref="O35:Q35"/>
    <mergeCell ref="T15:U15"/>
    <mergeCell ref="O29:Q29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17:Q17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C13:F13"/>
    <mergeCell ref="H13:O13"/>
    <mergeCell ref="Q13:R13"/>
    <mergeCell ref="R15:R16"/>
    <mergeCell ref="B8:D8"/>
    <mergeCell ref="E8:F8"/>
    <mergeCell ref="G8:H8"/>
    <mergeCell ref="J8:R8"/>
    <mergeCell ref="B9:D9"/>
    <mergeCell ref="E9:F9"/>
    <mergeCell ref="G9:H9"/>
    <mergeCell ref="J9:R9"/>
    <mergeCell ref="B11:F11"/>
    <mergeCell ref="G11:R11"/>
    <mergeCell ref="C12:F12"/>
    <mergeCell ref="H12:O12"/>
    <mergeCell ref="Q12:R12"/>
    <mergeCell ref="B6:D6"/>
    <mergeCell ref="E6:F6"/>
    <mergeCell ref="G6:H6"/>
    <mergeCell ref="J6:R6"/>
    <mergeCell ref="B7:D7"/>
    <mergeCell ref="E7:F7"/>
    <mergeCell ref="G7:H7"/>
    <mergeCell ref="J7:R7"/>
    <mergeCell ref="B4:D4"/>
    <mergeCell ref="E4:F4"/>
    <mergeCell ref="G4:H4"/>
    <mergeCell ref="J4:R4"/>
    <mergeCell ref="B5:D5"/>
    <mergeCell ref="E5:F5"/>
    <mergeCell ref="G5:H5"/>
    <mergeCell ref="J5:R5"/>
    <mergeCell ref="B2:D3"/>
    <mergeCell ref="E2:H2"/>
    <mergeCell ref="J2:R2"/>
    <mergeCell ref="T2:U2"/>
    <mergeCell ref="E3:F3"/>
    <mergeCell ref="G3:H3"/>
    <mergeCell ref="J3:R3"/>
  </mergeCells>
  <conditionalFormatting sqref="B17:O39 R17:R39">
    <cfRule type="containsBlanks" dxfId="107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04A9-6056-4F90-B7EC-F6FFC7702B7A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127700.41</v>
      </c>
      <c r="F4" s="653"/>
      <c r="G4" s="640">
        <f t="shared" ref="G4:G9" si="0">E4*$P$13</f>
        <v>297541.95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123846.223</v>
      </c>
      <c r="F5" s="654"/>
      <c r="G5" s="642">
        <f t="shared" si="0"/>
        <v>288561.69444996183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117700.40700000001</v>
      </c>
      <c r="F6" s="654"/>
      <c r="G6" s="642">
        <f t="shared" si="0"/>
        <v>274241.94342503406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3854.1870000000054</v>
      </c>
      <c r="F7" s="645"/>
      <c r="G7" s="642">
        <f t="shared" si="0"/>
        <v>8980.2555500381841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6145.8159999999989</v>
      </c>
      <c r="F9" s="646"/>
      <c r="G9" s="660">
        <f t="shared" si="0"/>
        <v>14319.751024927797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RESUMO!C13</f>
        <v>B.1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RESUMO!C22</f>
        <v>B.1.9</v>
      </c>
      <c r="H13" s="623" t="str">
        <f>IF($G$13="","",VLOOKUP($G$13,RESUMO!$C:$F,2,FALSE))</f>
        <v>Regularização de bota-fora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m³</v>
      </c>
      <c r="P13" s="621">
        <f>IF($G$13="","",VLOOKUP($G$13,RESUMO!$C:$F,4,FALSE))</f>
        <v>2.3299999584966096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330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334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0</v>
      </c>
      <c r="F17" s="21"/>
      <c r="G17" s="22"/>
      <c r="H17" s="20" t="s">
        <v>324</v>
      </c>
      <c r="I17" s="23" t="s">
        <v>325</v>
      </c>
      <c r="J17" s="23">
        <v>55083.697</v>
      </c>
      <c r="K17" s="23"/>
      <c r="L17" s="23">
        <f>J17</f>
        <v>55083.697</v>
      </c>
      <c r="M17" s="23">
        <f>IF(OR(B17="",L17=""),"",IF(AND(M16="",Q17=""),M16,SUM(L17,M16)))</f>
        <v>55083.697</v>
      </c>
      <c r="N17" s="612" t="s">
        <v>326</v>
      </c>
      <c r="O17" s="612"/>
      <c r="P17" s="612"/>
      <c r="Q17" s="24">
        <v>1</v>
      </c>
      <c r="S17" s="84" t="s">
        <v>72</v>
      </c>
      <c r="T17" s="83" t="str">
        <f>IF($S17="","",VLOOKUP($S17,RESUMO!$C:$D,2,FALSE))</f>
        <v>Escavação, carga e transporte de material de 1ª categoria - DMT de 800 a 1.000 m - caminho de serviço pavimentado - com escavadeira e caminhão basculante de 14 m³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297</v>
      </c>
      <c r="E18" s="28">
        <v>0</v>
      </c>
      <c r="F18" s="27"/>
      <c r="G18" s="28"/>
      <c r="H18" s="26" t="s">
        <v>324</v>
      </c>
      <c r="I18" s="11" t="s">
        <v>325</v>
      </c>
      <c r="J18" s="11">
        <v>62616.71</v>
      </c>
      <c r="K18" s="11"/>
      <c r="L18" s="11">
        <f>J18</f>
        <v>62616.71</v>
      </c>
      <c r="M18" s="11">
        <f>IF(B18="","",IF(OR(M17="",Q18=""),M17,SUM(L18,M17)))</f>
        <v>117700.40700000001</v>
      </c>
      <c r="N18" s="612" t="s">
        <v>326</v>
      </c>
      <c r="O18" s="612"/>
      <c r="P18" s="612"/>
      <c r="Q18" s="29">
        <v>2</v>
      </c>
      <c r="S18" s="84" t="s">
        <v>75</v>
      </c>
      <c r="T18" s="83" t="str">
        <f>IF($S18="","",VLOOKUP($S18,RESUMO!$C:$D,2,FALSE))</f>
        <v>Escavação e carga de material de 1ª categoria - DMT acima de 3.000 m</v>
      </c>
      <c r="V18" s="85" t="str">
        <f t="shared" ref="V18:V21" si="1">HYPERLINK("#"&amp;"'"&amp;S18&amp;"'"&amp;"!A1","LINK")</f>
        <v>LINK</v>
      </c>
    </row>
    <row r="19" spans="2:22" ht="19.899999999999999" customHeight="1" x14ac:dyDescent="0.25">
      <c r="B19" s="25" t="s">
        <v>316</v>
      </c>
      <c r="C19" s="26" t="s">
        <v>306</v>
      </c>
      <c r="D19" s="27">
        <v>297</v>
      </c>
      <c r="E19" s="28">
        <v>0</v>
      </c>
      <c r="F19" s="27"/>
      <c r="G19" s="28"/>
      <c r="H19" s="26" t="s">
        <v>324</v>
      </c>
      <c r="I19" s="11" t="s">
        <v>325</v>
      </c>
      <c r="J19" s="11">
        <f>68762.526-J18</f>
        <v>6145.8159999999989</v>
      </c>
      <c r="K19" s="11"/>
      <c r="L19" s="11">
        <f>J19</f>
        <v>6145.8159999999989</v>
      </c>
      <c r="M19" s="11">
        <f>IF(B19="","",IF(OR(M18="",Q19=""),M18,SUM(L19,M18)))</f>
        <v>123846.223</v>
      </c>
      <c r="N19" s="612" t="s">
        <v>326</v>
      </c>
      <c r="O19" s="612"/>
      <c r="P19" s="612"/>
      <c r="Q19" s="29">
        <v>3</v>
      </c>
      <c r="S19" s="84" t="s">
        <v>77</v>
      </c>
      <c r="T19" s="83" t="str">
        <f>IF($S19="","",VLOOKUP($S19,RESUMO!$C:$D,2,FALSE))</f>
        <v>Transporte com caminhão basculante de 10 m³ - rodovia pavimentada (DMT 5 Km)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ref="L20:L36" si="2">IF(J20="","",J20*K20)</f>
        <v/>
      </c>
      <c r="M20" s="11" t="str">
        <f t="shared" ref="M20:M36" si="3">IF(B20="","",IF(OR(M19="",Q20=""),M19,SUM(L20,M19)))</f>
        <v/>
      </c>
      <c r="N20" s="612"/>
      <c r="O20" s="612"/>
      <c r="P20" s="612"/>
      <c r="Q20" s="29"/>
      <c r="S20" s="84" t="s">
        <v>80</v>
      </c>
      <c r="T20" s="83" t="str">
        <f>IF($S20="","",VLOOKUP($S20,RESUMO!$C:$D,2,FALSE))</f>
        <v>Regularização de bota-fora com espalhamento e execução de hidrossemeadura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2"/>
        <v/>
      </c>
      <c r="M21" s="11" t="str">
        <f t="shared" si="3"/>
        <v/>
      </c>
      <c r="N21" s="612"/>
      <c r="O21" s="612"/>
      <c r="P21" s="612"/>
      <c r="Q21" s="29"/>
      <c r="S21" s="84" t="s">
        <v>82</v>
      </c>
      <c r="T21" s="83" t="str">
        <f>IF($S21="","",VLOOKUP($S21,RESUMO!$C:$D,2,FALSE))</f>
        <v>Royaltie de bota-fora</v>
      </c>
      <c r="V21" s="85" t="str">
        <f t="shared" si="1"/>
        <v>LINK</v>
      </c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2"/>
        <v/>
      </c>
      <c r="M22" s="11" t="str">
        <f t="shared" si="3"/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 Q17:Q36">
    <cfRule type="containsBlanks" dxfId="106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C8CC-3B43-452A-AA7C-92B3EC4997BB}">
  <sheetPr>
    <pageSetUpPr fitToPage="1"/>
  </sheetPr>
  <dimension ref="B1:W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5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0</v>
      </c>
      <c r="F4" s="653"/>
      <c r="G4" s="640">
        <f t="shared" ref="G4:G9" si="0">E4*$Q$13</f>
        <v>0</v>
      </c>
      <c r="H4" s="641"/>
      <c r="J4" s="613"/>
      <c r="K4" s="614"/>
      <c r="L4" s="614"/>
      <c r="M4" s="614"/>
      <c r="N4" s="614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0</v>
      </c>
      <c r="F7" s="645"/>
      <c r="G7" s="642">
        <f t="shared" si="0"/>
        <v>0</v>
      </c>
      <c r="H7" s="643"/>
      <c r="J7" s="613"/>
      <c r="K7" s="614"/>
      <c r="L7" s="614"/>
      <c r="M7" s="614"/>
      <c r="N7" s="614"/>
      <c r="O7" s="614"/>
      <c r="P7" s="614"/>
      <c r="Q7" s="614"/>
      <c r="R7" s="615"/>
    </row>
    <row r="8" spans="2:21" ht="15" customHeight="1" x14ac:dyDescent="0.25">
      <c r="B8" s="655" t="s">
        <v>300</v>
      </c>
      <c r="C8" s="656"/>
      <c r="D8" s="656"/>
      <c r="E8" s="657">
        <f>SUM(M:M)-E5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5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RESUMO!C23</f>
        <v>B.2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RESUMO!C24</f>
        <v>B.2.1</v>
      </c>
      <c r="H13" s="623" t="str">
        <f>IF($G$13="","",VLOOKUP($G$13,RESUMO!$C:$F,2,FALSE))</f>
        <v>Demolição de dispositivos de drenagem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m³</v>
      </c>
      <c r="Q13" s="621">
        <f>IF($G$13="","",VLOOKUP($G$13,RESUMO!$C:$F,4,FALSE))</f>
        <v>0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9" t="s">
        <v>323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10" t="s">
        <v>322</v>
      </c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/>
      <c r="C17" s="20"/>
      <c r="D17" s="21"/>
      <c r="E17" s="22"/>
      <c r="F17" s="21"/>
      <c r="G17" s="22"/>
      <c r="H17" s="20"/>
      <c r="I17" s="23"/>
      <c r="J17" s="23"/>
      <c r="K17" s="23"/>
      <c r="L17" s="23"/>
      <c r="M17" s="23" t="str">
        <f>IF(J17="","",J17*K17*L17)</f>
        <v/>
      </c>
      <c r="N17" s="23" t="str">
        <f>IF(OR(B17="",M17=""),"",IF(AND(N16="",R17=""),N16,SUM(M17,N16)))</f>
        <v/>
      </c>
      <c r="O17" s="635"/>
      <c r="P17" s="635"/>
      <c r="Q17" s="635"/>
      <c r="R17" s="82"/>
      <c r="T17" s="84" t="s">
        <v>86</v>
      </c>
      <c r="U17" s="83" t="str">
        <f>IF($T17="","",VLOOKUP($T17,RESUMO!$C:$D,2,FALSE))</f>
        <v>Demolição de dispositivos de drenagem</v>
      </c>
      <c r="W17" s="85" t="str">
        <f>HYPERLINK("#"&amp;"'"&amp;T17&amp;"'"&amp;"!A1","LINK")</f>
        <v>LINK</v>
      </c>
    </row>
    <row r="18" spans="2:23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11" t="str">
        <f t="shared" ref="M18:M39" si="1">IF(J18="","",J18*K18*L18)</f>
        <v/>
      </c>
      <c r="N18" s="11" t="str">
        <f>IF(B18="","",IF(OR(N17="",R18=""),N17,SUM(M18,N17)))</f>
        <v/>
      </c>
      <c r="O18" s="612"/>
      <c r="P18" s="612"/>
      <c r="Q18" s="612"/>
      <c r="R18" s="29"/>
      <c r="T18" s="84" t="s">
        <v>88</v>
      </c>
      <c r="U18" s="83" t="str">
        <f>IF($T18="","",VLOOKUP($T18,RESUMO!$C:$D,2,FALSE))</f>
        <v>Sarjeta triangular de concreto - STC 150-30 - escavação mecânica - areia e brita comerciais</v>
      </c>
      <c r="W18" s="85" t="str">
        <f>HYPERLINK("#"&amp;"'"&amp;T18&amp;"'"&amp;"!A1","LINK")</f>
        <v>LINK</v>
      </c>
    </row>
    <row r="19" spans="2:23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 t="str">
        <f t="shared" si="1"/>
        <v/>
      </c>
      <c r="N19" s="11" t="str">
        <f>IF(B19="","",IF(OR(N18="",R19=""),N18,SUM(M19,N18)))</f>
        <v/>
      </c>
      <c r="O19" s="612"/>
      <c r="P19" s="612"/>
      <c r="Q19" s="612"/>
      <c r="R19" s="29"/>
      <c r="T19" s="84" t="s">
        <v>91</v>
      </c>
      <c r="U19" s="83" t="str">
        <f>IF($T19="","",VLOOKUP($T19,RESUMO!$C:$D,2,FALSE))</f>
        <v>Valeta de proteção de cortes com revestimento de concreto - VPC 04 - areia e brita comerciais</v>
      </c>
      <c r="W19" s="85" t="str">
        <f>HYPERLINK("#"&amp;"'"&amp;T19&amp;"'"&amp;"!A1","LINK")</f>
        <v>LINK</v>
      </c>
    </row>
    <row r="20" spans="2:23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 t="str">
        <f t="shared" si="1"/>
        <v/>
      </c>
      <c r="N20" s="11" t="str">
        <f t="shared" ref="N20:N39" si="2">IF(B20="","",IF(OR(N19="",R20=""),N19,SUM(M20,N19)))</f>
        <v/>
      </c>
      <c r="O20" s="612"/>
      <c r="P20" s="612"/>
      <c r="Q20" s="612"/>
      <c r="R20" s="29"/>
      <c r="T20" s="84" t="s">
        <v>93</v>
      </c>
      <c r="U20" s="83" t="str">
        <f>IF($T20="","",VLOOKUP($T20,RESUMO!$C:$D,2,FALSE))</f>
        <v>Caixa coletora A6 - CCS 200-60A</v>
      </c>
      <c r="W20" s="85" t="str">
        <f>HYPERLINK("#"&amp;"'"&amp;T20&amp;"'"&amp;"!A1","LINK")</f>
        <v>LINK</v>
      </c>
    </row>
    <row r="21" spans="2:23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 t="str">
        <f t="shared" si="1"/>
        <v/>
      </c>
      <c r="N21" s="11" t="str">
        <f t="shared" si="2"/>
        <v/>
      </c>
      <c r="O21" s="612"/>
      <c r="P21" s="612"/>
      <c r="Q21" s="612"/>
      <c r="R21" s="29"/>
      <c r="T21" s="84" t="s">
        <v>96</v>
      </c>
      <c r="U21" s="83" t="str">
        <f>IF($T21="","",VLOOKUP($T21,RESUMO!$C:$D,2,FALSE))</f>
        <v>Descida d'água de cortes em degraus - DCD 02 - areia e brita comerciais</v>
      </c>
      <c r="W21" s="85" t="str">
        <f>HYPERLINK("#"&amp;"'"&amp;T21&amp;"'"&amp;"!A1","LINK")</f>
        <v>LINK</v>
      </c>
    </row>
    <row r="22" spans="2:23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 t="str">
        <f t="shared" si="1"/>
        <v/>
      </c>
      <c r="N22" s="11" t="str">
        <f t="shared" si="2"/>
        <v/>
      </c>
      <c r="O22" s="612"/>
      <c r="P22" s="612"/>
      <c r="Q22" s="612"/>
      <c r="R22" s="29"/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 t="shared" si="1"/>
        <v/>
      </c>
      <c r="N23" s="11" t="str">
        <f t="shared" si="2"/>
        <v/>
      </c>
      <c r="O23" s="612"/>
      <c r="P23" s="612"/>
      <c r="Q23" s="612"/>
      <c r="R23" s="29"/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 t="shared" si="1"/>
        <v/>
      </c>
      <c r="N24" s="11" t="str">
        <f t="shared" si="2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 t="shared" si="1"/>
        <v/>
      </c>
      <c r="N25" s="11" t="str">
        <f t="shared" si="2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 t="shared" si="1"/>
        <v/>
      </c>
      <c r="N26" s="11" t="str">
        <f t="shared" si="2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 t="shared" si="1"/>
        <v/>
      </c>
      <c r="N27" s="11" t="str">
        <f t="shared" si="2"/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 t="shared" si="1"/>
        <v/>
      </c>
      <c r="N28" s="11" t="str">
        <f t="shared" si="2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 t="shared" si="1"/>
        <v/>
      </c>
      <c r="N29" s="11" t="str">
        <f t="shared" si="2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 t="shared" si="1"/>
        <v/>
      </c>
      <c r="N30" s="11" t="str">
        <f t="shared" si="2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 t="shared" si="1"/>
        <v/>
      </c>
      <c r="N31" s="11" t="str">
        <f t="shared" si="2"/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 t="shared" si="1"/>
        <v/>
      </c>
      <c r="N32" s="11" t="str">
        <f t="shared" si="2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 t="shared" si="1"/>
        <v/>
      </c>
      <c r="N33" s="11" t="str">
        <f t="shared" si="2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 t="shared" si="1"/>
        <v/>
      </c>
      <c r="N34" s="11" t="str">
        <f t="shared" si="2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 t="shared" si="1"/>
        <v/>
      </c>
      <c r="N35" s="11" t="str">
        <f t="shared" si="2"/>
        <v/>
      </c>
      <c r="O35" s="612"/>
      <c r="P35" s="612"/>
      <c r="Q35" s="612"/>
      <c r="R35" s="29"/>
    </row>
    <row r="36" spans="2:18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 t="str">
        <f t="shared" si="1"/>
        <v/>
      </c>
      <c r="N36" s="11" t="str">
        <f t="shared" si="2"/>
        <v/>
      </c>
      <c r="O36" s="612"/>
      <c r="P36" s="612"/>
      <c r="Q36" s="612"/>
      <c r="R36" s="29"/>
    </row>
    <row r="37" spans="2:18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 t="str">
        <f t="shared" si="1"/>
        <v/>
      </c>
      <c r="N37" s="11" t="str">
        <f t="shared" si="2"/>
        <v/>
      </c>
      <c r="O37" s="612"/>
      <c r="P37" s="612"/>
      <c r="Q37" s="612"/>
      <c r="R37" s="29"/>
    </row>
    <row r="38" spans="2:18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 t="str">
        <f t="shared" si="1"/>
        <v/>
      </c>
      <c r="N38" s="11" t="str">
        <f t="shared" si="2"/>
        <v/>
      </c>
      <c r="O38" s="612"/>
      <c r="P38" s="612"/>
      <c r="Q38" s="612"/>
      <c r="R38" s="29"/>
    </row>
    <row r="39" spans="2:18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 t="str">
        <f t="shared" si="1"/>
        <v/>
      </c>
      <c r="N39" s="12" t="str">
        <f t="shared" si="2"/>
        <v/>
      </c>
      <c r="O39" s="634"/>
      <c r="P39" s="634"/>
      <c r="Q39" s="634"/>
      <c r="R39" s="34"/>
    </row>
    <row r="40" spans="2:18" ht="19.899999999999999" customHeight="1" thickTop="1" x14ac:dyDescent="0.25"/>
  </sheetData>
  <mergeCells count="73">
    <mergeCell ref="O36:Q36"/>
    <mergeCell ref="O37:Q37"/>
    <mergeCell ref="O38:Q38"/>
    <mergeCell ref="O39:Q39"/>
    <mergeCell ref="O30:Q30"/>
    <mergeCell ref="O31:Q31"/>
    <mergeCell ref="O32:Q32"/>
    <mergeCell ref="O33:Q33"/>
    <mergeCell ref="O34:Q34"/>
    <mergeCell ref="O35:Q35"/>
    <mergeCell ref="T15:U15"/>
    <mergeCell ref="O29:Q29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17:Q17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C13:F13"/>
    <mergeCell ref="H13:O13"/>
    <mergeCell ref="Q13:R13"/>
    <mergeCell ref="R15:R16"/>
    <mergeCell ref="B8:D8"/>
    <mergeCell ref="E8:F8"/>
    <mergeCell ref="G8:H8"/>
    <mergeCell ref="J8:R8"/>
    <mergeCell ref="B9:D9"/>
    <mergeCell ref="E9:F9"/>
    <mergeCell ref="G9:H9"/>
    <mergeCell ref="J9:R9"/>
    <mergeCell ref="B11:F11"/>
    <mergeCell ref="G11:R11"/>
    <mergeCell ref="C12:F12"/>
    <mergeCell ref="H12:O12"/>
    <mergeCell ref="Q12:R12"/>
    <mergeCell ref="B6:D6"/>
    <mergeCell ref="E6:F6"/>
    <mergeCell ref="G6:H6"/>
    <mergeCell ref="J6:R6"/>
    <mergeCell ref="B7:D7"/>
    <mergeCell ref="E7:F7"/>
    <mergeCell ref="G7:H7"/>
    <mergeCell ref="J7:R7"/>
    <mergeCell ref="B4:D4"/>
    <mergeCell ref="E4:F4"/>
    <mergeCell ref="G4:H4"/>
    <mergeCell ref="J4:R4"/>
    <mergeCell ref="B5:D5"/>
    <mergeCell ref="E5:F5"/>
    <mergeCell ref="G5:H5"/>
    <mergeCell ref="J5:R5"/>
    <mergeCell ref="B2:D3"/>
    <mergeCell ref="E2:H2"/>
    <mergeCell ref="J2:R2"/>
    <mergeCell ref="T2:U2"/>
    <mergeCell ref="E3:F3"/>
    <mergeCell ref="G3:H3"/>
    <mergeCell ref="J3:R3"/>
  </mergeCells>
  <phoneticPr fontId="16" type="noConversion"/>
  <conditionalFormatting sqref="B17:O39 R17:R39">
    <cfRule type="containsBlanks" dxfId="105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446A-67B0-4EFF-9C88-28B3CEF917B8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0</v>
      </c>
      <c r="F4" s="653"/>
      <c r="G4" s="640">
        <f t="shared" ref="G4:G9" si="0">E4*$P$13</f>
        <v>0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0</v>
      </c>
      <c r="F7" s="645"/>
      <c r="G7" s="642">
        <f t="shared" si="0"/>
        <v>0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RESUMO!C23</f>
        <v>B.2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RESUMO!C25</f>
        <v>B.2.2</v>
      </c>
      <c r="H13" s="623" t="str">
        <f>IF($G$13="","",VLOOKUP($G$13,RESUMO!$C:$F,2,FALSE))</f>
        <v>Sarjeta triangular de concreto - STC 150-30 - escavação mecânica - areia e brita comerciais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</v>
      </c>
      <c r="P13" s="621">
        <f>IF($G$13="","",VLOOKUP($G$13,RESUMO!$C:$F,4,FALSE))</f>
        <v>0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/>
      <c r="C17" s="20"/>
      <c r="D17" s="21"/>
      <c r="E17" s="22"/>
      <c r="F17" s="21"/>
      <c r="G17" s="22"/>
      <c r="H17" s="20"/>
      <c r="I17" s="23"/>
      <c r="J17" s="23"/>
      <c r="K17" s="23"/>
      <c r="L17" s="23" t="str">
        <f>IF(J17="","",J17*K17)</f>
        <v/>
      </c>
      <c r="M17" s="23" t="str">
        <f>IF(OR(B17="",L17=""),"",IF(AND(M16="",Q17=""),M16,SUM(L17,M16)))</f>
        <v/>
      </c>
      <c r="N17" s="635"/>
      <c r="O17" s="635"/>
      <c r="P17" s="635"/>
      <c r="Q17" s="24"/>
      <c r="S17" s="84" t="s">
        <v>72</v>
      </c>
      <c r="T17" s="83" t="str">
        <f>IF($S17="","",VLOOKUP($S17,RESUMO!$C:$D,2,FALSE))</f>
        <v>Escavação, carga e transporte de material de 1ª categoria - DMT de 800 a 1.000 m - caminho de serviço pavimentado - com escavadeira e caminhão basculante de 14 m³</v>
      </c>
      <c r="V17" s="85" t="str">
        <f>HYPERLINK("#"&amp;"'"&amp;S17&amp;"'"&amp;"!A1","LINK")</f>
        <v>LINK</v>
      </c>
    </row>
    <row r="18" spans="2:22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 t="str">
        <f>IF(J18="","",J18*K18)</f>
        <v/>
      </c>
      <c r="M18" s="11" t="str">
        <f>IF(B18="","",IF(OR(M17="",Q18=""),M17,SUM(L18,M17)))</f>
        <v/>
      </c>
      <c r="N18" s="612"/>
      <c r="O18" s="612"/>
      <c r="P18" s="612"/>
      <c r="Q18" s="29"/>
      <c r="S18" s="84" t="s">
        <v>75</v>
      </c>
      <c r="T18" s="83" t="str">
        <f>IF($S18="","",VLOOKUP($S18,RESUMO!$C:$D,2,FALSE))</f>
        <v>Escavação e carga de material de 1ª categoria - DMT acima de 3.000 m</v>
      </c>
      <c r="V18" s="85" t="str">
        <f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 t="str">
        <f t="shared" ref="L19:L36" si="1">IF(J19="","",J19*K19)</f>
        <v/>
      </c>
      <c r="M19" s="11" t="str">
        <f>IF(B19="","",IF(OR(M18="",Q19=""),M18,SUM(L19,M18)))</f>
        <v/>
      </c>
      <c r="N19" s="612"/>
      <c r="O19" s="612"/>
      <c r="P19" s="612"/>
      <c r="Q19" s="29"/>
      <c r="S19" s="84" t="s">
        <v>80</v>
      </c>
      <c r="T19" s="83" t="str">
        <f>IF($S19="","",VLOOKUP($S19,RESUMO!$C:$D,2,FALSE))</f>
        <v>Regularização de bota-fora com espalhamento e execução de hidrossemeadura</v>
      </c>
      <c r="V19" s="85" t="str">
        <f>HYPERLINK("#"&amp;"'"&amp;S19&amp;"'"&amp;"!A1","LINK")</f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si="1"/>
        <v/>
      </c>
      <c r="M20" s="11" t="str">
        <f t="shared" ref="M20:M36" si="2">IF(B20="","",IF(OR(M19="",Q20=""),M19,SUM(L20,M19)))</f>
        <v/>
      </c>
      <c r="N20" s="612"/>
      <c r="O20" s="612"/>
      <c r="P20" s="612"/>
      <c r="Q20" s="29"/>
      <c r="S20" s="84" t="s">
        <v>82</v>
      </c>
      <c r="T20" s="83" t="str">
        <f>IF($S20="","",VLOOKUP($S20,RESUMO!$C:$D,2,FALSE))</f>
        <v>Royaltie de bota-fora</v>
      </c>
      <c r="V20" s="85" t="str">
        <f>HYPERLINK("#"&amp;"'"&amp;S20&amp;"'"&amp;"!A1","LINK")</f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1"/>
        <v/>
      </c>
      <c r="M21" s="11" t="str">
        <f t="shared" si="2"/>
        <v/>
      </c>
      <c r="N21" s="612"/>
      <c r="O21" s="612"/>
      <c r="P21" s="612"/>
      <c r="Q21" s="29"/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1"/>
        <v/>
      </c>
      <c r="M22" s="11" t="str">
        <f t="shared" si="2"/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1"/>
        <v/>
      </c>
      <c r="M23" s="11" t="str">
        <f t="shared" si="2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1"/>
        <v/>
      </c>
      <c r="M24" s="11" t="str">
        <f t="shared" si="2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1"/>
        <v/>
      </c>
      <c r="M25" s="11" t="str">
        <f t="shared" si="2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1"/>
        <v/>
      </c>
      <c r="M26" s="11" t="str">
        <f t="shared" si="2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1"/>
        <v/>
      </c>
      <c r="M27" s="11" t="str">
        <f t="shared" si="2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1"/>
        <v/>
      </c>
      <c r="M28" s="11" t="str">
        <f t="shared" si="2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1"/>
        <v/>
      </c>
      <c r="M29" s="11" t="str">
        <f t="shared" si="2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1"/>
        <v/>
      </c>
      <c r="M30" s="11" t="str">
        <f t="shared" si="2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1"/>
        <v/>
      </c>
      <c r="M31" s="11" t="str">
        <f t="shared" si="2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1"/>
        <v/>
      </c>
      <c r="M32" s="11" t="str">
        <f t="shared" si="2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1"/>
        <v/>
      </c>
      <c r="M33" s="11" t="str">
        <f t="shared" si="2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1"/>
        <v/>
      </c>
      <c r="M34" s="11" t="str">
        <f t="shared" si="2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1"/>
        <v/>
      </c>
      <c r="M35" s="11" t="str">
        <f t="shared" si="2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1"/>
        <v/>
      </c>
      <c r="M36" s="12" t="str">
        <f t="shared" si="2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 Q17:Q36">
    <cfRule type="containsBlanks" dxfId="104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2B94-AFAC-4821-8A4C-AB7E3823008C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0</v>
      </c>
      <c r="F4" s="653"/>
      <c r="G4" s="640">
        <f t="shared" ref="G4:G9" si="0">E4*$P$13</f>
        <v>0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0</v>
      </c>
      <c r="F7" s="645"/>
      <c r="G7" s="642">
        <f t="shared" si="0"/>
        <v>0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RESUMO!C23</f>
        <v>B.2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RESUMO!C26</f>
        <v>B.2.3</v>
      </c>
      <c r="H13" s="623" t="str">
        <f>IF($G$13="","",VLOOKUP($G$13,RESUMO!$C:$F,2,FALSE))</f>
        <v>Valeta de proteção de cortes com revestimento de concreto - VPC 04 - areia e brita comerciais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</v>
      </c>
      <c r="P13" s="621">
        <f>IF($G$13="","",VLOOKUP($G$13,RESUMO!$C:$F,4,FALSE))</f>
        <v>0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/>
      <c r="C17" s="20"/>
      <c r="D17" s="21"/>
      <c r="E17" s="22"/>
      <c r="F17" s="21"/>
      <c r="G17" s="22"/>
      <c r="H17" s="20"/>
      <c r="I17" s="23"/>
      <c r="J17" s="23"/>
      <c r="K17" s="23"/>
      <c r="L17" s="23" t="str">
        <f>IF(J17="","",J17*K17)</f>
        <v/>
      </c>
      <c r="M17" s="23" t="str">
        <f>IF(OR(B17="",L17=""),"",IF(AND(M16="",Q17=""),M16,SUM(L17,M16)))</f>
        <v/>
      </c>
      <c r="N17" s="635"/>
      <c r="O17" s="635"/>
      <c r="P17" s="635"/>
      <c r="Q17" s="24"/>
      <c r="S17" s="84" t="s">
        <v>72</v>
      </c>
      <c r="T17" s="83" t="str">
        <f>IF($S17="","",VLOOKUP($S17,RESUMO!$C:$D,2,FALSE))</f>
        <v>Escavação, carga e transporte de material de 1ª categoria - DMT de 800 a 1.000 m - caminho de serviço pavimentado - com escavadeira e caminhão basculante de 14 m³</v>
      </c>
      <c r="V17" s="85" t="str">
        <f>HYPERLINK("#"&amp;"'"&amp;S17&amp;"'"&amp;"!A1","LINK")</f>
        <v>LINK</v>
      </c>
    </row>
    <row r="18" spans="2:22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 t="str">
        <f>IF(J18="","",J18*K18)</f>
        <v/>
      </c>
      <c r="M18" s="11" t="str">
        <f>IF(B18="","",IF(OR(M17="",Q18=""),M17,SUM(L18,M17)))</f>
        <v/>
      </c>
      <c r="N18" s="612"/>
      <c r="O18" s="612"/>
      <c r="P18" s="612"/>
      <c r="Q18" s="29"/>
      <c r="S18" s="84" t="s">
        <v>75</v>
      </c>
      <c r="T18" s="83" t="str">
        <f>IF($S18="","",VLOOKUP($S18,RESUMO!$C:$D,2,FALSE))</f>
        <v>Escavação e carga de material de 1ª categoria - DMT acima de 3.000 m</v>
      </c>
      <c r="V18" s="85" t="str">
        <f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 t="str">
        <f t="shared" ref="L19:L36" si="1">IF(J19="","",J19*K19)</f>
        <v/>
      </c>
      <c r="M19" s="11" t="str">
        <f>IF(B19="","",IF(OR(M18="",Q19=""),M18,SUM(L19,M18)))</f>
        <v/>
      </c>
      <c r="N19" s="612"/>
      <c r="O19" s="612"/>
      <c r="P19" s="612"/>
      <c r="Q19" s="29"/>
      <c r="S19" s="84" t="s">
        <v>80</v>
      </c>
      <c r="T19" s="83" t="str">
        <f>IF($S19="","",VLOOKUP($S19,RESUMO!$C:$D,2,FALSE))</f>
        <v>Regularização de bota-fora com espalhamento e execução de hidrossemeadura</v>
      </c>
      <c r="V19" s="85" t="str">
        <f>HYPERLINK("#"&amp;"'"&amp;S19&amp;"'"&amp;"!A1","LINK")</f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si="1"/>
        <v/>
      </c>
      <c r="M20" s="11" t="str">
        <f t="shared" ref="M20:M36" si="2">IF(B20="","",IF(OR(M19="",Q20=""),M19,SUM(L20,M19)))</f>
        <v/>
      </c>
      <c r="N20" s="612"/>
      <c r="O20" s="612"/>
      <c r="P20" s="612"/>
      <c r="Q20" s="29"/>
      <c r="S20" s="84" t="s">
        <v>82</v>
      </c>
      <c r="T20" s="83" t="str">
        <f>IF($S20="","",VLOOKUP($S20,RESUMO!$C:$D,2,FALSE))</f>
        <v>Royaltie de bota-fora</v>
      </c>
      <c r="V20" s="85" t="str">
        <f>HYPERLINK("#"&amp;"'"&amp;S20&amp;"'"&amp;"!A1","LINK")</f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1"/>
        <v/>
      </c>
      <c r="M21" s="11" t="str">
        <f t="shared" si="2"/>
        <v/>
      </c>
      <c r="N21" s="612"/>
      <c r="O21" s="612"/>
      <c r="P21" s="612"/>
      <c r="Q21" s="29"/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1"/>
        <v/>
      </c>
      <c r="M22" s="11" t="str">
        <f t="shared" si="2"/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1"/>
        <v/>
      </c>
      <c r="M23" s="11" t="str">
        <f t="shared" si="2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1"/>
        <v/>
      </c>
      <c r="M24" s="11" t="str">
        <f t="shared" si="2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1"/>
        <v/>
      </c>
      <c r="M25" s="11" t="str">
        <f t="shared" si="2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1"/>
        <v/>
      </c>
      <c r="M26" s="11" t="str">
        <f t="shared" si="2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1"/>
        <v/>
      </c>
      <c r="M27" s="11" t="str">
        <f t="shared" si="2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1"/>
        <v/>
      </c>
      <c r="M28" s="11" t="str">
        <f t="shared" si="2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1"/>
        <v/>
      </c>
      <c r="M29" s="11" t="str">
        <f t="shared" si="2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1"/>
        <v/>
      </c>
      <c r="M30" s="11" t="str">
        <f t="shared" si="2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1"/>
        <v/>
      </c>
      <c r="M31" s="11" t="str">
        <f t="shared" si="2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1"/>
        <v/>
      </c>
      <c r="M32" s="11" t="str">
        <f t="shared" si="2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1"/>
        <v/>
      </c>
      <c r="M33" s="11" t="str">
        <f t="shared" si="2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1"/>
        <v/>
      </c>
      <c r="M34" s="11" t="str">
        <f t="shared" si="2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1"/>
        <v/>
      </c>
      <c r="M35" s="11" t="str">
        <f t="shared" si="2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1"/>
        <v/>
      </c>
      <c r="M36" s="12" t="str">
        <f t="shared" si="2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 Q17:Q36">
    <cfRule type="containsBlanks" dxfId="103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BD1D-705C-43D7-8506-7D04E5452840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0</v>
      </c>
      <c r="F4" s="653"/>
      <c r="G4" s="640">
        <f t="shared" ref="G4:G9" si="0">E4*$P$13</f>
        <v>0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0</v>
      </c>
      <c r="F7" s="645"/>
      <c r="G7" s="642">
        <f t="shared" si="0"/>
        <v>0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RESUMO!C23</f>
        <v>B.2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RESUMO!C27</f>
        <v>B.2.4</v>
      </c>
      <c r="H13" s="623" t="str">
        <f>IF($G$13="","",VLOOKUP($G$13,RESUMO!$C:$F,2,FALSE))</f>
        <v>Caixa coletora A6 - CCS 200-60A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und.</v>
      </c>
      <c r="P13" s="621">
        <f>IF($G$13="","",VLOOKUP($G$13,RESUMO!$C:$F,4,FALSE))</f>
        <v>0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303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337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/>
      <c r="C17" s="20"/>
      <c r="D17" s="21"/>
      <c r="E17" s="22"/>
      <c r="F17" s="21"/>
      <c r="G17" s="22"/>
      <c r="H17" s="20"/>
      <c r="I17" s="23"/>
      <c r="J17" s="23"/>
      <c r="K17" s="23"/>
      <c r="L17" s="23" t="str">
        <f>IF(J17="","",J17*K17)</f>
        <v/>
      </c>
      <c r="M17" s="23" t="str">
        <f>IF(OR(B17="",L17=""),"",IF(AND(M16="",Q17=""),M16,SUM(L17,M16)))</f>
        <v/>
      </c>
      <c r="N17" s="635"/>
      <c r="O17" s="635"/>
      <c r="P17" s="635"/>
      <c r="Q17" s="24"/>
      <c r="S17" s="84" t="s">
        <v>72</v>
      </c>
      <c r="T17" s="83" t="str">
        <f>IF($S17="","",VLOOKUP($S17,RESUMO!$C:$D,2,FALSE))</f>
        <v>Escavação, carga e transporte de material de 1ª categoria - DMT de 800 a 1.000 m - caminho de serviço pavimentado - com escavadeira e caminhão basculante de 14 m³</v>
      </c>
      <c r="V17" s="85" t="str">
        <f>HYPERLINK("#"&amp;"'"&amp;S17&amp;"'"&amp;"!A1","LINK")</f>
        <v>LINK</v>
      </c>
    </row>
    <row r="18" spans="2:22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 t="str">
        <f>IF(J18="","",J18*K18)</f>
        <v/>
      </c>
      <c r="M18" s="11" t="str">
        <f>IF(B18="","",IF(OR(M17="",Q18=""),M17,SUM(L18,M17)))</f>
        <v/>
      </c>
      <c r="N18" s="612"/>
      <c r="O18" s="612"/>
      <c r="P18" s="612"/>
      <c r="Q18" s="29"/>
      <c r="S18" s="84" t="s">
        <v>75</v>
      </c>
      <c r="T18" s="83" t="str">
        <f>IF($S18="","",VLOOKUP($S18,RESUMO!$C:$D,2,FALSE))</f>
        <v>Escavação e carga de material de 1ª categoria - DMT acima de 3.000 m</v>
      </c>
      <c r="V18" s="85" t="str">
        <f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 t="str">
        <f t="shared" ref="L19:L36" si="1">IF(J19="","",J19*K19)</f>
        <v/>
      </c>
      <c r="M19" s="11" t="str">
        <f>IF(B19="","",IF(OR(M18="",Q19=""),M18,SUM(L19,M18)))</f>
        <v/>
      </c>
      <c r="N19" s="612"/>
      <c r="O19" s="612"/>
      <c r="P19" s="612"/>
      <c r="Q19" s="29"/>
      <c r="S19" s="84" t="s">
        <v>80</v>
      </c>
      <c r="T19" s="83" t="str">
        <f>IF($S19="","",VLOOKUP($S19,RESUMO!$C:$D,2,FALSE))</f>
        <v>Regularização de bota-fora com espalhamento e execução de hidrossemeadura</v>
      </c>
      <c r="V19" s="85" t="str">
        <f>HYPERLINK("#"&amp;"'"&amp;S19&amp;"'"&amp;"!A1","LINK")</f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si="1"/>
        <v/>
      </c>
      <c r="M20" s="11" t="str">
        <f t="shared" ref="M20:M36" si="2">IF(B20="","",IF(OR(M19="",Q20=""),M19,SUM(L20,M19)))</f>
        <v/>
      </c>
      <c r="N20" s="612"/>
      <c r="O20" s="612"/>
      <c r="P20" s="612"/>
      <c r="Q20" s="29"/>
      <c r="S20" s="84" t="s">
        <v>82</v>
      </c>
      <c r="T20" s="83" t="str">
        <f>IF($S20="","",VLOOKUP($S20,RESUMO!$C:$D,2,FALSE))</f>
        <v>Royaltie de bota-fora</v>
      </c>
      <c r="V20" s="85" t="str">
        <f>HYPERLINK("#"&amp;"'"&amp;S20&amp;"'"&amp;"!A1","LINK")</f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1"/>
        <v/>
      </c>
      <c r="M21" s="11" t="str">
        <f t="shared" si="2"/>
        <v/>
      </c>
      <c r="N21" s="612"/>
      <c r="O21" s="612"/>
      <c r="P21" s="612"/>
      <c r="Q21" s="29"/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1"/>
        <v/>
      </c>
      <c r="M22" s="11" t="str">
        <f t="shared" si="2"/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1"/>
        <v/>
      </c>
      <c r="M23" s="11" t="str">
        <f t="shared" si="2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1"/>
        <v/>
      </c>
      <c r="M24" s="11" t="str">
        <f t="shared" si="2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1"/>
        <v/>
      </c>
      <c r="M25" s="11" t="str">
        <f t="shared" si="2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1"/>
        <v/>
      </c>
      <c r="M26" s="11" t="str">
        <f t="shared" si="2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1"/>
        <v/>
      </c>
      <c r="M27" s="11" t="str">
        <f t="shared" si="2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1"/>
        <v/>
      </c>
      <c r="M28" s="11" t="str">
        <f t="shared" si="2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1"/>
        <v/>
      </c>
      <c r="M29" s="11" t="str">
        <f t="shared" si="2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1"/>
        <v/>
      </c>
      <c r="M30" s="11" t="str">
        <f t="shared" si="2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1"/>
        <v/>
      </c>
      <c r="M31" s="11" t="str">
        <f t="shared" si="2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1"/>
        <v/>
      </c>
      <c r="M32" s="11" t="str">
        <f t="shared" si="2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1"/>
        <v/>
      </c>
      <c r="M33" s="11" t="str">
        <f t="shared" si="2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1"/>
        <v/>
      </c>
      <c r="M34" s="11" t="str">
        <f t="shared" si="2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1"/>
        <v/>
      </c>
      <c r="M35" s="11" t="str">
        <f t="shared" si="2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1"/>
        <v/>
      </c>
      <c r="M36" s="12" t="str">
        <f t="shared" si="2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 Q17:Q36">
    <cfRule type="containsBlanks" dxfId="102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72AF-D52C-4A76-91CF-7C38F43433A1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0</v>
      </c>
      <c r="F4" s="653"/>
      <c r="G4" s="640">
        <f t="shared" ref="G4:G9" si="0">E4*$P$13</f>
        <v>0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0</v>
      </c>
      <c r="F7" s="645"/>
      <c r="G7" s="642">
        <f t="shared" si="0"/>
        <v>0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RESUMO!C23</f>
        <v>B.2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RESUMO!C28</f>
        <v>B.2.5</v>
      </c>
      <c r="H13" s="623" t="str">
        <f>IF($G$13="","",VLOOKUP($G$13,RESUMO!$C:$F,2,FALSE))</f>
        <v>Descida d'água de cortes em degraus - DCD 02 - areia e brita comerciais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</v>
      </c>
      <c r="P13" s="621">
        <f>IF($G$13="","",VLOOKUP($G$13,RESUMO!$C:$F,4,FALSE))</f>
        <v>0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/>
      <c r="C17" s="20"/>
      <c r="D17" s="21"/>
      <c r="E17" s="22"/>
      <c r="F17" s="21"/>
      <c r="G17" s="22"/>
      <c r="H17" s="20"/>
      <c r="I17" s="23"/>
      <c r="J17" s="23"/>
      <c r="K17" s="23"/>
      <c r="L17" s="23" t="str">
        <f>IF(J17="","",J17*K17)</f>
        <v/>
      </c>
      <c r="M17" s="23" t="str">
        <f>IF(OR(B17="",L17=""),"",IF(AND(M16="",Q17=""),M16,SUM(L17,M16)))</f>
        <v/>
      </c>
      <c r="N17" s="635"/>
      <c r="O17" s="635"/>
      <c r="P17" s="635"/>
      <c r="Q17" s="24"/>
      <c r="S17" s="84" t="s">
        <v>72</v>
      </c>
      <c r="T17" s="83" t="str">
        <f>IF($S17="","",VLOOKUP($S17,RESUMO!$C:$D,2,FALSE))</f>
        <v>Escavação, carga e transporte de material de 1ª categoria - DMT de 800 a 1.000 m - caminho de serviço pavimentado - com escavadeira e caminhão basculante de 14 m³</v>
      </c>
      <c r="V17" s="85" t="str">
        <f>HYPERLINK("#"&amp;"'"&amp;S17&amp;"'"&amp;"!A1","LINK")</f>
        <v>LINK</v>
      </c>
    </row>
    <row r="18" spans="2:22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 t="str">
        <f>IF(J18="","",J18*K18)</f>
        <v/>
      </c>
      <c r="M18" s="11" t="str">
        <f>IF(B18="","",IF(OR(M17="",Q18=""),M17,SUM(L18,M17)))</f>
        <v/>
      </c>
      <c r="N18" s="612"/>
      <c r="O18" s="612"/>
      <c r="P18" s="612"/>
      <c r="Q18" s="29"/>
      <c r="S18" s="84" t="s">
        <v>75</v>
      </c>
      <c r="T18" s="83" t="str">
        <f>IF($S18="","",VLOOKUP($S18,RESUMO!$C:$D,2,FALSE))</f>
        <v>Escavação e carga de material de 1ª categoria - DMT acima de 3.000 m</v>
      </c>
      <c r="V18" s="85" t="str">
        <f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 t="str">
        <f t="shared" ref="L19:L36" si="1">IF(J19="","",J19*K19)</f>
        <v/>
      </c>
      <c r="M19" s="11" t="str">
        <f>IF(B19="","",IF(OR(M18="",Q19=""),M18,SUM(L19,M18)))</f>
        <v/>
      </c>
      <c r="N19" s="612"/>
      <c r="O19" s="612"/>
      <c r="P19" s="612"/>
      <c r="Q19" s="29"/>
      <c r="S19" s="84" t="s">
        <v>80</v>
      </c>
      <c r="T19" s="83" t="str">
        <f>IF($S19="","",VLOOKUP($S19,RESUMO!$C:$D,2,FALSE))</f>
        <v>Regularização de bota-fora com espalhamento e execução de hidrossemeadura</v>
      </c>
      <c r="V19" s="85" t="str">
        <f>HYPERLINK("#"&amp;"'"&amp;S19&amp;"'"&amp;"!A1","LINK")</f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si="1"/>
        <v/>
      </c>
      <c r="M20" s="11" t="str">
        <f t="shared" ref="M20:M36" si="2">IF(B20="","",IF(OR(M19="",Q20=""),M19,SUM(L20,M19)))</f>
        <v/>
      </c>
      <c r="N20" s="612"/>
      <c r="O20" s="612"/>
      <c r="P20" s="612"/>
      <c r="Q20" s="29"/>
      <c r="S20" s="84" t="s">
        <v>82</v>
      </c>
      <c r="T20" s="83" t="str">
        <f>IF($S20="","",VLOOKUP($S20,RESUMO!$C:$D,2,FALSE))</f>
        <v>Royaltie de bota-fora</v>
      </c>
      <c r="V20" s="85" t="str">
        <f>HYPERLINK("#"&amp;"'"&amp;S20&amp;"'"&amp;"!A1","LINK")</f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1"/>
        <v/>
      </c>
      <c r="M21" s="11" t="str">
        <f t="shared" si="2"/>
        <v/>
      </c>
      <c r="N21" s="612"/>
      <c r="O21" s="612"/>
      <c r="P21" s="612"/>
      <c r="Q21" s="29"/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1"/>
        <v/>
      </c>
      <c r="M22" s="11" t="str">
        <f t="shared" si="2"/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1"/>
        <v/>
      </c>
      <c r="M23" s="11" t="str">
        <f t="shared" si="2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1"/>
        <v/>
      </c>
      <c r="M24" s="11" t="str">
        <f t="shared" si="2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1"/>
        <v/>
      </c>
      <c r="M25" s="11" t="str">
        <f t="shared" si="2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1"/>
        <v/>
      </c>
      <c r="M26" s="11" t="str">
        <f t="shared" si="2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1"/>
        <v/>
      </c>
      <c r="M27" s="11" t="str">
        <f t="shared" si="2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1"/>
        <v/>
      </c>
      <c r="M28" s="11" t="str">
        <f t="shared" si="2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1"/>
        <v/>
      </c>
      <c r="M29" s="11" t="str">
        <f t="shared" si="2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1"/>
        <v/>
      </c>
      <c r="M30" s="11" t="str">
        <f t="shared" si="2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1"/>
        <v/>
      </c>
      <c r="M31" s="11" t="str">
        <f t="shared" si="2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1"/>
        <v/>
      </c>
      <c r="M32" s="11" t="str">
        <f t="shared" si="2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1"/>
        <v/>
      </c>
      <c r="M33" s="11" t="str">
        <f t="shared" si="2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1"/>
        <v/>
      </c>
      <c r="M34" s="11" t="str">
        <f t="shared" si="2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1"/>
        <v/>
      </c>
      <c r="M35" s="11" t="str">
        <f t="shared" si="2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1"/>
        <v/>
      </c>
      <c r="M36" s="12" t="str">
        <f t="shared" si="2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 Q17:Q36">
    <cfRule type="containsBlanks" dxfId="101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D320-C790-4142-915F-113093D26B1F}">
  <sheetPr>
    <pageSetUpPr fitToPage="1"/>
  </sheetPr>
  <dimension ref="B1:U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2" width="12.7109375" style="3" customWidth="1"/>
    <col min="13" max="13" width="20.7109375" style="3" customWidth="1"/>
    <col min="14" max="15" width="10.7109375" style="3" customWidth="1"/>
    <col min="16" max="16384" width="10.7109375" style="3"/>
  </cols>
  <sheetData>
    <row r="1" spans="2:19" ht="19.899999999999999" customHeight="1" thickBot="1" x14ac:dyDescent="0.3"/>
    <row r="2" spans="2:19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3"/>
      <c r="R2" s="611" t="s">
        <v>294</v>
      </c>
      <c r="S2" s="611"/>
    </row>
    <row r="3" spans="2:19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5"/>
      <c r="R3" s="36"/>
      <c r="S3" s="36"/>
    </row>
    <row r="4" spans="2:19" ht="15" customHeight="1" x14ac:dyDescent="0.25">
      <c r="B4" s="647" t="s">
        <v>296</v>
      </c>
      <c r="C4" s="648"/>
      <c r="D4" s="648"/>
      <c r="E4" s="653">
        <f>IF($G$13="","",VLOOKUP($G$13,RESUMO!$C:$G,5,FALSE))</f>
        <v>292.60000000000002</v>
      </c>
      <c r="F4" s="653"/>
      <c r="G4" s="640">
        <f t="shared" ref="G4:G9" si="0">E4*$O$13</f>
        <v>302548.40000000002</v>
      </c>
      <c r="H4" s="641"/>
      <c r="J4" s="613"/>
      <c r="K4" s="614"/>
      <c r="L4" s="614"/>
      <c r="M4" s="614"/>
      <c r="N4" s="614"/>
      <c r="O4" s="614"/>
      <c r="P4" s="615"/>
      <c r="R4" s="36"/>
      <c r="S4" s="36"/>
    </row>
    <row r="5" spans="2:19" ht="15" customHeight="1" x14ac:dyDescent="0.25">
      <c r="B5" s="649" t="s">
        <v>297</v>
      </c>
      <c r="C5" s="650"/>
      <c r="D5" s="650"/>
      <c r="E5" s="654">
        <f>SUMIFS(K:K,P:P,"&lt;&gt;")</f>
        <v>112.53999999999999</v>
      </c>
      <c r="F5" s="654"/>
      <c r="G5" s="642">
        <f t="shared" si="0"/>
        <v>116366.35999999999</v>
      </c>
      <c r="H5" s="643"/>
      <c r="J5" s="613"/>
      <c r="K5" s="614"/>
      <c r="L5" s="614"/>
      <c r="M5" s="614"/>
      <c r="N5" s="614"/>
      <c r="O5" s="614"/>
      <c r="P5" s="615"/>
      <c r="R5" s="36"/>
      <c r="S5" s="36"/>
    </row>
    <row r="6" spans="2:19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5"/>
    </row>
    <row r="7" spans="2:19" ht="15" customHeight="1" x14ac:dyDescent="0.25">
      <c r="B7" s="649" t="s">
        <v>299</v>
      </c>
      <c r="C7" s="650"/>
      <c r="D7" s="650"/>
      <c r="E7" s="644">
        <f>E4-E5</f>
        <v>180.06000000000003</v>
      </c>
      <c r="F7" s="645"/>
      <c r="G7" s="642">
        <f t="shared" si="0"/>
        <v>186182.04000000004</v>
      </c>
      <c r="H7" s="643"/>
      <c r="J7" s="613"/>
      <c r="K7" s="614"/>
      <c r="L7" s="614"/>
      <c r="M7" s="614"/>
      <c r="N7" s="614"/>
      <c r="O7" s="614"/>
      <c r="P7" s="615"/>
    </row>
    <row r="8" spans="2:19" ht="15" customHeight="1" x14ac:dyDescent="0.25">
      <c r="B8" s="655" t="s">
        <v>300</v>
      </c>
      <c r="C8" s="656"/>
      <c r="D8" s="656"/>
      <c r="E8" s="657">
        <f>SUM(K:K)-E5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5"/>
    </row>
    <row r="9" spans="2:19" ht="15" customHeight="1" thickBot="1" x14ac:dyDescent="0.3">
      <c r="B9" s="651" t="s">
        <v>301</v>
      </c>
      <c r="C9" s="652"/>
      <c r="D9" s="652"/>
      <c r="E9" s="646">
        <f>SUMIF(P:P,CAPA!$I$2,K:K)</f>
        <v>112.53999999999999</v>
      </c>
      <c r="F9" s="646"/>
      <c r="G9" s="660">
        <f t="shared" si="0"/>
        <v>116366.35999999999</v>
      </c>
      <c r="H9" s="661"/>
      <c r="J9" s="616"/>
      <c r="K9" s="617"/>
      <c r="L9" s="617"/>
      <c r="M9" s="617"/>
      <c r="N9" s="617"/>
      <c r="O9" s="617"/>
      <c r="P9" s="618"/>
    </row>
    <row r="10" spans="2:19" ht="10.15" customHeight="1" thickTop="1" thickBot="1" x14ac:dyDescent="0.3"/>
    <row r="11" spans="2:19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6"/>
    </row>
    <row r="12" spans="2:19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14" t="s">
        <v>303</v>
      </c>
      <c r="O12" s="619" t="s">
        <v>304</v>
      </c>
      <c r="P12" s="620"/>
    </row>
    <row r="13" spans="2:19" s="8" customFormat="1" ht="30" customHeight="1" thickBot="1" x14ac:dyDescent="0.3">
      <c r="B13" s="15" t="str">
        <f>RESUMO!C23</f>
        <v>B.2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RESUMO!C29</f>
        <v>B.2.6</v>
      </c>
      <c r="H13" s="623" t="str">
        <f>IF($G$13="","",VLOOKUP($G$13,RESUMO!$C:$F,2,FALSE))</f>
        <v>Descida d'água de cortes em degraus - DCD 100-50 - areia e brita comerciais</v>
      </c>
      <c r="I13" s="623"/>
      <c r="J13" s="623"/>
      <c r="K13" s="623"/>
      <c r="L13" s="623"/>
      <c r="M13" s="623"/>
      <c r="N13" s="17" t="str">
        <f>IF($G$13="","",VLOOKUP($G$13,RESUMO!$C:$F,3,FALSE))</f>
        <v>m</v>
      </c>
      <c r="O13" s="621">
        <f>IF($G$13="","",VLOOKUP($G$13,RESUMO!$C:$F,4,FALSE))</f>
        <v>1034</v>
      </c>
      <c r="P13" s="622"/>
    </row>
    <row r="14" spans="2:19" ht="10.15" customHeight="1" thickTop="1" thickBot="1" x14ac:dyDescent="0.3"/>
    <row r="15" spans="2:19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627" t="s">
        <v>310</v>
      </c>
      <c r="L15" s="627" t="s">
        <v>311</v>
      </c>
      <c r="M15" s="627" t="s">
        <v>312</v>
      </c>
      <c r="N15" s="627"/>
      <c r="O15" s="627"/>
      <c r="P15" s="629" t="s">
        <v>27</v>
      </c>
      <c r="R15" s="611" t="s">
        <v>313</v>
      </c>
      <c r="S15" s="611"/>
    </row>
    <row r="16" spans="2:19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628"/>
      <c r="L16" s="628"/>
      <c r="M16" s="628"/>
      <c r="N16" s="628"/>
      <c r="O16" s="628"/>
      <c r="P16" s="630"/>
      <c r="R16" s="35" t="s">
        <v>269</v>
      </c>
      <c r="S16" s="35" t="s">
        <v>47</v>
      </c>
    </row>
    <row r="17" spans="2:21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338</v>
      </c>
      <c r="I17" s="23" t="s">
        <v>325</v>
      </c>
      <c r="J17" s="23">
        <v>122.3</v>
      </c>
      <c r="K17" s="23">
        <f>57.89+35.22+19.43</f>
        <v>112.53999999999999</v>
      </c>
      <c r="L17" s="23">
        <f>K17</f>
        <v>112.53999999999999</v>
      </c>
      <c r="M17" s="635" t="s">
        <v>326</v>
      </c>
      <c r="N17" s="635"/>
      <c r="O17" s="635"/>
      <c r="P17" s="24">
        <v>3</v>
      </c>
      <c r="R17" s="84" t="s">
        <v>72</v>
      </c>
      <c r="S17" s="83" t="str">
        <f>IF($R17="","",VLOOKUP($R17,RESUMO!$C:$D,2,FALSE))</f>
        <v>Escavação, carga e transporte de material de 1ª categoria - DMT de 800 a 1.000 m - caminho de serviço pavimentado - com escavadeira e caminhão basculante de 14 m³</v>
      </c>
      <c r="U17" s="85" t="str">
        <f>HYPERLINK("#"&amp;"'"&amp;R17&amp;"'"&amp;"!A1","LINK")</f>
        <v>LINK</v>
      </c>
    </row>
    <row r="18" spans="2:21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 t="str">
        <f>IF(J18="","",J18*#REF!)</f>
        <v/>
      </c>
      <c r="L18" s="11" t="str">
        <f t="shared" ref="L18:L36" si="1">IF(B18="","",IF(OR(L17="",P18=""),L17,SUM(K18,L17)))</f>
        <v/>
      </c>
      <c r="M18" s="612"/>
      <c r="N18" s="612"/>
      <c r="O18" s="612"/>
      <c r="P18" s="29"/>
      <c r="R18" s="84" t="s">
        <v>75</v>
      </c>
      <c r="S18" s="83" t="str">
        <f>IF($R18="","",VLOOKUP($R18,RESUMO!$C:$D,2,FALSE))</f>
        <v>Escavação e carga de material de 1ª categoria - DMT acima de 3.000 m</v>
      </c>
      <c r="U18" s="85" t="str">
        <f>HYPERLINK("#"&amp;"'"&amp;R18&amp;"'"&amp;"!A1","LINK")</f>
        <v>LINK</v>
      </c>
    </row>
    <row r="19" spans="2:21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 t="str">
        <f>IF(J19="","",J19*#REF!)</f>
        <v/>
      </c>
      <c r="L19" s="11" t="str">
        <f t="shared" si="1"/>
        <v/>
      </c>
      <c r="M19" s="612"/>
      <c r="N19" s="612"/>
      <c r="O19" s="612"/>
      <c r="P19" s="29"/>
      <c r="R19" s="84" t="s">
        <v>80</v>
      </c>
      <c r="S19" s="83" t="str">
        <f>IF($R19="","",VLOOKUP($R19,RESUMO!$C:$D,2,FALSE))</f>
        <v>Regularização de bota-fora com espalhamento e execução de hidrossemeadura</v>
      </c>
      <c r="U19" s="85" t="str">
        <f>HYPERLINK("#"&amp;"'"&amp;R19&amp;"'"&amp;"!A1","LINK")</f>
        <v>LINK</v>
      </c>
    </row>
    <row r="20" spans="2:21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 t="str">
        <f>IF(J20="","",J20*#REF!)</f>
        <v/>
      </c>
      <c r="L20" s="11" t="str">
        <f t="shared" si="1"/>
        <v/>
      </c>
      <c r="M20" s="612"/>
      <c r="N20" s="612"/>
      <c r="O20" s="612"/>
      <c r="P20" s="29"/>
      <c r="R20" s="84" t="s">
        <v>82</v>
      </c>
      <c r="S20" s="83" t="str">
        <f>IF($R20="","",VLOOKUP($R20,RESUMO!$C:$D,2,FALSE))</f>
        <v>Royaltie de bota-fora</v>
      </c>
      <c r="U20" s="85" t="str">
        <f>HYPERLINK("#"&amp;"'"&amp;R20&amp;"'"&amp;"!A1","LINK")</f>
        <v>LINK</v>
      </c>
    </row>
    <row r="21" spans="2:21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 t="str">
        <f>IF(J21="","",J21*#REF!)</f>
        <v/>
      </c>
      <c r="L21" s="11" t="str">
        <f t="shared" si="1"/>
        <v/>
      </c>
      <c r="M21" s="612"/>
      <c r="N21" s="612"/>
      <c r="O21" s="612"/>
      <c r="P21" s="29"/>
    </row>
    <row r="22" spans="2:21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 t="str">
        <f>IF(J22="","",J22*#REF!)</f>
        <v/>
      </c>
      <c r="L22" s="11" t="str">
        <f t="shared" si="1"/>
        <v/>
      </c>
      <c r="M22" s="612"/>
      <c r="N22" s="612"/>
      <c r="O22" s="612"/>
      <c r="P22" s="29"/>
    </row>
    <row r="23" spans="2:21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 t="str">
        <f>IF(J23="","",J23*#REF!)</f>
        <v/>
      </c>
      <c r="L23" s="11" t="str">
        <f t="shared" si="1"/>
        <v/>
      </c>
      <c r="M23" s="612"/>
      <c r="N23" s="612"/>
      <c r="O23" s="612"/>
      <c r="P23" s="29"/>
    </row>
    <row r="24" spans="2:21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 t="str">
        <f>IF(J24="","",J24*#REF!)</f>
        <v/>
      </c>
      <c r="L24" s="11" t="str">
        <f t="shared" si="1"/>
        <v/>
      </c>
      <c r="M24" s="612"/>
      <c r="N24" s="612"/>
      <c r="O24" s="612"/>
      <c r="P24" s="29"/>
    </row>
    <row r="25" spans="2:21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 t="str">
        <f>IF(J25="","",J25*#REF!)</f>
        <v/>
      </c>
      <c r="L25" s="11" t="str">
        <f t="shared" si="1"/>
        <v/>
      </c>
      <c r="M25" s="612"/>
      <c r="N25" s="612"/>
      <c r="O25" s="612"/>
      <c r="P25" s="29"/>
    </row>
    <row r="26" spans="2:21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 t="str">
        <f>IF(J26="","",J26*#REF!)</f>
        <v/>
      </c>
      <c r="L26" s="11" t="str">
        <f t="shared" si="1"/>
        <v/>
      </c>
      <c r="M26" s="612"/>
      <c r="N26" s="612"/>
      <c r="O26" s="612"/>
      <c r="P26" s="29"/>
    </row>
    <row r="27" spans="2:21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 t="str">
        <f>IF(J27="","",J27*#REF!)</f>
        <v/>
      </c>
      <c r="L27" s="11" t="str">
        <f t="shared" si="1"/>
        <v/>
      </c>
      <c r="M27" s="612"/>
      <c r="N27" s="612"/>
      <c r="O27" s="612"/>
      <c r="P27" s="29"/>
    </row>
    <row r="28" spans="2:21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 t="str">
        <f>IF(J28="","",J28*#REF!)</f>
        <v/>
      </c>
      <c r="L28" s="11" t="str">
        <f t="shared" si="1"/>
        <v/>
      </c>
      <c r="M28" s="612"/>
      <c r="N28" s="612"/>
      <c r="O28" s="612"/>
      <c r="P28" s="29"/>
    </row>
    <row r="29" spans="2:21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 t="str">
        <f>IF(J29="","",J29*#REF!)</f>
        <v/>
      </c>
      <c r="L29" s="11" t="str">
        <f t="shared" si="1"/>
        <v/>
      </c>
      <c r="M29" s="612"/>
      <c r="N29" s="612"/>
      <c r="O29" s="612"/>
      <c r="P29" s="29"/>
    </row>
    <row r="30" spans="2:21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 t="str">
        <f>IF(J30="","",J30*#REF!)</f>
        <v/>
      </c>
      <c r="L30" s="11" t="str">
        <f t="shared" si="1"/>
        <v/>
      </c>
      <c r="M30" s="612"/>
      <c r="N30" s="612"/>
      <c r="O30" s="612"/>
      <c r="P30" s="29"/>
    </row>
    <row r="31" spans="2:21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 t="str">
        <f>IF(J31="","",J31*#REF!)</f>
        <v/>
      </c>
      <c r="L31" s="11" t="str">
        <f t="shared" si="1"/>
        <v/>
      </c>
      <c r="M31" s="612"/>
      <c r="N31" s="612"/>
      <c r="O31" s="612"/>
      <c r="P31" s="29"/>
    </row>
    <row r="32" spans="2:21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 t="str">
        <f>IF(J32="","",J32*#REF!)</f>
        <v/>
      </c>
      <c r="L32" s="11" t="str">
        <f t="shared" si="1"/>
        <v/>
      </c>
      <c r="M32" s="612"/>
      <c r="N32" s="612"/>
      <c r="O32" s="612"/>
      <c r="P32" s="29"/>
    </row>
    <row r="33" spans="2:16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 t="str">
        <f>IF(J33="","",J33*#REF!)</f>
        <v/>
      </c>
      <c r="L33" s="11" t="str">
        <f t="shared" si="1"/>
        <v/>
      </c>
      <c r="M33" s="612"/>
      <c r="N33" s="612"/>
      <c r="O33" s="612"/>
      <c r="P33" s="29"/>
    </row>
    <row r="34" spans="2:16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 t="str">
        <f>IF(J34="","",J34*#REF!)</f>
        <v/>
      </c>
      <c r="L34" s="11" t="str">
        <f t="shared" si="1"/>
        <v/>
      </c>
      <c r="M34" s="612"/>
      <c r="N34" s="612"/>
      <c r="O34" s="612"/>
      <c r="P34" s="29"/>
    </row>
    <row r="35" spans="2:16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 t="str">
        <f>IF(J35="","",J35*#REF!)</f>
        <v/>
      </c>
      <c r="L35" s="11" t="str">
        <f t="shared" si="1"/>
        <v/>
      </c>
      <c r="M35" s="612"/>
      <c r="N35" s="612"/>
      <c r="O35" s="612"/>
      <c r="P35" s="29"/>
    </row>
    <row r="36" spans="2:16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 t="str">
        <f>IF(J36="","",J36*#REF!)</f>
        <v/>
      </c>
      <c r="L36" s="12" t="str">
        <f t="shared" si="1"/>
        <v/>
      </c>
      <c r="M36" s="634"/>
      <c r="N36" s="634"/>
      <c r="O36" s="634"/>
      <c r="P36" s="34"/>
    </row>
    <row r="37" spans="2:16" ht="19.899999999999999" customHeight="1" thickTop="1" x14ac:dyDescent="0.25"/>
  </sheetData>
  <mergeCells count="70">
    <mergeCell ref="M35:O35"/>
    <mergeCell ref="M36:O36"/>
    <mergeCell ref="M29:O29"/>
    <mergeCell ref="M30:O30"/>
    <mergeCell ref="M31:O31"/>
    <mergeCell ref="M32:O32"/>
    <mergeCell ref="M33:O33"/>
    <mergeCell ref="M34:O34"/>
    <mergeCell ref="M15:O16"/>
    <mergeCell ref="P15:P16"/>
    <mergeCell ref="R15:S15"/>
    <mergeCell ref="M28:O28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I15:I16"/>
    <mergeCell ref="B11:F11"/>
    <mergeCell ref="G11:P11"/>
    <mergeCell ref="C12:F12"/>
    <mergeCell ref="H12:M12"/>
    <mergeCell ref="O12:P12"/>
    <mergeCell ref="C13:F13"/>
    <mergeCell ref="H13:M13"/>
    <mergeCell ref="O13:P13"/>
    <mergeCell ref="B15:B16"/>
    <mergeCell ref="C15:C16"/>
    <mergeCell ref="D15:E15"/>
    <mergeCell ref="F15:G15"/>
    <mergeCell ref="H15:H16"/>
    <mergeCell ref="K15:K16"/>
    <mergeCell ref="L15:L16"/>
    <mergeCell ref="B8:D8"/>
    <mergeCell ref="E8:F8"/>
    <mergeCell ref="G8:H8"/>
    <mergeCell ref="J8:P8"/>
    <mergeCell ref="B9:D9"/>
    <mergeCell ref="E9:F9"/>
    <mergeCell ref="G9:H9"/>
    <mergeCell ref="J9:P9"/>
    <mergeCell ref="B6:D6"/>
    <mergeCell ref="E6:F6"/>
    <mergeCell ref="G6:H6"/>
    <mergeCell ref="J6:P6"/>
    <mergeCell ref="B7:D7"/>
    <mergeCell ref="E7:F7"/>
    <mergeCell ref="G7:H7"/>
    <mergeCell ref="J7:P7"/>
    <mergeCell ref="B4:D4"/>
    <mergeCell ref="E4:F4"/>
    <mergeCell ref="G4:H4"/>
    <mergeCell ref="J4:P4"/>
    <mergeCell ref="B5:D5"/>
    <mergeCell ref="E5:F5"/>
    <mergeCell ref="G5:H5"/>
    <mergeCell ref="J5:P5"/>
    <mergeCell ref="B2:D3"/>
    <mergeCell ref="E2:H2"/>
    <mergeCell ref="J2:P2"/>
    <mergeCell ref="R2:S2"/>
    <mergeCell ref="E3:F3"/>
    <mergeCell ref="G3:H3"/>
    <mergeCell ref="J3:P3"/>
  </mergeCells>
  <conditionalFormatting sqref="B17:M36">
    <cfRule type="containsBlanks" dxfId="100" priority="1">
      <formula>LEN(TRIM(B17))=0</formula>
    </cfRule>
  </conditionalFormatting>
  <conditionalFormatting sqref="P17:P36">
    <cfRule type="containsBlanks" dxfId="99" priority="2">
      <formula>LEN(TRIM(P17))=0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E282-D574-40EF-8569-53B12EE9AF4C}">
  <sheetPr>
    <pageSetUpPr fitToPage="1"/>
  </sheetPr>
  <dimension ref="B1:U37"/>
  <sheetViews>
    <sheetView workbookViewId="0">
      <selection activeCell="K17" sqref="K17"/>
    </sheetView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2" width="12.7109375" style="3" customWidth="1"/>
    <col min="13" max="13" width="20.7109375" style="3" customWidth="1"/>
    <col min="14" max="15" width="10.7109375" style="3" customWidth="1"/>
    <col min="16" max="16384" width="10.7109375" style="3"/>
  </cols>
  <sheetData>
    <row r="1" spans="2:19" ht="19.899999999999999" customHeight="1" thickBot="1" x14ac:dyDescent="0.3"/>
    <row r="2" spans="2:19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3"/>
      <c r="R2" s="611" t="s">
        <v>294</v>
      </c>
      <c r="S2" s="611"/>
    </row>
    <row r="3" spans="2:19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5"/>
      <c r="R3" s="36"/>
      <c r="S3" s="36"/>
    </row>
    <row r="4" spans="2:19" ht="15" customHeight="1" x14ac:dyDescent="0.25">
      <c r="B4" s="647" t="s">
        <v>296</v>
      </c>
      <c r="C4" s="648"/>
      <c r="D4" s="648"/>
      <c r="E4" s="653">
        <f>IF($G$13="","",VLOOKUP($G$13,RESUMO!$C:$G,5,FALSE))</f>
        <v>1111</v>
      </c>
      <c r="F4" s="653"/>
      <c r="G4" s="640">
        <f t="shared" ref="G4:G9" si="0">E4*$O$13</f>
        <v>157528.69</v>
      </c>
      <c r="H4" s="641"/>
      <c r="J4" s="613"/>
      <c r="K4" s="614"/>
      <c r="L4" s="614"/>
      <c r="M4" s="614"/>
      <c r="N4" s="614"/>
      <c r="O4" s="614"/>
      <c r="P4" s="615"/>
      <c r="R4" s="36"/>
      <c r="S4" s="36"/>
    </row>
    <row r="5" spans="2:19" ht="15" customHeight="1" x14ac:dyDescent="0.25">
      <c r="B5" s="649" t="s">
        <v>297</v>
      </c>
      <c r="C5" s="650"/>
      <c r="D5" s="650"/>
      <c r="E5" s="654">
        <f>SUMIFS(K:K,P:P,"&lt;&gt;")</f>
        <v>1513.6499999999999</v>
      </c>
      <c r="F5" s="654"/>
      <c r="G5" s="642">
        <f t="shared" si="0"/>
        <v>214620.43349999996</v>
      </c>
      <c r="H5" s="643"/>
      <c r="J5" s="613"/>
      <c r="K5" s="614"/>
      <c r="L5" s="614"/>
      <c r="M5" s="614"/>
      <c r="N5" s="614"/>
      <c r="O5" s="614"/>
      <c r="P5" s="615"/>
      <c r="R5" s="36"/>
      <c r="S5" s="36"/>
    </row>
    <row r="6" spans="2:19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5"/>
    </row>
    <row r="7" spans="2:19" ht="15" customHeight="1" x14ac:dyDescent="0.25">
      <c r="B7" s="649" t="s">
        <v>299</v>
      </c>
      <c r="C7" s="650"/>
      <c r="D7" s="650"/>
      <c r="E7" s="644">
        <f>E4-E5</f>
        <v>-402.64999999999986</v>
      </c>
      <c r="F7" s="645"/>
      <c r="G7" s="642">
        <f t="shared" si="0"/>
        <v>-57091.743499999975</v>
      </c>
      <c r="H7" s="643"/>
      <c r="J7" s="613"/>
      <c r="K7" s="614"/>
      <c r="L7" s="614"/>
      <c r="M7" s="614"/>
      <c r="N7" s="614"/>
      <c r="O7" s="614"/>
      <c r="P7" s="615"/>
    </row>
    <row r="8" spans="2:19" ht="15" customHeight="1" x14ac:dyDescent="0.25">
      <c r="B8" s="655" t="s">
        <v>300</v>
      </c>
      <c r="C8" s="656"/>
      <c r="D8" s="656"/>
      <c r="E8" s="657">
        <f>SUM(K:K)-E5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5"/>
    </row>
    <row r="9" spans="2:19" ht="15" customHeight="1" thickBot="1" x14ac:dyDescent="0.3">
      <c r="B9" s="651" t="s">
        <v>301</v>
      </c>
      <c r="C9" s="652"/>
      <c r="D9" s="652"/>
      <c r="E9" s="646">
        <f>SUMIF(P:P,CAPA!$I$2,K:K)</f>
        <v>1513.6499999999999</v>
      </c>
      <c r="F9" s="646"/>
      <c r="G9" s="660">
        <f t="shared" si="0"/>
        <v>214620.43349999996</v>
      </c>
      <c r="H9" s="661"/>
      <c r="J9" s="616"/>
      <c r="K9" s="617"/>
      <c r="L9" s="617"/>
      <c r="M9" s="617"/>
      <c r="N9" s="617"/>
      <c r="O9" s="617"/>
      <c r="P9" s="618"/>
    </row>
    <row r="10" spans="2:19" ht="10.15" customHeight="1" thickTop="1" thickBot="1" x14ac:dyDescent="0.3"/>
    <row r="11" spans="2:19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6"/>
    </row>
    <row r="12" spans="2:19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14" t="s">
        <v>303</v>
      </c>
      <c r="O12" s="619" t="s">
        <v>304</v>
      </c>
      <c r="P12" s="620"/>
    </row>
    <row r="13" spans="2:19" s="8" customFormat="1" ht="30" customHeight="1" thickBot="1" x14ac:dyDescent="0.3">
      <c r="B13" s="15" t="str">
        <f>RESUMO!C23</f>
        <v>B.2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RESUMO!C30</f>
        <v>B.2.7</v>
      </c>
      <c r="H13" s="623" t="str">
        <f>IF($G$13="","",VLOOKUP($G$13,RESUMO!$C:$F,2,FALSE))</f>
        <v>Valeta de proteção de cortes com revestimento de concreto - VPCC 120-30 - escavação mecânica - areia e brita comerciais</v>
      </c>
      <c r="I13" s="623"/>
      <c r="J13" s="623"/>
      <c r="K13" s="623"/>
      <c r="L13" s="623"/>
      <c r="M13" s="623"/>
      <c r="N13" s="17" t="str">
        <f>IF($G$13="","",VLOOKUP($G$13,RESUMO!$C:$F,3,FALSE))</f>
        <v>m</v>
      </c>
      <c r="O13" s="621">
        <f>IF($G$13="","",VLOOKUP($G$13,RESUMO!$C:$F,4,FALSE))</f>
        <v>141.79</v>
      </c>
      <c r="P13" s="622"/>
    </row>
    <row r="14" spans="2:19" ht="10.15" customHeight="1" thickTop="1" thickBot="1" x14ac:dyDescent="0.3"/>
    <row r="15" spans="2:19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627" t="s">
        <v>310</v>
      </c>
      <c r="L15" s="627" t="s">
        <v>311</v>
      </c>
      <c r="M15" s="627" t="s">
        <v>312</v>
      </c>
      <c r="N15" s="627"/>
      <c r="O15" s="627"/>
      <c r="P15" s="629" t="s">
        <v>27</v>
      </c>
      <c r="R15" s="611" t="s">
        <v>313</v>
      </c>
      <c r="S15" s="611"/>
    </row>
    <row r="16" spans="2:19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628"/>
      <c r="L16" s="628"/>
      <c r="M16" s="628"/>
      <c r="N16" s="628"/>
      <c r="O16" s="628"/>
      <c r="P16" s="630"/>
      <c r="R16" s="35" t="s">
        <v>269</v>
      </c>
      <c r="S16" s="35" t="s">
        <v>47</v>
      </c>
    </row>
    <row r="17" spans="2:21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338</v>
      </c>
      <c r="I17" s="23" t="s">
        <v>325</v>
      </c>
      <c r="J17" s="23"/>
      <c r="K17" s="23">
        <f>200.72+263.34+185.29+83.44+52.56+29.58+58.8+30.38+11.39+50.27+98.82+54.96</f>
        <v>1119.55</v>
      </c>
      <c r="L17" s="23">
        <f>K17</f>
        <v>1119.55</v>
      </c>
      <c r="M17" s="635" t="s">
        <v>326</v>
      </c>
      <c r="N17" s="635"/>
      <c r="O17" s="635"/>
      <c r="P17" s="24">
        <v>3</v>
      </c>
      <c r="R17" s="84" t="s">
        <v>72</v>
      </c>
      <c r="S17" s="83" t="str">
        <f>IF($R17="","",VLOOKUP($R17,RESUMO!$C:$D,2,FALSE))</f>
        <v>Escavação, carga e transporte de material de 1ª categoria - DMT de 800 a 1.000 m - caminho de serviço pavimentado - com escavadeira e caminhão basculante de 14 m³</v>
      </c>
      <c r="U17" s="85" t="str">
        <f>HYPERLINK("#"&amp;"'"&amp;R17&amp;"'"&amp;"!A1","LINK")</f>
        <v>LINK</v>
      </c>
    </row>
    <row r="18" spans="2:21" ht="19.899999999999999" customHeight="1" x14ac:dyDescent="0.25">
      <c r="B18" s="25" t="s">
        <v>316</v>
      </c>
      <c r="C18" s="26" t="s">
        <v>306</v>
      </c>
      <c r="D18" s="27">
        <v>300</v>
      </c>
      <c r="E18" s="28">
        <v>90</v>
      </c>
      <c r="F18" s="27"/>
      <c r="G18" s="28"/>
      <c r="H18" s="26" t="s">
        <v>338</v>
      </c>
      <c r="I18" s="11" t="s">
        <v>413</v>
      </c>
      <c r="J18" s="11"/>
      <c r="K18" s="11">
        <f>92.1+228.2+73.8</f>
        <v>394.09999999999997</v>
      </c>
      <c r="L18" s="11">
        <f t="shared" ref="L18:L36" si="1">IF(B18="","",IF(OR(L17="",P18=""),L17,SUM(K18,L17)))</f>
        <v>1513.6499999999999</v>
      </c>
      <c r="M18" s="612" t="s">
        <v>326</v>
      </c>
      <c r="N18" s="612"/>
      <c r="O18" s="612"/>
      <c r="P18" s="29">
        <v>3</v>
      </c>
      <c r="R18" s="84" t="s">
        <v>75</v>
      </c>
      <c r="S18" s="83" t="str">
        <f>IF($R18="","",VLOOKUP($R18,RESUMO!$C:$D,2,FALSE))</f>
        <v>Escavação e carga de material de 1ª categoria - DMT acima de 3.000 m</v>
      </c>
      <c r="U18" s="85" t="str">
        <f>HYPERLINK("#"&amp;"'"&amp;R18&amp;"'"&amp;"!A1","LINK")</f>
        <v>LINK</v>
      </c>
    </row>
    <row r="19" spans="2:21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 t="str">
        <f>IF(J19="","",J19*#REF!)</f>
        <v/>
      </c>
      <c r="L19" s="11" t="str">
        <f t="shared" si="1"/>
        <v/>
      </c>
      <c r="M19" s="612"/>
      <c r="N19" s="612"/>
      <c r="O19" s="612"/>
      <c r="P19" s="29"/>
      <c r="R19" s="84" t="s">
        <v>80</v>
      </c>
      <c r="S19" s="83" t="str">
        <f>IF($R19="","",VLOOKUP($R19,RESUMO!$C:$D,2,FALSE))</f>
        <v>Regularização de bota-fora com espalhamento e execução de hidrossemeadura</v>
      </c>
      <c r="U19" s="85" t="str">
        <f>HYPERLINK("#"&amp;"'"&amp;R19&amp;"'"&amp;"!A1","LINK")</f>
        <v>LINK</v>
      </c>
    </row>
    <row r="20" spans="2:21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 t="str">
        <f>IF(J20="","",J20*#REF!)</f>
        <v/>
      </c>
      <c r="L20" s="11" t="str">
        <f t="shared" si="1"/>
        <v/>
      </c>
      <c r="M20" s="612"/>
      <c r="N20" s="612"/>
      <c r="O20" s="612"/>
      <c r="P20" s="29"/>
      <c r="R20" s="84" t="s">
        <v>82</v>
      </c>
      <c r="S20" s="83" t="str">
        <f>IF($R20="","",VLOOKUP($R20,RESUMO!$C:$D,2,FALSE))</f>
        <v>Royaltie de bota-fora</v>
      </c>
      <c r="U20" s="85" t="str">
        <f>HYPERLINK("#"&amp;"'"&amp;R20&amp;"'"&amp;"!A1","LINK")</f>
        <v>LINK</v>
      </c>
    </row>
    <row r="21" spans="2:21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 t="str">
        <f>IF(J21="","",J21*#REF!)</f>
        <v/>
      </c>
      <c r="L21" s="11" t="str">
        <f t="shared" si="1"/>
        <v/>
      </c>
      <c r="M21" s="612"/>
      <c r="N21" s="612"/>
      <c r="O21" s="612"/>
      <c r="P21" s="29"/>
    </row>
    <row r="22" spans="2:21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 t="str">
        <f>IF(J22="","",J22*#REF!)</f>
        <v/>
      </c>
      <c r="L22" s="11" t="str">
        <f t="shared" si="1"/>
        <v/>
      </c>
      <c r="M22" s="612"/>
      <c r="N22" s="612"/>
      <c r="O22" s="612"/>
      <c r="P22" s="29"/>
    </row>
    <row r="23" spans="2:21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 t="str">
        <f>IF(J23="","",J23*#REF!)</f>
        <v/>
      </c>
      <c r="L23" s="11" t="str">
        <f t="shared" si="1"/>
        <v/>
      </c>
      <c r="M23" s="612"/>
      <c r="N23" s="612"/>
      <c r="O23" s="612"/>
      <c r="P23" s="29"/>
    </row>
    <row r="24" spans="2:21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 t="str">
        <f>IF(J24="","",J24*#REF!)</f>
        <v/>
      </c>
      <c r="L24" s="11" t="str">
        <f t="shared" si="1"/>
        <v/>
      </c>
      <c r="M24" s="612"/>
      <c r="N24" s="612"/>
      <c r="O24" s="612"/>
      <c r="P24" s="29"/>
    </row>
    <row r="25" spans="2:21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 t="str">
        <f>IF(J25="","",J25*#REF!)</f>
        <v/>
      </c>
      <c r="L25" s="11" t="str">
        <f t="shared" si="1"/>
        <v/>
      </c>
      <c r="M25" s="612"/>
      <c r="N25" s="612"/>
      <c r="O25" s="612"/>
      <c r="P25" s="29"/>
    </row>
    <row r="26" spans="2:21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 t="str">
        <f>IF(J26="","",J26*#REF!)</f>
        <v/>
      </c>
      <c r="L26" s="11" t="str">
        <f t="shared" si="1"/>
        <v/>
      </c>
      <c r="M26" s="612"/>
      <c r="N26" s="612"/>
      <c r="O26" s="612"/>
      <c r="P26" s="29"/>
    </row>
    <row r="27" spans="2:21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 t="str">
        <f>IF(J27="","",J27*#REF!)</f>
        <v/>
      </c>
      <c r="L27" s="11" t="str">
        <f t="shared" si="1"/>
        <v/>
      </c>
      <c r="M27" s="612"/>
      <c r="N27" s="612"/>
      <c r="O27" s="612"/>
      <c r="P27" s="29"/>
    </row>
    <row r="28" spans="2:21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 t="str">
        <f>IF(J28="","",J28*#REF!)</f>
        <v/>
      </c>
      <c r="L28" s="11" t="str">
        <f t="shared" si="1"/>
        <v/>
      </c>
      <c r="M28" s="612"/>
      <c r="N28" s="612"/>
      <c r="O28" s="612"/>
      <c r="P28" s="29"/>
    </row>
    <row r="29" spans="2:21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 t="str">
        <f>IF(J29="","",J29*#REF!)</f>
        <v/>
      </c>
      <c r="L29" s="11" t="str">
        <f t="shared" si="1"/>
        <v/>
      </c>
      <c r="M29" s="612"/>
      <c r="N29" s="612"/>
      <c r="O29" s="612"/>
      <c r="P29" s="29"/>
    </row>
    <row r="30" spans="2:21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 t="str">
        <f>IF(J30="","",J30*#REF!)</f>
        <v/>
      </c>
      <c r="L30" s="11" t="str">
        <f t="shared" si="1"/>
        <v/>
      </c>
      <c r="M30" s="612"/>
      <c r="N30" s="612"/>
      <c r="O30" s="612"/>
      <c r="P30" s="29"/>
    </row>
    <row r="31" spans="2:21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 t="str">
        <f>IF(J31="","",J31*#REF!)</f>
        <v/>
      </c>
      <c r="L31" s="11" t="str">
        <f t="shared" si="1"/>
        <v/>
      </c>
      <c r="M31" s="612"/>
      <c r="N31" s="612"/>
      <c r="O31" s="612"/>
      <c r="P31" s="29"/>
    </row>
    <row r="32" spans="2:21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 t="str">
        <f>IF(J32="","",J32*#REF!)</f>
        <v/>
      </c>
      <c r="L32" s="11" t="str">
        <f t="shared" si="1"/>
        <v/>
      </c>
      <c r="M32" s="612"/>
      <c r="N32" s="612"/>
      <c r="O32" s="612"/>
      <c r="P32" s="29"/>
    </row>
    <row r="33" spans="2:16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 t="str">
        <f>IF(J33="","",J33*#REF!)</f>
        <v/>
      </c>
      <c r="L33" s="11" t="str">
        <f t="shared" si="1"/>
        <v/>
      </c>
      <c r="M33" s="612"/>
      <c r="N33" s="612"/>
      <c r="O33" s="612"/>
      <c r="P33" s="29"/>
    </row>
    <row r="34" spans="2:16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 t="str">
        <f>IF(J34="","",J34*#REF!)</f>
        <v/>
      </c>
      <c r="L34" s="11" t="str">
        <f t="shared" si="1"/>
        <v/>
      </c>
      <c r="M34" s="612"/>
      <c r="N34" s="612"/>
      <c r="O34" s="612"/>
      <c r="P34" s="29"/>
    </row>
    <row r="35" spans="2:16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 t="str">
        <f>IF(J35="","",J35*#REF!)</f>
        <v/>
      </c>
      <c r="L35" s="11" t="str">
        <f t="shared" si="1"/>
        <v/>
      </c>
      <c r="M35" s="612"/>
      <c r="N35" s="612"/>
      <c r="O35" s="612"/>
      <c r="P35" s="29"/>
    </row>
    <row r="36" spans="2:16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 t="str">
        <f>IF(J36="","",J36*#REF!)</f>
        <v/>
      </c>
      <c r="L36" s="12" t="str">
        <f t="shared" si="1"/>
        <v/>
      </c>
      <c r="M36" s="634"/>
      <c r="N36" s="634"/>
      <c r="O36" s="634"/>
      <c r="P36" s="34"/>
    </row>
    <row r="37" spans="2:16" ht="19.899999999999999" customHeight="1" thickTop="1" x14ac:dyDescent="0.25"/>
  </sheetData>
  <mergeCells count="70">
    <mergeCell ref="M36:O36"/>
    <mergeCell ref="M30:O30"/>
    <mergeCell ref="M31:O31"/>
    <mergeCell ref="M32:O32"/>
    <mergeCell ref="M33:O33"/>
    <mergeCell ref="M34:O34"/>
    <mergeCell ref="M35:O35"/>
    <mergeCell ref="R15:S15"/>
    <mergeCell ref="M29:O29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17:O17"/>
    <mergeCell ref="B15:B16"/>
    <mergeCell ref="C15:C16"/>
    <mergeCell ref="D15:E15"/>
    <mergeCell ref="F15:G15"/>
    <mergeCell ref="H15:H16"/>
    <mergeCell ref="I15:I16"/>
    <mergeCell ref="K15:K16"/>
    <mergeCell ref="L15:L16"/>
    <mergeCell ref="M15:O16"/>
    <mergeCell ref="C13:F13"/>
    <mergeCell ref="H13:M13"/>
    <mergeCell ref="O13:P13"/>
    <mergeCell ref="P15:P16"/>
    <mergeCell ref="B8:D8"/>
    <mergeCell ref="E8:F8"/>
    <mergeCell ref="G8:H8"/>
    <mergeCell ref="J8:P8"/>
    <mergeCell ref="B9:D9"/>
    <mergeCell ref="E9:F9"/>
    <mergeCell ref="G9:H9"/>
    <mergeCell ref="J9:P9"/>
    <mergeCell ref="B11:F11"/>
    <mergeCell ref="G11:P11"/>
    <mergeCell ref="C12:F12"/>
    <mergeCell ref="H12:M12"/>
    <mergeCell ref="O12:P12"/>
    <mergeCell ref="B6:D6"/>
    <mergeCell ref="E6:F6"/>
    <mergeCell ref="G6:H6"/>
    <mergeCell ref="J6:P6"/>
    <mergeCell ref="B7:D7"/>
    <mergeCell ref="E7:F7"/>
    <mergeCell ref="G7:H7"/>
    <mergeCell ref="J7:P7"/>
    <mergeCell ref="B4:D4"/>
    <mergeCell ref="E4:F4"/>
    <mergeCell ref="G4:H4"/>
    <mergeCell ref="J4:P4"/>
    <mergeCell ref="B5:D5"/>
    <mergeCell ref="E5:F5"/>
    <mergeCell ref="G5:H5"/>
    <mergeCell ref="J5:P5"/>
    <mergeCell ref="B2:D3"/>
    <mergeCell ref="E2:H2"/>
    <mergeCell ref="J2:P2"/>
    <mergeCell ref="R2:S2"/>
    <mergeCell ref="E3:F3"/>
    <mergeCell ref="G3:H3"/>
    <mergeCell ref="J3:P3"/>
  </mergeCells>
  <conditionalFormatting sqref="B17:M36">
    <cfRule type="containsBlanks" dxfId="98" priority="1">
      <formula>LEN(TRIM(B17))=0</formula>
    </cfRule>
  </conditionalFormatting>
  <conditionalFormatting sqref="P17:P36">
    <cfRule type="containsBlanks" dxfId="97" priority="2">
      <formula>LEN(TRIM(P17))=0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C07F-3F99-49FF-A265-56747439D66C}">
  <sheetPr>
    <pageSetUpPr fitToPage="1"/>
  </sheetPr>
  <dimension ref="B1:T37"/>
  <sheetViews>
    <sheetView workbookViewId="0">
      <selection activeCell="H20" sqref="H20"/>
    </sheetView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1" width="12.7109375" style="3" customWidth="1"/>
    <col min="12" max="12" width="20.7109375" style="3" customWidth="1"/>
    <col min="13" max="14" width="10.7109375" style="3" customWidth="1"/>
    <col min="15" max="16384" width="10.7109375" style="3"/>
  </cols>
  <sheetData>
    <row r="1" spans="2:18" ht="19.899999999999999" customHeight="1" thickBot="1" x14ac:dyDescent="0.3"/>
    <row r="2" spans="2:18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87" t="s">
        <v>293</v>
      </c>
      <c r="K2" s="88"/>
      <c r="L2" s="88"/>
      <c r="M2" s="88"/>
      <c r="N2" s="88"/>
      <c r="O2" s="89"/>
      <c r="Q2" s="611" t="s">
        <v>294</v>
      </c>
      <c r="R2" s="611"/>
    </row>
    <row r="3" spans="2:18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90"/>
      <c r="K3" s="91"/>
      <c r="L3" s="91"/>
      <c r="M3" s="91"/>
      <c r="N3" s="91"/>
      <c r="O3" s="92"/>
      <c r="Q3" s="36"/>
      <c r="R3" s="36"/>
    </row>
    <row r="4" spans="2:18" ht="15" customHeight="1" x14ac:dyDescent="0.25">
      <c r="B4" s="647" t="s">
        <v>296</v>
      </c>
      <c r="C4" s="648"/>
      <c r="D4" s="648"/>
      <c r="E4" s="653">
        <f>IF($G$13="","",VLOOKUP($G$13,RESUMO!$C:$G,5,FALSE))</f>
        <v>11</v>
      </c>
      <c r="F4" s="653"/>
      <c r="G4" s="640">
        <f t="shared" ref="G4:G9" si="0">E4*$N$13</f>
        <v>82191.009999999995</v>
      </c>
      <c r="H4" s="641"/>
      <c r="J4" s="90"/>
      <c r="K4" s="91"/>
      <c r="L4" s="91"/>
      <c r="M4" s="91"/>
      <c r="N4" s="91"/>
      <c r="O4" s="92"/>
      <c r="Q4" s="36"/>
      <c r="R4" s="36"/>
    </row>
    <row r="5" spans="2:18" ht="15" customHeight="1" x14ac:dyDescent="0.25">
      <c r="B5" s="649" t="s">
        <v>297</v>
      </c>
      <c r="C5" s="650"/>
      <c r="D5" s="650"/>
      <c r="E5" s="654">
        <f>SUMIFS(J:J,O:O,"&lt;&gt;")</f>
        <v>4</v>
      </c>
      <c r="F5" s="654"/>
      <c r="G5" s="642">
        <f t="shared" si="0"/>
        <v>29887.64</v>
      </c>
      <c r="H5" s="643"/>
      <c r="J5" s="90"/>
      <c r="K5" s="91"/>
      <c r="L5" s="91"/>
      <c r="M5" s="91"/>
      <c r="N5" s="91"/>
      <c r="O5" s="92"/>
      <c r="Q5" s="36"/>
      <c r="R5" s="36"/>
    </row>
    <row r="6" spans="2:18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90"/>
      <c r="K6" s="91"/>
      <c r="L6" s="91"/>
      <c r="M6" s="91"/>
      <c r="N6" s="91"/>
      <c r="O6" s="92"/>
    </row>
    <row r="7" spans="2:18" ht="15" customHeight="1" x14ac:dyDescent="0.25">
      <c r="B7" s="649" t="s">
        <v>299</v>
      </c>
      <c r="C7" s="650"/>
      <c r="D7" s="650"/>
      <c r="E7" s="644">
        <f>E4-E5</f>
        <v>7</v>
      </c>
      <c r="F7" s="645"/>
      <c r="G7" s="642">
        <f t="shared" si="0"/>
        <v>52303.369999999995</v>
      </c>
      <c r="H7" s="643"/>
      <c r="J7" s="90"/>
      <c r="K7" s="91"/>
      <c r="L7" s="91"/>
      <c r="M7" s="91"/>
      <c r="N7" s="91"/>
      <c r="O7" s="92"/>
    </row>
    <row r="8" spans="2:18" ht="15" customHeight="1" x14ac:dyDescent="0.25">
      <c r="B8" s="655" t="s">
        <v>300</v>
      </c>
      <c r="C8" s="656"/>
      <c r="D8" s="656"/>
      <c r="E8" s="657">
        <f>SUM(J:J)-E5</f>
        <v>0</v>
      </c>
      <c r="F8" s="657"/>
      <c r="G8" s="658">
        <f t="shared" si="0"/>
        <v>0</v>
      </c>
      <c r="H8" s="659"/>
      <c r="J8" s="90"/>
      <c r="K8" s="91"/>
      <c r="L8" s="91"/>
      <c r="M8" s="91"/>
      <c r="N8" s="91"/>
      <c r="O8" s="92"/>
    </row>
    <row r="9" spans="2:18" ht="15" customHeight="1" thickBot="1" x14ac:dyDescent="0.3">
      <c r="B9" s="651" t="s">
        <v>301</v>
      </c>
      <c r="C9" s="652"/>
      <c r="D9" s="652"/>
      <c r="E9" s="646">
        <f>SUMIF(O:O,CAPA!$I$2,J:J)</f>
        <v>4</v>
      </c>
      <c r="F9" s="646"/>
      <c r="G9" s="660">
        <f t="shared" si="0"/>
        <v>29887.64</v>
      </c>
      <c r="H9" s="661"/>
      <c r="J9" s="93"/>
      <c r="K9" s="94"/>
      <c r="L9" s="94"/>
      <c r="M9" s="94"/>
      <c r="N9" s="94"/>
      <c r="O9" s="95"/>
    </row>
    <row r="10" spans="2:18" ht="10.15" customHeight="1" thickTop="1" thickBot="1" x14ac:dyDescent="0.3"/>
    <row r="11" spans="2:18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6"/>
    </row>
    <row r="12" spans="2:18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14" t="s">
        <v>303</v>
      </c>
      <c r="N12" s="619" t="s">
        <v>304</v>
      </c>
      <c r="O12" s="620"/>
    </row>
    <row r="13" spans="2:18" s="8" customFormat="1" ht="30" customHeight="1" thickBot="1" x14ac:dyDescent="0.3">
      <c r="B13" s="15" t="str">
        <f>RESUMO!C23</f>
        <v>B.2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RESUMO!C31</f>
        <v>B.2.8</v>
      </c>
      <c r="H13" s="623" t="str">
        <f>IF($G$13="","",VLOOKUP($G$13,RESUMO!$C:$F,2,FALSE))</f>
        <v>Caixa coletora de sarjeta - CCS 250-120 A - com grelha de concreto - areia e brita comerciais</v>
      </c>
      <c r="I13" s="623"/>
      <c r="J13" s="623"/>
      <c r="K13" s="623"/>
      <c r="L13" s="623"/>
      <c r="M13" s="17" t="str">
        <f>IF($G$13="","",VLOOKUP($G$13,RESUMO!$C:$F,3,FALSE))</f>
        <v>und.</v>
      </c>
      <c r="N13" s="621">
        <f>IF($G$13="","",VLOOKUP($G$13,RESUMO!$C:$F,4,FALSE))</f>
        <v>7471.91</v>
      </c>
      <c r="O13" s="622"/>
    </row>
    <row r="14" spans="2:18" ht="10.15" customHeight="1" thickTop="1" thickBot="1" x14ac:dyDescent="0.3"/>
    <row r="15" spans="2:18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627" t="s">
        <v>310</v>
      </c>
      <c r="K15" s="627" t="s">
        <v>311</v>
      </c>
      <c r="L15" s="627" t="s">
        <v>312</v>
      </c>
      <c r="M15" s="627"/>
      <c r="N15" s="627"/>
      <c r="O15" s="629" t="s">
        <v>27</v>
      </c>
      <c r="Q15" s="611" t="s">
        <v>313</v>
      </c>
      <c r="R15" s="611"/>
    </row>
    <row r="16" spans="2:18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28"/>
      <c r="K16" s="628"/>
      <c r="L16" s="628"/>
      <c r="M16" s="628"/>
      <c r="N16" s="628"/>
      <c r="O16" s="630"/>
      <c r="Q16" s="35" t="s">
        <v>269</v>
      </c>
      <c r="R16" s="35" t="s">
        <v>47</v>
      </c>
    </row>
    <row r="17" spans="2:20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338</v>
      </c>
      <c r="I17" s="23" t="s">
        <v>325</v>
      </c>
      <c r="J17" s="23">
        <v>4</v>
      </c>
      <c r="K17" s="23">
        <f>J17</f>
        <v>4</v>
      </c>
      <c r="L17" s="635" t="s">
        <v>326</v>
      </c>
      <c r="M17" s="635"/>
      <c r="N17" s="635"/>
      <c r="O17" s="24">
        <v>3</v>
      </c>
      <c r="Q17" s="84" t="s">
        <v>72</v>
      </c>
      <c r="R17" s="83" t="str">
        <f>IF($Q17="","",VLOOKUP($Q17,RESUMO!$C:$D,2,FALSE))</f>
        <v>Escavação, carga e transporte de material de 1ª categoria - DMT de 800 a 1.000 m - caminho de serviço pavimentado - com escavadeira e caminhão basculante de 14 m³</v>
      </c>
      <c r="T17" s="85" t="str">
        <f>HYPERLINK("#"&amp;"'"&amp;Q17&amp;"'"&amp;"!A1","LINK")</f>
        <v>LINK</v>
      </c>
    </row>
    <row r="18" spans="2:20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 t="str">
        <f t="shared" ref="K18:K36" si="1">IF(B18="","",IF(OR(K17="",O18=""),K17,SUM(J18,K17)))</f>
        <v/>
      </c>
      <c r="L18" s="612"/>
      <c r="M18" s="612"/>
      <c r="N18" s="612"/>
      <c r="O18" s="29"/>
      <c r="Q18" s="84" t="s">
        <v>75</v>
      </c>
      <c r="R18" s="83" t="str">
        <f>IF($Q18="","",VLOOKUP($Q18,RESUMO!$C:$D,2,FALSE))</f>
        <v>Escavação e carga de material de 1ª categoria - DMT acima de 3.000 m</v>
      </c>
      <c r="T18" s="85" t="str">
        <f>HYPERLINK("#"&amp;"'"&amp;Q18&amp;"'"&amp;"!A1","LINK")</f>
        <v>LINK</v>
      </c>
    </row>
    <row r="19" spans="2:20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 t="str">
        <f t="shared" si="1"/>
        <v/>
      </c>
      <c r="L19" s="612"/>
      <c r="M19" s="612"/>
      <c r="N19" s="612"/>
      <c r="O19" s="29"/>
      <c r="Q19" s="84" t="s">
        <v>80</v>
      </c>
      <c r="R19" s="83" t="str">
        <f>IF($Q19="","",VLOOKUP($Q19,RESUMO!$C:$D,2,FALSE))</f>
        <v>Regularização de bota-fora com espalhamento e execução de hidrossemeadura</v>
      </c>
      <c r="T19" s="85" t="str">
        <f>HYPERLINK("#"&amp;"'"&amp;Q19&amp;"'"&amp;"!A1","LINK")</f>
        <v>LINK</v>
      </c>
    </row>
    <row r="20" spans="2:20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 t="str">
        <f t="shared" si="1"/>
        <v/>
      </c>
      <c r="L20" s="612"/>
      <c r="M20" s="612"/>
      <c r="N20" s="612"/>
      <c r="O20" s="29"/>
      <c r="Q20" s="84" t="s">
        <v>82</v>
      </c>
      <c r="R20" s="83" t="str">
        <f>IF($Q20="","",VLOOKUP($Q20,RESUMO!$C:$D,2,FALSE))</f>
        <v>Royaltie de bota-fora</v>
      </c>
      <c r="T20" s="85" t="str">
        <f>HYPERLINK("#"&amp;"'"&amp;Q20&amp;"'"&amp;"!A1","LINK")</f>
        <v>LINK</v>
      </c>
    </row>
    <row r="21" spans="2:20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 t="str">
        <f t="shared" si="1"/>
        <v/>
      </c>
      <c r="L21" s="612"/>
      <c r="M21" s="612"/>
      <c r="N21" s="612"/>
      <c r="O21" s="29"/>
    </row>
    <row r="22" spans="2:20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 t="str">
        <f t="shared" si="1"/>
        <v/>
      </c>
      <c r="L22" s="612"/>
      <c r="M22" s="612"/>
      <c r="N22" s="612"/>
      <c r="O22" s="29"/>
    </row>
    <row r="23" spans="2:20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 t="str">
        <f t="shared" si="1"/>
        <v/>
      </c>
      <c r="L23" s="612"/>
      <c r="M23" s="612"/>
      <c r="N23" s="612"/>
      <c r="O23" s="29"/>
    </row>
    <row r="24" spans="2:20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 t="str">
        <f t="shared" si="1"/>
        <v/>
      </c>
      <c r="L24" s="612"/>
      <c r="M24" s="612"/>
      <c r="N24" s="612"/>
      <c r="O24" s="29"/>
    </row>
    <row r="25" spans="2:20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 t="str">
        <f t="shared" si="1"/>
        <v/>
      </c>
      <c r="L25" s="612"/>
      <c r="M25" s="612"/>
      <c r="N25" s="612"/>
      <c r="O25" s="29"/>
    </row>
    <row r="26" spans="2:20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 t="str">
        <f t="shared" si="1"/>
        <v/>
      </c>
      <c r="L26" s="612"/>
      <c r="M26" s="612"/>
      <c r="N26" s="612"/>
      <c r="O26" s="29"/>
    </row>
    <row r="27" spans="2:20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 t="str">
        <f t="shared" si="1"/>
        <v/>
      </c>
      <c r="L27" s="612"/>
      <c r="M27" s="612"/>
      <c r="N27" s="612"/>
      <c r="O27" s="29"/>
    </row>
    <row r="28" spans="2:20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 t="str">
        <f t="shared" si="1"/>
        <v/>
      </c>
      <c r="L28" s="612"/>
      <c r="M28" s="612"/>
      <c r="N28" s="612"/>
      <c r="O28" s="29"/>
    </row>
    <row r="29" spans="2:20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 t="str">
        <f t="shared" si="1"/>
        <v/>
      </c>
      <c r="L29" s="612"/>
      <c r="M29" s="612"/>
      <c r="N29" s="612"/>
      <c r="O29" s="29"/>
    </row>
    <row r="30" spans="2:20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 t="str">
        <f t="shared" si="1"/>
        <v/>
      </c>
      <c r="L30" s="612"/>
      <c r="M30" s="612"/>
      <c r="N30" s="612"/>
      <c r="O30" s="29"/>
    </row>
    <row r="31" spans="2:20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 t="str">
        <f t="shared" si="1"/>
        <v/>
      </c>
      <c r="L31" s="612"/>
      <c r="M31" s="612"/>
      <c r="N31" s="612"/>
      <c r="O31" s="29"/>
    </row>
    <row r="32" spans="2:20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 t="str">
        <f t="shared" si="1"/>
        <v/>
      </c>
      <c r="L32" s="612"/>
      <c r="M32" s="612"/>
      <c r="N32" s="612"/>
      <c r="O32" s="29"/>
    </row>
    <row r="33" spans="2:15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 t="str">
        <f t="shared" si="1"/>
        <v/>
      </c>
      <c r="L33" s="612"/>
      <c r="M33" s="612"/>
      <c r="N33" s="612"/>
      <c r="O33" s="29"/>
    </row>
    <row r="34" spans="2:15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 t="str">
        <f t="shared" si="1"/>
        <v/>
      </c>
      <c r="L34" s="612"/>
      <c r="M34" s="612"/>
      <c r="N34" s="612"/>
      <c r="O34" s="29"/>
    </row>
    <row r="35" spans="2:15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 t="str">
        <f t="shared" si="1"/>
        <v/>
      </c>
      <c r="L35" s="612"/>
      <c r="M35" s="612"/>
      <c r="N35" s="612"/>
      <c r="O35" s="29"/>
    </row>
    <row r="36" spans="2:15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 t="str">
        <f t="shared" si="1"/>
        <v/>
      </c>
      <c r="L36" s="634"/>
      <c r="M36" s="634"/>
      <c r="N36" s="634"/>
      <c r="O36" s="34"/>
    </row>
    <row r="37" spans="2:15" ht="19.899999999999999" customHeight="1" thickTop="1" x14ac:dyDescent="0.25"/>
  </sheetData>
  <mergeCells count="62">
    <mergeCell ref="L36:N36"/>
    <mergeCell ref="L30:N30"/>
    <mergeCell ref="L31:N31"/>
    <mergeCell ref="L32:N32"/>
    <mergeCell ref="L33:N33"/>
    <mergeCell ref="L34:N34"/>
    <mergeCell ref="L35:N35"/>
    <mergeCell ref="Q15:R15"/>
    <mergeCell ref="L29:N29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L27:N27"/>
    <mergeCell ref="L28:N28"/>
    <mergeCell ref="L17:N17"/>
    <mergeCell ref="B15:B16"/>
    <mergeCell ref="C15:C16"/>
    <mergeCell ref="D15:E15"/>
    <mergeCell ref="F15:G15"/>
    <mergeCell ref="H15:H16"/>
    <mergeCell ref="I15:I16"/>
    <mergeCell ref="J15:J16"/>
    <mergeCell ref="K15:K16"/>
    <mergeCell ref="L15:N16"/>
    <mergeCell ref="C13:F13"/>
    <mergeCell ref="H13:L13"/>
    <mergeCell ref="N13:O13"/>
    <mergeCell ref="O15:O16"/>
    <mergeCell ref="B8:D8"/>
    <mergeCell ref="E8:F8"/>
    <mergeCell ref="G8:H8"/>
    <mergeCell ref="B9:D9"/>
    <mergeCell ref="E9:F9"/>
    <mergeCell ref="G9:H9"/>
    <mergeCell ref="B11:F11"/>
    <mergeCell ref="G11:O11"/>
    <mergeCell ref="C12:F12"/>
    <mergeCell ref="H12:L12"/>
    <mergeCell ref="N12:O12"/>
    <mergeCell ref="B6:D6"/>
    <mergeCell ref="E6:F6"/>
    <mergeCell ref="G6:H6"/>
    <mergeCell ref="B7:D7"/>
    <mergeCell ref="E7:F7"/>
    <mergeCell ref="G7:H7"/>
    <mergeCell ref="B4:D4"/>
    <mergeCell ref="E4:F4"/>
    <mergeCell ref="G4:H4"/>
    <mergeCell ref="B5:D5"/>
    <mergeCell ref="E5:F5"/>
    <mergeCell ref="G5:H5"/>
    <mergeCell ref="B2:D3"/>
    <mergeCell ref="E2:H2"/>
    <mergeCell ref="Q2:R2"/>
    <mergeCell ref="E3:F3"/>
    <mergeCell ref="G3:H3"/>
  </mergeCells>
  <conditionalFormatting sqref="B17:L36">
    <cfRule type="containsBlanks" dxfId="96" priority="1">
      <formula>LEN(TRIM(B17))=0</formula>
    </cfRule>
  </conditionalFormatting>
  <conditionalFormatting sqref="O17:O36">
    <cfRule type="containsBlanks" dxfId="95" priority="2">
      <formula>LEN(TRIM(O17))=0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8B2E-EC7D-4061-A72B-5C7FE2D1DFD3}">
  <sheetPr>
    <pageSetUpPr fitToPage="1"/>
  </sheetPr>
  <dimension ref="B1:U37"/>
  <sheetViews>
    <sheetView workbookViewId="0">
      <selection activeCell="F21" sqref="F21"/>
    </sheetView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2" width="12.7109375" style="3" customWidth="1"/>
    <col min="13" max="13" width="20.7109375" style="3" customWidth="1"/>
    <col min="14" max="15" width="10.7109375" style="3" customWidth="1"/>
    <col min="16" max="16384" width="10.7109375" style="3"/>
  </cols>
  <sheetData>
    <row r="1" spans="2:19" ht="19.899999999999999" customHeight="1" thickBot="1" x14ac:dyDescent="0.3"/>
    <row r="2" spans="2:19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3"/>
      <c r="R2" s="611" t="s">
        <v>294</v>
      </c>
      <c r="S2" s="611"/>
    </row>
    <row r="3" spans="2:19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5"/>
      <c r="R3" s="36"/>
      <c r="S3" s="36"/>
    </row>
    <row r="4" spans="2:19" ht="15" customHeight="1" x14ac:dyDescent="0.25">
      <c r="B4" s="647" t="s">
        <v>296</v>
      </c>
      <c r="C4" s="648"/>
      <c r="D4" s="648"/>
      <c r="E4" s="653">
        <f>IF($G$13="","",VLOOKUP($G$13,RESUMO!$C:$G,5,FALSE))</f>
        <v>132</v>
      </c>
      <c r="F4" s="653"/>
      <c r="G4" s="640">
        <f t="shared" ref="G4:G9" si="0">E4*$O$13</f>
        <v>7656</v>
      </c>
      <c r="H4" s="641"/>
      <c r="J4" s="613"/>
      <c r="K4" s="614"/>
      <c r="L4" s="614"/>
      <c r="M4" s="614"/>
      <c r="N4" s="614"/>
      <c r="O4" s="614"/>
      <c r="P4" s="615"/>
      <c r="R4" s="36"/>
      <c r="S4" s="36"/>
    </row>
    <row r="5" spans="2:19" ht="15" customHeight="1" x14ac:dyDescent="0.25">
      <c r="B5" s="649" t="s">
        <v>297</v>
      </c>
      <c r="C5" s="650"/>
      <c r="D5" s="650"/>
      <c r="E5" s="654">
        <f>SUMIFS(K:K,P:P,"&lt;&gt;")</f>
        <v>193.37</v>
      </c>
      <c r="F5" s="654"/>
      <c r="G5" s="642">
        <f t="shared" si="0"/>
        <v>11215.460000000001</v>
      </c>
      <c r="H5" s="643"/>
      <c r="J5" s="613"/>
      <c r="K5" s="614"/>
      <c r="L5" s="614"/>
      <c r="M5" s="614"/>
      <c r="N5" s="614"/>
      <c r="O5" s="614"/>
      <c r="P5" s="615"/>
      <c r="R5" s="36"/>
      <c r="S5" s="36"/>
    </row>
    <row r="6" spans="2:19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5"/>
    </row>
    <row r="7" spans="2:19" ht="15" customHeight="1" x14ac:dyDescent="0.25">
      <c r="B7" s="649" t="s">
        <v>299</v>
      </c>
      <c r="C7" s="650"/>
      <c r="D7" s="650"/>
      <c r="E7" s="644">
        <f>E4-E5</f>
        <v>-61.370000000000005</v>
      </c>
      <c r="F7" s="645"/>
      <c r="G7" s="642">
        <f t="shared" si="0"/>
        <v>-3559.46</v>
      </c>
      <c r="H7" s="643"/>
      <c r="J7" s="613"/>
      <c r="K7" s="614"/>
      <c r="L7" s="614"/>
      <c r="M7" s="614"/>
      <c r="N7" s="614"/>
      <c r="O7" s="614"/>
      <c r="P7" s="615"/>
    </row>
    <row r="8" spans="2:19" ht="15" customHeight="1" x14ac:dyDescent="0.25">
      <c r="B8" s="655" t="s">
        <v>300</v>
      </c>
      <c r="C8" s="656"/>
      <c r="D8" s="656"/>
      <c r="E8" s="657">
        <f>SUM(K:K)-E5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5"/>
    </row>
    <row r="9" spans="2:19" ht="15" customHeight="1" thickBot="1" x14ac:dyDescent="0.3">
      <c r="B9" s="651" t="s">
        <v>301</v>
      </c>
      <c r="C9" s="652"/>
      <c r="D9" s="652"/>
      <c r="E9" s="646">
        <f>SUMIF(P:P,CAPA!$I$2,K:K)</f>
        <v>193.37</v>
      </c>
      <c r="F9" s="646"/>
      <c r="G9" s="660">
        <f t="shared" si="0"/>
        <v>11215.460000000001</v>
      </c>
      <c r="H9" s="661"/>
      <c r="J9" s="616"/>
      <c r="K9" s="617"/>
      <c r="L9" s="617"/>
      <c r="M9" s="617"/>
      <c r="N9" s="617"/>
      <c r="O9" s="617"/>
      <c r="P9" s="618"/>
    </row>
    <row r="10" spans="2:19" ht="10.15" customHeight="1" thickTop="1" thickBot="1" x14ac:dyDescent="0.3"/>
    <row r="11" spans="2:19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6"/>
    </row>
    <row r="12" spans="2:19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14" t="s">
        <v>303</v>
      </c>
      <c r="O12" s="619" t="s">
        <v>304</v>
      </c>
      <c r="P12" s="620"/>
    </row>
    <row r="13" spans="2:19" s="8" customFormat="1" ht="30" customHeight="1" thickBot="1" x14ac:dyDescent="0.3">
      <c r="B13" s="15" t="str">
        <f>RESUMO!C23</f>
        <v>B.2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RESUMO!C32</f>
        <v>B.2.9</v>
      </c>
      <c r="H13" s="623" t="str">
        <f>IF($G$13="","",VLOOKUP($G$13,RESUMO!$C:$F,2,FALSE))</f>
        <v>Sarjeta triangular de concreto - STC 88-20 - escavação mecânica - areia e brita comerciais</v>
      </c>
      <c r="I13" s="623"/>
      <c r="J13" s="623"/>
      <c r="K13" s="623"/>
      <c r="L13" s="623"/>
      <c r="M13" s="623"/>
      <c r="N13" s="17" t="str">
        <f>IF($G$13="","",VLOOKUP($G$13,RESUMO!$C:$F,3,FALSE))</f>
        <v>m</v>
      </c>
      <c r="O13" s="621">
        <f>IF($G$13="","",VLOOKUP($G$13,RESUMO!$C:$F,4,FALSE))</f>
        <v>58</v>
      </c>
      <c r="P13" s="622"/>
    </row>
    <row r="14" spans="2:19" ht="10.15" customHeight="1" thickTop="1" thickBot="1" x14ac:dyDescent="0.3"/>
    <row r="15" spans="2:19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627" t="s">
        <v>310</v>
      </c>
      <c r="L15" s="627" t="s">
        <v>311</v>
      </c>
      <c r="M15" s="627" t="s">
        <v>312</v>
      </c>
      <c r="N15" s="627"/>
      <c r="O15" s="627"/>
      <c r="P15" s="629" t="s">
        <v>27</v>
      </c>
      <c r="R15" s="611" t="s">
        <v>313</v>
      </c>
      <c r="S15" s="611"/>
    </row>
    <row r="16" spans="2:19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628"/>
      <c r="L16" s="628"/>
      <c r="M16" s="628"/>
      <c r="N16" s="628"/>
      <c r="O16" s="628"/>
      <c r="P16" s="630"/>
      <c r="R16" s="35" t="s">
        <v>269</v>
      </c>
      <c r="S16" s="35" t="s">
        <v>47</v>
      </c>
    </row>
    <row r="17" spans="2:21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338</v>
      </c>
      <c r="I17" s="23" t="s">
        <v>325</v>
      </c>
      <c r="J17" s="23">
        <f>115.15+32.38+16.84+14.74+14.26</f>
        <v>193.37</v>
      </c>
      <c r="K17" s="23">
        <f>J17</f>
        <v>193.37</v>
      </c>
      <c r="L17" s="23">
        <f>K17</f>
        <v>193.37</v>
      </c>
      <c r="M17" s="635" t="s">
        <v>326</v>
      </c>
      <c r="N17" s="635"/>
      <c r="O17" s="635"/>
      <c r="P17" s="24">
        <v>3</v>
      </c>
      <c r="R17" s="84" t="s">
        <v>72</v>
      </c>
      <c r="S17" s="83" t="str">
        <f>IF($R17="","",VLOOKUP($R17,RESUMO!$C:$D,2,FALSE))</f>
        <v>Escavação, carga e transporte de material de 1ª categoria - DMT de 800 a 1.000 m - caminho de serviço pavimentado - com escavadeira e caminhão basculante de 14 m³</v>
      </c>
      <c r="U17" s="85" t="str">
        <f>HYPERLINK("#"&amp;"'"&amp;R17&amp;"'"&amp;"!A1","LINK")</f>
        <v>LINK</v>
      </c>
    </row>
    <row r="18" spans="2:21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 t="str">
        <f>IF(J18="","",J18*#REF!)</f>
        <v/>
      </c>
      <c r="L18" s="11" t="str">
        <f t="shared" ref="L18:L36" si="1">IF(B18="","",IF(OR(L17="",P18=""),L17,SUM(K18,L17)))</f>
        <v/>
      </c>
      <c r="M18" s="612"/>
      <c r="N18" s="612"/>
      <c r="O18" s="612"/>
      <c r="P18" s="29"/>
      <c r="R18" s="84" t="s">
        <v>75</v>
      </c>
      <c r="S18" s="83" t="str">
        <f>IF($R18="","",VLOOKUP($R18,RESUMO!$C:$D,2,FALSE))</f>
        <v>Escavação e carga de material de 1ª categoria - DMT acima de 3.000 m</v>
      </c>
      <c r="U18" s="85" t="str">
        <f>HYPERLINK("#"&amp;"'"&amp;R18&amp;"'"&amp;"!A1","LINK")</f>
        <v>LINK</v>
      </c>
    </row>
    <row r="19" spans="2:21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 t="str">
        <f>IF(J19="","",J19*#REF!)</f>
        <v/>
      </c>
      <c r="L19" s="11" t="str">
        <f t="shared" si="1"/>
        <v/>
      </c>
      <c r="M19" s="612"/>
      <c r="N19" s="612"/>
      <c r="O19" s="612"/>
      <c r="P19" s="29"/>
      <c r="R19" s="84" t="s">
        <v>80</v>
      </c>
      <c r="S19" s="83" t="str">
        <f>IF($R19="","",VLOOKUP($R19,RESUMO!$C:$D,2,FALSE))</f>
        <v>Regularização de bota-fora com espalhamento e execução de hidrossemeadura</v>
      </c>
      <c r="U19" s="85" t="str">
        <f>HYPERLINK("#"&amp;"'"&amp;R19&amp;"'"&amp;"!A1","LINK")</f>
        <v>LINK</v>
      </c>
    </row>
    <row r="20" spans="2:21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 t="str">
        <f>IF(J20="","",J20*#REF!)</f>
        <v/>
      </c>
      <c r="L20" s="11" t="str">
        <f t="shared" si="1"/>
        <v/>
      </c>
      <c r="M20" s="612"/>
      <c r="N20" s="612"/>
      <c r="O20" s="612"/>
      <c r="P20" s="29"/>
      <c r="R20" s="84" t="s">
        <v>82</v>
      </c>
      <c r="S20" s="83" t="str">
        <f>IF($R20="","",VLOOKUP($R20,RESUMO!$C:$D,2,FALSE))</f>
        <v>Royaltie de bota-fora</v>
      </c>
      <c r="U20" s="85" t="str">
        <f>HYPERLINK("#"&amp;"'"&amp;R20&amp;"'"&amp;"!A1","LINK")</f>
        <v>LINK</v>
      </c>
    </row>
    <row r="21" spans="2:21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 t="str">
        <f>IF(J21="","",J21*#REF!)</f>
        <v/>
      </c>
      <c r="L21" s="11" t="str">
        <f t="shared" si="1"/>
        <v/>
      </c>
      <c r="M21" s="612"/>
      <c r="N21" s="612"/>
      <c r="O21" s="612"/>
      <c r="P21" s="29"/>
    </row>
    <row r="22" spans="2:21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 t="str">
        <f>IF(J22="","",J22*#REF!)</f>
        <v/>
      </c>
      <c r="L22" s="11" t="str">
        <f t="shared" si="1"/>
        <v/>
      </c>
      <c r="M22" s="612"/>
      <c r="N22" s="612"/>
      <c r="O22" s="612"/>
      <c r="P22" s="29"/>
    </row>
    <row r="23" spans="2:21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 t="str">
        <f>IF(J23="","",J23*#REF!)</f>
        <v/>
      </c>
      <c r="L23" s="11" t="str">
        <f t="shared" si="1"/>
        <v/>
      </c>
      <c r="M23" s="612"/>
      <c r="N23" s="612"/>
      <c r="O23" s="612"/>
      <c r="P23" s="29"/>
    </row>
    <row r="24" spans="2:21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 t="str">
        <f>IF(J24="","",J24*#REF!)</f>
        <v/>
      </c>
      <c r="L24" s="11" t="str">
        <f t="shared" si="1"/>
        <v/>
      </c>
      <c r="M24" s="612"/>
      <c r="N24" s="612"/>
      <c r="O24" s="612"/>
      <c r="P24" s="29"/>
    </row>
    <row r="25" spans="2:21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 t="str">
        <f>IF(J25="","",J25*#REF!)</f>
        <v/>
      </c>
      <c r="L25" s="11" t="str">
        <f t="shared" si="1"/>
        <v/>
      </c>
      <c r="M25" s="612"/>
      <c r="N25" s="612"/>
      <c r="O25" s="612"/>
      <c r="P25" s="29"/>
    </row>
    <row r="26" spans="2:21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 t="str">
        <f>IF(J26="","",J26*#REF!)</f>
        <v/>
      </c>
      <c r="L26" s="11" t="str">
        <f t="shared" si="1"/>
        <v/>
      </c>
      <c r="M26" s="612"/>
      <c r="N26" s="612"/>
      <c r="O26" s="612"/>
      <c r="P26" s="29"/>
    </row>
    <row r="27" spans="2:21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 t="str">
        <f>IF(J27="","",J27*#REF!)</f>
        <v/>
      </c>
      <c r="L27" s="11" t="str">
        <f t="shared" si="1"/>
        <v/>
      </c>
      <c r="M27" s="612"/>
      <c r="N27" s="612"/>
      <c r="O27" s="612"/>
      <c r="P27" s="29"/>
    </row>
    <row r="28" spans="2:21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 t="str">
        <f>IF(J28="","",J28*#REF!)</f>
        <v/>
      </c>
      <c r="L28" s="11" t="str">
        <f t="shared" si="1"/>
        <v/>
      </c>
      <c r="M28" s="612"/>
      <c r="N28" s="612"/>
      <c r="O28" s="612"/>
      <c r="P28" s="29"/>
    </row>
    <row r="29" spans="2:21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 t="str">
        <f>IF(J29="","",J29*#REF!)</f>
        <v/>
      </c>
      <c r="L29" s="11" t="str">
        <f t="shared" si="1"/>
        <v/>
      </c>
      <c r="M29" s="612"/>
      <c r="N29" s="612"/>
      <c r="O29" s="612"/>
      <c r="P29" s="29"/>
    </row>
    <row r="30" spans="2:21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 t="str">
        <f>IF(J30="","",J30*#REF!)</f>
        <v/>
      </c>
      <c r="L30" s="11" t="str">
        <f t="shared" si="1"/>
        <v/>
      </c>
      <c r="M30" s="612"/>
      <c r="N30" s="612"/>
      <c r="O30" s="612"/>
      <c r="P30" s="29"/>
    </row>
    <row r="31" spans="2:21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 t="str">
        <f>IF(J31="","",J31*#REF!)</f>
        <v/>
      </c>
      <c r="L31" s="11" t="str">
        <f t="shared" si="1"/>
        <v/>
      </c>
      <c r="M31" s="612"/>
      <c r="N31" s="612"/>
      <c r="O31" s="612"/>
      <c r="P31" s="29"/>
    </row>
    <row r="32" spans="2:21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 t="str">
        <f>IF(J32="","",J32*#REF!)</f>
        <v/>
      </c>
      <c r="L32" s="11" t="str">
        <f t="shared" si="1"/>
        <v/>
      </c>
      <c r="M32" s="612"/>
      <c r="N32" s="612"/>
      <c r="O32" s="612"/>
      <c r="P32" s="29"/>
    </row>
    <row r="33" spans="2:16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 t="str">
        <f>IF(J33="","",J33*#REF!)</f>
        <v/>
      </c>
      <c r="L33" s="11" t="str">
        <f t="shared" si="1"/>
        <v/>
      </c>
      <c r="M33" s="612"/>
      <c r="N33" s="612"/>
      <c r="O33" s="612"/>
      <c r="P33" s="29"/>
    </row>
    <row r="34" spans="2:16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 t="str">
        <f>IF(J34="","",J34*#REF!)</f>
        <v/>
      </c>
      <c r="L34" s="11" t="str">
        <f t="shared" si="1"/>
        <v/>
      </c>
      <c r="M34" s="612"/>
      <c r="N34" s="612"/>
      <c r="O34" s="612"/>
      <c r="P34" s="29"/>
    </row>
    <row r="35" spans="2:16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 t="str">
        <f>IF(J35="","",J35*#REF!)</f>
        <v/>
      </c>
      <c r="L35" s="11" t="str">
        <f t="shared" si="1"/>
        <v/>
      </c>
      <c r="M35" s="612"/>
      <c r="N35" s="612"/>
      <c r="O35" s="612"/>
      <c r="P35" s="29"/>
    </row>
    <row r="36" spans="2:16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 t="str">
        <f>IF(J36="","",J36*#REF!)</f>
        <v/>
      </c>
      <c r="L36" s="12" t="str">
        <f t="shared" si="1"/>
        <v/>
      </c>
      <c r="M36" s="634"/>
      <c r="N36" s="634"/>
      <c r="O36" s="634"/>
      <c r="P36" s="34"/>
    </row>
    <row r="37" spans="2:16" ht="19.899999999999999" customHeight="1" thickTop="1" x14ac:dyDescent="0.25"/>
  </sheetData>
  <mergeCells count="70">
    <mergeCell ref="M36:O36"/>
    <mergeCell ref="M30:O30"/>
    <mergeCell ref="M31:O31"/>
    <mergeCell ref="M32:O32"/>
    <mergeCell ref="M33:O33"/>
    <mergeCell ref="M34:O34"/>
    <mergeCell ref="M35:O35"/>
    <mergeCell ref="R15:S15"/>
    <mergeCell ref="M29:O29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17:O17"/>
    <mergeCell ref="B15:B16"/>
    <mergeCell ref="C15:C16"/>
    <mergeCell ref="D15:E15"/>
    <mergeCell ref="F15:G15"/>
    <mergeCell ref="H15:H16"/>
    <mergeCell ref="I15:I16"/>
    <mergeCell ref="K15:K16"/>
    <mergeCell ref="L15:L16"/>
    <mergeCell ref="M15:O16"/>
    <mergeCell ref="C13:F13"/>
    <mergeCell ref="H13:M13"/>
    <mergeCell ref="O13:P13"/>
    <mergeCell ref="P15:P16"/>
    <mergeCell ref="B8:D8"/>
    <mergeCell ref="E8:F8"/>
    <mergeCell ref="G8:H8"/>
    <mergeCell ref="J8:P8"/>
    <mergeCell ref="B9:D9"/>
    <mergeCell ref="E9:F9"/>
    <mergeCell ref="G9:H9"/>
    <mergeCell ref="J9:P9"/>
    <mergeCell ref="B11:F11"/>
    <mergeCell ref="G11:P11"/>
    <mergeCell ref="C12:F12"/>
    <mergeCell ref="H12:M12"/>
    <mergeCell ref="O12:P12"/>
    <mergeCell ref="B6:D6"/>
    <mergeCell ref="E6:F6"/>
    <mergeCell ref="G6:H6"/>
    <mergeCell ref="J6:P6"/>
    <mergeCell ref="B7:D7"/>
    <mergeCell ref="E7:F7"/>
    <mergeCell ref="G7:H7"/>
    <mergeCell ref="J7:P7"/>
    <mergeCell ref="B4:D4"/>
    <mergeCell ref="E4:F4"/>
    <mergeCell ref="G4:H4"/>
    <mergeCell ref="J4:P4"/>
    <mergeCell ref="B5:D5"/>
    <mergeCell ref="E5:F5"/>
    <mergeCell ref="G5:H5"/>
    <mergeCell ref="J5:P5"/>
    <mergeCell ref="B2:D3"/>
    <mergeCell ref="E2:H2"/>
    <mergeCell ref="J2:P2"/>
    <mergeCell ref="R2:S2"/>
    <mergeCell ref="E3:F3"/>
    <mergeCell ref="G3:H3"/>
    <mergeCell ref="J3:P3"/>
  </mergeCells>
  <conditionalFormatting sqref="B17:M36">
    <cfRule type="containsBlanks" dxfId="94" priority="1">
      <formula>LEN(TRIM(B17))=0</formula>
    </cfRule>
  </conditionalFormatting>
  <conditionalFormatting sqref="P17:P36">
    <cfRule type="containsBlanks" dxfId="93" priority="2">
      <formula>LEN(TRIM(P17))=0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05A7-3DBF-4ADC-937F-81222F57B3E5}">
  <sheetPr>
    <pageSetUpPr fitToPage="1"/>
  </sheetPr>
  <dimension ref="B1:W45"/>
  <sheetViews>
    <sheetView tabSelected="1" topLeftCell="A12" workbookViewId="0">
      <selection activeCell="J22" sqref="J22"/>
    </sheetView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74" t="s">
        <v>470</v>
      </c>
      <c r="K3" s="675"/>
      <c r="L3" s="675"/>
      <c r="M3" s="675"/>
      <c r="N3" s="675"/>
      <c r="O3" s="675"/>
      <c r="P3" s="675"/>
      <c r="Q3" s="675"/>
      <c r="R3" s="676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15000</v>
      </c>
      <c r="F4" s="653"/>
      <c r="G4" s="640">
        <f t="shared" ref="G4:G9" si="0">E4*$Q$13</f>
        <v>379500</v>
      </c>
      <c r="H4" s="641"/>
      <c r="J4" s="613"/>
      <c r="K4" s="614"/>
      <c r="L4" s="614"/>
      <c r="M4" s="614"/>
      <c r="N4" s="614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31959.157637243479</v>
      </c>
      <c r="F5" s="654"/>
      <c r="G5" s="642">
        <f t="shared" si="0"/>
        <v>808566.6882222601</v>
      </c>
      <c r="H5" s="643"/>
      <c r="J5" s="613"/>
      <c r="K5" s="614"/>
      <c r="L5" s="614"/>
      <c r="M5" s="614"/>
      <c r="N5" s="614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9238.0600000000013</v>
      </c>
      <c r="F6" s="654"/>
      <c r="G6" s="642">
        <f t="shared" si="0"/>
        <v>233722.91800000003</v>
      </c>
      <c r="H6" s="643"/>
      <c r="J6" s="613"/>
      <c r="K6" s="614"/>
      <c r="L6" s="614"/>
      <c r="M6" s="614"/>
      <c r="N6" s="614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-16959.157637243479</v>
      </c>
      <c r="F7" s="645"/>
      <c r="G7" s="642">
        <f t="shared" si="0"/>
        <v>-429066.68822226004</v>
      </c>
      <c r="H7" s="643"/>
      <c r="J7" s="613"/>
      <c r="K7" s="614"/>
      <c r="L7" s="614"/>
      <c r="M7" s="614"/>
      <c r="N7" s="614"/>
      <c r="O7" s="614"/>
      <c r="P7" s="614"/>
      <c r="Q7" s="614"/>
      <c r="R7" s="615"/>
    </row>
    <row r="8" spans="2:21" ht="15" customHeight="1" x14ac:dyDescent="0.25">
      <c r="B8" s="655" t="s">
        <v>300</v>
      </c>
      <c r="C8" s="656"/>
      <c r="D8" s="656"/>
      <c r="E8" s="657">
        <f>SUM(M:M)-E5</f>
        <v>6777.9413627565227</v>
      </c>
      <c r="F8" s="657"/>
      <c r="G8" s="658">
        <f t="shared" si="0"/>
        <v>171481.91647774004</v>
      </c>
      <c r="H8" s="659"/>
      <c r="J8" s="613"/>
      <c r="K8" s="614"/>
      <c r="L8" s="614"/>
      <c r="M8" s="614"/>
      <c r="N8" s="614"/>
      <c r="O8" s="614"/>
      <c r="P8" s="614"/>
      <c r="Q8" s="614"/>
      <c r="R8" s="615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22721.097637243478</v>
      </c>
      <c r="F9" s="646"/>
      <c r="G9" s="660">
        <f t="shared" si="0"/>
        <v>574843.77022226003</v>
      </c>
      <c r="H9" s="661"/>
      <c r="J9" s="616"/>
      <c r="K9" s="617"/>
      <c r="L9" s="617"/>
      <c r="M9" s="617"/>
      <c r="N9" s="617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RESUMO!C25</f>
        <v>B.2.2</v>
      </c>
      <c r="C13" s="623" t="str">
        <f>IF($B$13="","",VLOOKUP($B$13,RESUMO!$C:$F,2,FALSE))</f>
        <v>Sarjeta triangular de concreto - STC 150-30 - escavação mecânica - areia e brita comerciais</v>
      </c>
      <c r="D13" s="623"/>
      <c r="E13" s="623"/>
      <c r="F13" s="662"/>
      <c r="G13" s="16" t="str">
        <f>RESUMO!C34</f>
        <v>B.3.1</v>
      </c>
      <c r="H13" s="623" t="str">
        <f>IF($G$13="","",VLOOKUP($G$13,RESUMO!$C:$F,2,FALSE))</f>
        <v>Proteção Vegetal (Hidrossemeadura + Biomanta)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m²</v>
      </c>
      <c r="Q13" s="621">
        <f>IF($G$13="","",VLOOKUP($G$13,RESUMO!$C:$F,4,FALSE))</f>
        <v>25.3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329</v>
      </c>
      <c r="K15" s="9" t="s">
        <v>320</v>
      </c>
      <c r="L15" s="9" t="s">
        <v>321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333</v>
      </c>
      <c r="K16" s="10" t="s">
        <v>322</v>
      </c>
      <c r="L16" s="10" t="s">
        <v>322</v>
      </c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338</v>
      </c>
      <c r="I17" s="23" t="s">
        <v>325</v>
      </c>
      <c r="J17" s="23">
        <v>1052.1099999999999</v>
      </c>
      <c r="K17" s="23"/>
      <c r="L17" s="23"/>
      <c r="M17" s="23">
        <f t="shared" ref="M17:M25" si="1">J17</f>
        <v>1052.1099999999999</v>
      </c>
      <c r="N17" s="23">
        <f>IF(OR(B17="",M17=""),"",IF(AND(N16="",R17=""),N16,SUM(M17,N16)))</f>
        <v>1052.1099999999999</v>
      </c>
      <c r="O17" s="612" t="s">
        <v>326</v>
      </c>
      <c r="P17" s="612"/>
      <c r="Q17" s="612"/>
      <c r="R17" s="24">
        <v>3</v>
      </c>
      <c r="T17" s="84" t="s">
        <v>100</v>
      </c>
      <c r="U17" s="83" t="str">
        <f>IF($T17="","",VLOOKUP($T17,RESUMO!$C:$D,2,FALSE))</f>
        <v>Proteção Vegetal (Hidrossemeadura + Biomanta)</v>
      </c>
      <c r="W17" s="85" t="str">
        <f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307</v>
      </c>
      <c r="E18" s="28">
        <v>90</v>
      </c>
      <c r="F18" s="27"/>
      <c r="G18" s="28"/>
      <c r="H18" s="26" t="s">
        <v>338</v>
      </c>
      <c r="I18" s="11" t="s">
        <v>325</v>
      </c>
      <c r="J18" s="11">
        <v>155.137</v>
      </c>
      <c r="K18" s="11"/>
      <c r="L18" s="11"/>
      <c r="M18" s="11">
        <f t="shared" si="1"/>
        <v>155.137</v>
      </c>
      <c r="N18" s="11">
        <f>IF(B18="","",IF(OR(N17="",R18=""),N17,SUM(M18,N17)))</f>
        <v>1207.2469999999998</v>
      </c>
      <c r="O18" s="612" t="s">
        <v>326</v>
      </c>
      <c r="P18" s="612"/>
      <c r="Q18" s="612"/>
      <c r="R18" s="29">
        <v>3</v>
      </c>
      <c r="T18" s="84"/>
      <c r="U18" s="83"/>
      <c r="W18" s="85"/>
    </row>
    <row r="19" spans="2:23" ht="19.899999999999999" customHeight="1" x14ac:dyDescent="0.25">
      <c r="B19" s="25" t="s">
        <v>316</v>
      </c>
      <c r="C19" s="26" t="s">
        <v>306</v>
      </c>
      <c r="D19" s="27">
        <v>306</v>
      </c>
      <c r="E19" s="28">
        <v>730</v>
      </c>
      <c r="F19" s="27"/>
      <c r="G19" s="28"/>
      <c r="H19" s="26" t="s">
        <v>338</v>
      </c>
      <c r="I19" s="11" t="s">
        <v>325</v>
      </c>
      <c r="J19" s="11">
        <v>523.76499999999999</v>
      </c>
      <c r="K19" s="11"/>
      <c r="L19" s="11"/>
      <c r="M19" s="11">
        <f t="shared" si="1"/>
        <v>523.76499999999999</v>
      </c>
      <c r="N19" s="11">
        <f t="shared" ref="N19:N42" si="2">IF(B19="","",IF(OR(N18="",R19=""),N18,SUM(M19,N18)))</f>
        <v>1731.0119999999997</v>
      </c>
      <c r="O19" s="612" t="s">
        <v>326</v>
      </c>
      <c r="P19" s="612"/>
      <c r="Q19" s="612"/>
      <c r="R19" s="29">
        <v>3</v>
      </c>
      <c r="T19" s="84"/>
      <c r="U19" s="83"/>
      <c r="W19" s="85"/>
    </row>
    <row r="20" spans="2:23" ht="19.899999999999999" customHeight="1" x14ac:dyDescent="0.25">
      <c r="B20" s="25" t="s">
        <v>316</v>
      </c>
      <c r="C20" s="26" t="s">
        <v>306</v>
      </c>
      <c r="D20" s="27">
        <v>297</v>
      </c>
      <c r="E20" s="28">
        <v>500</v>
      </c>
      <c r="F20" s="27"/>
      <c r="G20" s="28"/>
      <c r="H20" s="26" t="s">
        <v>339</v>
      </c>
      <c r="I20" s="11" t="s">
        <v>325</v>
      </c>
      <c r="J20" s="11">
        <v>9238.06</v>
      </c>
      <c r="K20" s="11"/>
      <c r="L20" s="11"/>
      <c r="M20" s="11">
        <f t="shared" si="1"/>
        <v>9238.06</v>
      </c>
      <c r="N20" s="11">
        <f t="shared" si="2"/>
        <v>10969.072</v>
      </c>
      <c r="O20" s="612" t="s">
        <v>326</v>
      </c>
      <c r="P20" s="612"/>
      <c r="Q20" s="612"/>
      <c r="R20" s="29">
        <v>2</v>
      </c>
      <c r="T20" s="84"/>
      <c r="U20" s="83"/>
      <c r="W20" s="85"/>
    </row>
    <row r="21" spans="2:23" ht="19.899999999999999" customHeight="1" x14ac:dyDescent="0.25">
      <c r="B21" s="25" t="s">
        <v>316</v>
      </c>
      <c r="C21" s="26" t="s">
        <v>306</v>
      </c>
      <c r="D21" s="27">
        <v>295</v>
      </c>
      <c r="E21" s="28"/>
      <c r="F21" s="27"/>
      <c r="G21" s="28"/>
      <c r="H21" s="26" t="s">
        <v>233</v>
      </c>
      <c r="I21" s="11" t="s">
        <v>233</v>
      </c>
      <c r="J21" s="11">
        <v>6400.41</v>
      </c>
      <c r="K21" s="11"/>
      <c r="L21" s="11"/>
      <c r="M21" s="11">
        <f t="shared" si="1"/>
        <v>6400.41</v>
      </c>
      <c r="N21" s="11">
        <f t="shared" si="2"/>
        <v>17369.482</v>
      </c>
      <c r="O21" s="612" t="s">
        <v>390</v>
      </c>
      <c r="P21" s="612"/>
      <c r="Q21" s="612"/>
      <c r="R21" s="29">
        <v>3</v>
      </c>
      <c r="T21" s="84"/>
      <c r="U21" s="83"/>
      <c r="W21" s="85"/>
    </row>
    <row r="22" spans="2:23" ht="19.899999999999999" customHeight="1" x14ac:dyDescent="0.25">
      <c r="B22" s="25" t="s">
        <v>316</v>
      </c>
      <c r="C22" s="26" t="s">
        <v>306</v>
      </c>
      <c r="D22" s="27">
        <v>297</v>
      </c>
      <c r="E22" s="28">
        <v>500</v>
      </c>
      <c r="F22" s="27"/>
      <c r="G22" s="28"/>
      <c r="H22" s="26" t="s">
        <v>339</v>
      </c>
      <c r="I22" s="11" t="s">
        <v>325</v>
      </c>
      <c r="J22" s="11">
        <v>3754.36</v>
      </c>
      <c r="K22" s="11"/>
      <c r="L22" s="11"/>
      <c r="M22" s="11">
        <f t="shared" si="1"/>
        <v>3754.36</v>
      </c>
      <c r="N22" s="11">
        <f t="shared" si="2"/>
        <v>21123.842000000001</v>
      </c>
      <c r="O22" s="612" t="s">
        <v>326</v>
      </c>
      <c r="P22" s="612"/>
      <c r="Q22" s="612"/>
      <c r="R22" s="29">
        <v>3</v>
      </c>
    </row>
    <row r="23" spans="2:23" ht="19.899999999999999" customHeight="1" x14ac:dyDescent="0.25">
      <c r="B23" s="25" t="s">
        <v>316</v>
      </c>
      <c r="C23" s="26" t="s">
        <v>306</v>
      </c>
      <c r="D23" s="27">
        <v>303</v>
      </c>
      <c r="E23" s="28">
        <v>450</v>
      </c>
      <c r="F23" s="27"/>
      <c r="G23" s="28"/>
      <c r="H23" s="26" t="s">
        <v>338</v>
      </c>
      <c r="I23" s="11" t="s">
        <v>325</v>
      </c>
      <c r="J23" s="11">
        <f>4030.19-J17</f>
        <v>2978.08</v>
      </c>
      <c r="K23" s="11"/>
      <c r="L23" s="11"/>
      <c r="M23" s="11">
        <f t="shared" si="1"/>
        <v>2978.08</v>
      </c>
      <c r="N23" s="11">
        <f t="shared" si="2"/>
        <v>24101.921999999999</v>
      </c>
      <c r="O23" s="612" t="s">
        <v>326</v>
      </c>
      <c r="P23" s="612"/>
      <c r="Q23" s="612"/>
      <c r="R23" s="29">
        <v>3</v>
      </c>
    </row>
    <row r="24" spans="2:23" ht="19.899999999999999" customHeight="1" x14ac:dyDescent="0.25">
      <c r="B24" s="25" t="s">
        <v>316</v>
      </c>
      <c r="C24" s="26" t="s">
        <v>306</v>
      </c>
      <c r="D24" s="27">
        <v>306</v>
      </c>
      <c r="E24" s="28">
        <v>730</v>
      </c>
      <c r="F24" s="27"/>
      <c r="G24" s="28"/>
      <c r="H24" s="26" t="s">
        <v>338</v>
      </c>
      <c r="I24" s="11" t="s">
        <v>325</v>
      </c>
      <c r="J24" s="11">
        <f>905.36-J19</f>
        <v>381.59500000000003</v>
      </c>
      <c r="K24" s="11"/>
      <c r="L24" s="11"/>
      <c r="M24" s="11">
        <f t="shared" si="1"/>
        <v>381.59500000000003</v>
      </c>
      <c r="N24" s="11">
        <f t="shared" si="2"/>
        <v>24483.517</v>
      </c>
      <c r="O24" s="612" t="s">
        <v>326</v>
      </c>
      <c r="P24" s="612"/>
      <c r="Q24" s="612"/>
      <c r="R24" s="29">
        <v>3</v>
      </c>
    </row>
    <row r="25" spans="2:23" ht="19.899999999999999" customHeight="1" x14ac:dyDescent="0.25">
      <c r="B25" s="25" t="s">
        <v>316</v>
      </c>
      <c r="C25" s="26" t="s">
        <v>306</v>
      </c>
      <c r="D25" s="27">
        <v>307</v>
      </c>
      <c r="E25" s="28">
        <v>90</v>
      </c>
      <c r="F25" s="27"/>
      <c r="G25" s="28"/>
      <c r="H25" s="26" t="s">
        <v>338</v>
      </c>
      <c r="I25" s="11" t="s">
        <v>325</v>
      </c>
      <c r="J25" s="11">
        <f>2166.51-J18</f>
        <v>2011.3730000000003</v>
      </c>
      <c r="K25" s="11"/>
      <c r="L25" s="11"/>
      <c r="M25" s="11">
        <f t="shared" si="1"/>
        <v>2011.3730000000003</v>
      </c>
      <c r="N25" s="11">
        <f t="shared" si="2"/>
        <v>26494.89</v>
      </c>
      <c r="O25" s="612" t="s">
        <v>326</v>
      </c>
      <c r="P25" s="612"/>
      <c r="Q25" s="612"/>
      <c r="R25" s="29">
        <v>3</v>
      </c>
    </row>
    <row r="26" spans="2:23" ht="19.5" customHeight="1" x14ac:dyDescent="0.25">
      <c r="B26" s="25" t="s">
        <v>316</v>
      </c>
      <c r="C26" s="26" t="s">
        <v>306</v>
      </c>
      <c r="D26" s="27">
        <v>297</v>
      </c>
      <c r="E26" s="28">
        <v>500</v>
      </c>
      <c r="F26" s="27"/>
      <c r="G26" s="28"/>
      <c r="H26" s="26" t="s">
        <v>339</v>
      </c>
      <c r="I26" s="11" t="s">
        <v>325</v>
      </c>
      <c r="J26" s="11"/>
      <c r="K26" s="11"/>
      <c r="L26" s="11"/>
      <c r="M26" s="11">
        <f t="shared" ref="M26:M40" si="3">J26</f>
        <v>0</v>
      </c>
      <c r="N26" s="11">
        <f t="shared" si="2"/>
        <v>26494.89</v>
      </c>
      <c r="O26" s="612" t="s">
        <v>461</v>
      </c>
      <c r="P26" s="612"/>
      <c r="Q26" s="612"/>
      <c r="R26" s="29">
        <v>3</v>
      </c>
    </row>
    <row r="27" spans="2:23" ht="19.899999999999999" customHeight="1" x14ac:dyDescent="0.25">
      <c r="B27" s="25" t="s">
        <v>316</v>
      </c>
      <c r="C27" s="26" t="s">
        <v>306</v>
      </c>
      <c r="D27" s="27">
        <v>297</v>
      </c>
      <c r="E27" s="28">
        <v>500</v>
      </c>
      <c r="F27" s="27"/>
      <c r="G27" s="28"/>
      <c r="H27" s="26" t="s">
        <v>339</v>
      </c>
      <c r="I27" s="11" t="s">
        <v>325</v>
      </c>
      <c r="J27" s="11"/>
      <c r="K27" s="11"/>
      <c r="L27" s="11"/>
      <c r="M27" s="11">
        <f t="shared" si="3"/>
        <v>0</v>
      </c>
      <c r="N27" s="11">
        <f t="shared" si="2"/>
        <v>26494.89</v>
      </c>
      <c r="O27" s="612" t="s">
        <v>462</v>
      </c>
      <c r="P27" s="612"/>
      <c r="Q27" s="612"/>
      <c r="R27" s="29">
        <v>3</v>
      </c>
    </row>
    <row r="28" spans="2:23" ht="19.899999999999999" customHeight="1" x14ac:dyDescent="0.25">
      <c r="B28" s="25" t="s">
        <v>316</v>
      </c>
      <c r="C28" s="26" t="s">
        <v>306</v>
      </c>
      <c r="D28" s="27">
        <v>297</v>
      </c>
      <c r="E28" s="28">
        <v>500</v>
      </c>
      <c r="F28" s="27"/>
      <c r="G28" s="28"/>
      <c r="H28" s="26" t="s">
        <v>339</v>
      </c>
      <c r="I28" s="11" t="s">
        <v>325</v>
      </c>
      <c r="J28" s="11">
        <v>2008.5066372434765</v>
      </c>
      <c r="K28" s="11"/>
      <c r="L28" s="11"/>
      <c r="M28" s="11">
        <f t="shared" si="3"/>
        <v>2008.5066372434765</v>
      </c>
      <c r="N28" s="11">
        <f t="shared" si="2"/>
        <v>28503.396637243477</v>
      </c>
      <c r="O28" s="612" t="s">
        <v>463</v>
      </c>
      <c r="P28" s="612"/>
      <c r="Q28" s="612"/>
      <c r="R28" s="29">
        <v>3</v>
      </c>
    </row>
    <row r="29" spans="2:23" ht="19.899999999999999" customHeight="1" x14ac:dyDescent="0.25">
      <c r="B29" s="25" t="s">
        <v>316</v>
      </c>
      <c r="C29" s="26" t="s">
        <v>306</v>
      </c>
      <c r="D29" s="27">
        <v>297</v>
      </c>
      <c r="E29" s="28">
        <v>500</v>
      </c>
      <c r="F29" s="27"/>
      <c r="G29" s="28"/>
      <c r="H29" s="26" t="s">
        <v>339</v>
      </c>
      <c r="I29" s="11" t="s">
        <v>325</v>
      </c>
      <c r="J29" s="11">
        <v>218.81200000000001</v>
      </c>
      <c r="K29" s="11"/>
      <c r="L29" s="11"/>
      <c r="M29" s="11">
        <f t="shared" si="3"/>
        <v>218.81200000000001</v>
      </c>
      <c r="N29" s="11">
        <f t="shared" si="2"/>
        <v>28722.208637243479</v>
      </c>
      <c r="O29" s="612" t="s">
        <v>464</v>
      </c>
      <c r="P29" s="612"/>
      <c r="Q29" s="612"/>
      <c r="R29" s="29">
        <v>3</v>
      </c>
    </row>
    <row r="30" spans="2:23" ht="19.899999999999999" customHeight="1" x14ac:dyDescent="0.25">
      <c r="B30" s="25" t="s">
        <v>316</v>
      </c>
      <c r="C30" s="26" t="s">
        <v>306</v>
      </c>
      <c r="D30" s="27">
        <v>297</v>
      </c>
      <c r="E30" s="28">
        <v>500</v>
      </c>
      <c r="F30" s="27"/>
      <c r="G30" s="28"/>
      <c r="H30" s="26" t="s">
        <v>339</v>
      </c>
      <c r="I30" s="11" t="s">
        <v>325</v>
      </c>
      <c r="J30" s="11">
        <v>276.96300000000002</v>
      </c>
      <c r="K30" s="11"/>
      <c r="L30" s="11"/>
      <c r="M30" s="11">
        <f t="shared" si="3"/>
        <v>276.96300000000002</v>
      </c>
      <c r="N30" s="11">
        <f t="shared" si="2"/>
        <v>28999.171637243478</v>
      </c>
      <c r="O30" s="612" t="s">
        <v>465</v>
      </c>
      <c r="P30" s="612"/>
      <c r="Q30" s="612"/>
      <c r="R30" s="29">
        <v>3</v>
      </c>
    </row>
    <row r="31" spans="2:23" ht="19.5" customHeight="1" x14ac:dyDescent="0.25">
      <c r="B31" s="25" t="s">
        <v>316</v>
      </c>
      <c r="C31" s="26" t="s">
        <v>306</v>
      </c>
      <c r="D31" s="27">
        <v>297</v>
      </c>
      <c r="E31" s="28">
        <v>500</v>
      </c>
      <c r="F31" s="27"/>
      <c r="G31" s="28"/>
      <c r="H31" s="26" t="s">
        <v>339</v>
      </c>
      <c r="I31" s="11" t="s">
        <v>325</v>
      </c>
      <c r="J31" s="11">
        <v>812.04700000000003</v>
      </c>
      <c r="K31" s="11"/>
      <c r="L31" s="11"/>
      <c r="M31" s="11">
        <f t="shared" si="3"/>
        <v>812.04700000000003</v>
      </c>
      <c r="N31" s="11">
        <f t="shared" si="2"/>
        <v>29811.218637243477</v>
      </c>
      <c r="O31" s="612" t="s">
        <v>447</v>
      </c>
      <c r="P31" s="612"/>
      <c r="Q31" s="612"/>
      <c r="R31" s="29">
        <v>3</v>
      </c>
    </row>
    <row r="32" spans="2:23" ht="19.899999999999999" customHeight="1" x14ac:dyDescent="0.25">
      <c r="B32" s="25" t="s">
        <v>316</v>
      </c>
      <c r="C32" s="26" t="s">
        <v>306</v>
      </c>
      <c r="D32" s="27">
        <v>297</v>
      </c>
      <c r="E32" s="28">
        <v>500</v>
      </c>
      <c r="F32" s="27"/>
      <c r="G32" s="28"/>
      <c r="H32" s="26" t="s">
        <v>339</v>
      </c>
      <c r="I32" s="11" t="s">
        <v>325</v>
      </c>
      <c r="J32" s="11">
        <v>122.495</v>
      </c>
      <c r="K32" s="11"/>
      <c r="L32" s="11"/>
      <c r="M32" s="11">
        <f t="shared" si="3"/>
        <v>122.495</v>
      </c>
      <c r="N32" s="11">
        <f t="shared" si="2"/>
        <v>29933.713637243476</v>
      </c>
      <c r="O32" s="612" t="s">
        <v>448</v>
      </c>
      <c r="P32" s="612"/>
      <c r="Q32" s="612"/>
      <c r="R32" s="29">
        <v>3</v>
      </c>
    </row>
    <row r="33" spans="2:18" ht="19.899999999999999" customHeight="1" x14ac:dyDescent="0.25">
      <c r="B33" s="25" t="s">
        <v>316</v>
      </c>
      <c r="C33" s="26" t="s">
        <v>306</v>
      </c>
      <c r="D33" s="27">
        <v>297</v>
      </c>
      <c r="E33" s="28">
        <v>500</v>
      </c>
      <c r="F33" s="27"/>
      <c r="G33" s="28"/>
      <c r="H33" s="26" t="s">
        <v>339</v>
      </c>
      <c r="I33" s="11" t="s">
        <v>325</v>
      </c>
      <c r="J33" s="11">
        <v>460.45299999999997</v>
      </c>
      <c r="K33" s="11"/>
      <c r="L33" s="11"/>
      <c r="M33" s="11">
        <f t="shared" si="3"/>
        <v>460.45299999999997</v>
      </c>
      <c r="N33" s="11">
        <f t="shared" si="2"/>
        <v>30394.166637243477</v>
      </c>
      <c r="O33" s="612" t="s">
        <v>449</v>
      </c>
      <c r="P33" s="612"/>
      <c r="Q33" s="612"/>
      <c r="R33" s="29">
        <v>3</v>
      </c>
    </row>
    <row r="34" spans="2:18" ht="19.899999999999999" customHeight="1" x14ac:dyDescent="0.25">
      <c r="B34" s="25" t="s">
        <v>316</v>
      </c>
      <c r="C34" s="26" t="s">
        <v>306</v>
      </c>
      <c r="D34" s="27">
        <v>297</v>
      </c>
      <c r="E34" s="28">
        <v>500</v>
      </c>
      <c r="F34" s="27"/>
      <c r="G34" s="28"/>
      <c r="H34" s="26" t="s">
        <v>339</v>
      </c>
      <c r="I34" s="11" t="s">
        <v>325</v>
      </c>
      <c r="J34" s="11">
        <v>114.185</v>
      </c>
      <c r="K34" s="11"/>
      <c r="L34" s="11"/>
      <c r="M34" s="11">
        <f t="shared" si="3"/>
        <v>114.185</v>
      </c>
      <c r="N34" s="11">
        <f t="shared" si="2"/>
        <v>30508.351637243479</v>
      </c>
      <c r="O34" s="612" t="s">
        <v>450</v>
      </c>
      <c r="P34" s="612"/>
      <c r="Q34" s="612"/>
      <c r="R34" s="29">
        <v>3</v>
      </c>
    </row>
    <row r="35" spans="2:18" ht="19.899999999999999" customHeight="1" x14ac:dyDescent="0.25">
      <c r="B35" s="25" t="s">
        <v>316</v>
      </c>
      <c r="C35" s="26" t="s">
        <v>306</v>
      </c>
      <c r="D35" s="27">
        <v>297</v>
      </c>
      <c r="E35" s="28">
        <v>500</v>
      </c>
      <c r="F35" s="27"/>
      <c r="G35" s="28"/>
      <c r="H35" s="26" t="s">
        <v>339</v>
      </c>
      <c r="I35" s="11" t="s">
        <v>325</v>
      </c>
      <c r="J35" s="11">
        <v>95.18</v>
      </c>
      <c r="K35" s="11"/>
      <c r="L35" s="11"/>
      <c r="M35" s="11">
        <f t="shared" si="3"/>
        <v>95.18</v>
      </c>
      <c r="N35" s="11">
        <f t="shared" si="2"/>
        <v>30603.531637243479</v>
      </c>
      <c r="O35" s="612" t="s">
        <v>451</v>
      </c>
      <c r="P35" s="612"/>
      <c r="Q35" s="612"/>
      <c r="R35" s="29">
        <v>3</v>
      </c>
    </row>
    <row r="36" spans="2:18" ht="19.899999999999999" customHeight="1" x14ac:dyDescent="0.25">
      <c r="B36" s="25" t="s">
        <v>316</v>
      </c>
      <c r="C36" s="26" t="s">
        <v>306</v>
      </c>
      <c r="D36" s="27">
        <v>297</v>
      </c>
      <c r="E36" s="28">
        <v>500</v>
      </c>
      <c r="F36" s="27"/>
      <c r="G36" s="28"/>
      <c r="H36" s="26" t="s">
        <v>339</v>
      </c>
      <c r="I36" s="11" t="s">
        <v>325</v>
      </c>
      <c r="J36" s="11">
        <v>813.96299999999997</v>
      </c>
      <c r="K36" s="11"/>
      <c r="L36" s="11"/>
      <c r="M36" s="11">
        <f t="shared" si="3"/>
        <v>813.96299999999997</v>
      </c>
      <c r="N36" s="11">
        <f t="shared" si="2"/>
        <v>31417.494637243479</v>
      </c>
      <c r="O36" s="612" t="s">
        <v>452</v>
      </c>
      <c r="P36" s="612"/>
      <c r="Q36" s="612"/>
      <c r="R36" s="29">
        <v>3</v>
      </c>
    </row>
    <row r="37" spans="2:18" ht="19.899999999999999" customHeight="1" x14ac:dyDescent="0.25">
      <c r="B37" s="25" t="s">
        <v>316</v>
      </c>
      <c r="C37" s="26" t="s">
        <v>306</v>
      </c>
      <c r="D37" s="27">
        <v>297</v>
      </c>
      <c r="E37" s="28">
        <v>500</v>
      </c>
      <c r="F37" s="27"/>
      <c r="G37" s="28"/>
      <c r="H37" s="26" t="s">
        <v>339</v>
      </c>
      <c r="I37" s="11" t="s">
        <v>325</v>
      </c>
      <c r="J37" s="11">
        <v>541.66300000000001</v>
      </c>
      <c r="K37" s="11"/>
      <c r="L37" s="11"/>
      <c r="M37" s="11">
        <f t="shared" si="3"/>
        <v>541.66300000000001</v>
      </c>
      <c r="N37" s="11">
        <f t="shared" si="2"/>
        <v>31959.157637243479</v>
      </c>
      <c r="O37" s="612" t="s">
        <v>453</v>
      </c>
      <c r="P37" s="612"/>
      <c r="Q37" s="612"/>
      <c r="R37" s="29">
        <v>3</v>
      </c>
    </row>
    <row r="38" spans="2:18" ht="19.899999999999999" customHeight="1" x14ac:dyDescent="0.25">
      <c r="B38" s="25" t="s">
        <v>316</v>
      </c>
      <c r="C38" s="26" t="s">
        <v>306</v>
      </c>
      <c r="D38" s="27">
        <v>297</v>
      </c>
      <c r="E38" s="28">
        <v>500</v>
      </c>
      <c r="F38" s="27"/>
      <c r="G38" s="28"/>
      <c r="H38" s="26" t="s">
        <v>339</v>
      </c>
      <c r="I38" s="11" t="s">
        <v>325</v>
      </c>
      <c r="J38" s="11">
        <v>4486.3180000000002</v>
      </c>
      <c r="K38" s="11"/>
      <c r="L38" s="11"/>
      <c r="M38" s="11">
        <f t="shared" si="3"/>
        <v>4486.3180000000002</v>
      </c>
      <c r="N38" s="11">
        <f t="shared" ref="N38:N41" si="4">IF(B38="","",IF(OR(N37="",R38=""),N37,SUM(M38,N37)))</f>
        <v>31959.157637243479</v>
      </c>
      <c r="O38" s="612" t="s">
        <v>467</v>
      </c>
      <c r="P38" s="612"/>
      <c r="Q38" s="612"/>
      <c r="R38" s="29"/>
    </row>
    <row r="39" spans="2:18" ht="19.899999999999999" customHeight="1" x14ac:dyDescent="0.25">
      <c r="B39" s="25" t="s">
        <v>316</v>
      </c>
      <c r="C39" s="26" t="s">
        <v>306</v>
      </c>
      <c r="D39" s="27">
        <v>297</v>
      </c>
      <c r="E39" s="28">
        <v>500</v>
      </c>
      <c r="F39" s="27"/>
      <c r="G39" s="28"/>
      <c r="H39" s="26" t="s">
        <v>339</v>
      </c>
      <c r="I39" s="11" t="s">
        <v>325</v>
      </c>
      <c r="J39" s="11">
        <v>2005.3920000000001</v>
      </c>
      <c r="K39" s="11"/>
      <c r="L39" s="11"/>
      <c r="M39" s="11">
        <f t="shared" si="3"/>
        <v>2005.3920000000001</v>
      </c>
      <c r="N39" s="11">
        <f t="shared" si="4"/>
        <v>31959.157637243479</v>
      </c>
      <c r="O39" s="612" t="s">
        <v>468</v>
      </c>
      <c r="P39" s="612"/>
      <c r="Q39" s="612"/>
      <c r="R39" s="29"/>
    </row>
    <row r="40" spans="2:18" ht="19.899999999999999" customHeight="1" x14ac:dyDescent="0.25">
      <c r="B40" s="25" t="s">
        <v>316</v>
      </c>
      <c r="C40" s="26" t="s">
        <v>306</v>
      </c>
      <c r="D40" s="27">
        <v>297</v>
      </c>
      <c r="E40" s="28">
        <v>500</v>
      </c>
      <c r="F40" s="27"/>
      <c r="G40" s="28"/>
      <c r="H40" s="26" t="s">
        <v>339</v>
      </c>
      <c r="I40" s="11" t="s">
        <v>325</v>
      </c>
      <c r="J40" s="11">
        <f>2294.738-J28</f>
        <v>286.23136275652337</v>
      </c>
      <c r="K40" s="11"/>
      <c r="L40" s="11"/>
      <c r="M40" s="11">
        <f t="shared" si="3"/>
        <v>286.23136275652337</v>
      </c>
      <c r="N40" s="11">
        <f t="shared" si="4"/>
        <v>31959.157637243479</v>
      </c>
      <c r="O40" s="612" t="s">
        <v>469</v>
      </c>
      <c r="P40" s="612"/>
      <c r="Q40" s="612"/>
      <c r="R40" s="29"/>
    </row>
    <row r="41" spans="2:18" ht="19.899999999999999" customHeight="1" x14ac:dyDescent="0.25">
      <c r="B41" s="25"/>
      <c r="C41" s="26"/>
      <c r="D41" s="27"/>
      <c r="E41" s="28"/>
      <c r="F41" s="27"/>
      <c r="G41" s="28"/>
      <c r="H41" s="26"/>
      <c r="I41" s="11"/>
      <c r="J41" s="11"/>
      <c r="K41" s="11"/>
      <c r="L41" s="11"/>
      <c r="M41" s="11"/>
      <c r="N41" s="11" t="str">
        <f t="shared" si="4"/>
        <v/>
      </c>
      <c r="O41" s="612"/>
      <c r="P41" s="612"/>
      <c r="Q41" s="612"/>
      <c r="R41" s="29"/>
    </row>
    <row r="42" spans="2:18" ht="19.899999999999999" customHeight="1" thickBot="1" x14ac:dyDescent="0.3">
      <c r="B42" s="30"/>
      <c r="C42" s="31"/>
      <c r="D42" s="32"/>
      <c r="E42" s="33"/>
      <c r="F42" s="32"/>
      <c r="G42" s="33"/>
      <c r="H42" s="31"/>
      <c r="I42" s="12"/>
      <c r="J42" s="12"/>
      <c r="K42" s="12"/>
      <c r="L42" s="12"/>
      <c r="M42" s="12"/>
      <c r="N42" s="12" t="str">
        <f t="shared" si="2"/>
        <v/>
      </c>
      <c r="O42" s="634"/>
      <c r="P42" s="634"/>
      <c r="Q42" s="634"/>
      <c r="R42" s="34"/>
    </row>
    <row r="43" spans="2:18" ht="19.899999999999999" customHeight="1" thickTop="1" x14ac:dyDescent="0.25"/>
    <row r="44" spans="2:18" ht="19.899999999999999" customHeight="1" x14ac:dyDescent="0.25">
      <c r="J44" s="366"/>
      <c r="M44" s="366"/>
    </row>
    <row r="45" spans="2:18" ht="19.899999999999999" customHeight="1" x14ac:dyDescent="0.25">
      <c r="M45" s="366"/>
    </row>
  </sheetData>
  <mergeCells count="76">
    <mergeCell ref="O26:Q26"/>
    <mergeCell ref="O27:Q27"/>
    <mergeCell ref="O28:Q28"/>
    <mergeCell ref="O29:Q29"/>
    <mergeCell ref="O30:Q30"/>
    <mergeCell ref="O42:Q42"/>
    <mergeCell ref="O31:Q31"/>
    <mergeCell ref="O32:Q32"/>
    <mergeCell ref="O33:Q33"/>
    <mergeCell ref="O34:Q34"/>
    <mergeCell ref="O35:Q35"/>
    <mergeCell ref="O41:Q41"/>
    <mergeCell ref="O36:Q36"/>
    <mergeCell ref="O37:Q37"/>
    <mergeCell ref="O40:Q40"/>
    <mergeCell ref="O38:Q38"/>
    <mergeCell ref="O39:Q39"/>
    <mergeCell ref="O22:Q22"/>
    <mergeCell ref="O23:Q23"/>
    <mergeCell ref="O24:Q24"/>
    <mergeCell ref="O25:Q25"/>
    <mergeCell ref="O17:Q17"/>
    <mergeCell ref="T15:U15"/>
    <mergeCell ref="O18:Q18"/>
    <mergeCell ref="O19:Q19"/>
    <mergeCell ref="O20:Q20"/>
    <mergeCell ref="O21:Q21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C13:F13"/>
    <mergeCell ref="H13:O13"/>
    <mergeCell ref="Q13:R13"/>
    <mergeCell ref="R15:R16"/>
    <mergeCell ref="J8:R8"/>
    <mergeCell ref="J9:R9"/>
    <mergeCell ref="B11:F11"/>
    <mergeCell ref="G11:R11"/>
    <mergeCell ref="C12:F12"/>
    <mergeCell ref="H12:O12"/>
    <mergeCell ref="Q12:R12"/>
    <mergeCell ref="B8:D8"/>
    <mergeCell ref="E8:F8"/>
    <mergeCell ref="G8:H8"/>
    <mergeCell ref="B9:D9"/>
    <mergeCell ref="E9:F9"/>
    <mergeCell ref="G9:H9"/>
    <mergeCell ref="J6:R6"/>
    <mergeCell ref="J7:R7"/>
    <mergeCell ref="B4:D4"/>
    <mergeCell ref="E4:F4"/>
    <mergeCell ref="G4:H4"/>
    <mergeCell ref="B5:D5"/>
    <mergeCell ref="E5:F5"/>
    <mergeCell ref="G5:H5"/>
    <mergeCell ref="J4:R4"/>
    <mergeCell ref="J5:R5"/>
    <mergeCell ref="B6:D6"/>
    <mergeCell ref="E6:F6"/>
    <mergeCell ref="G6:H6"/>
    <mergeCell ref="B7:D7"/>
    <mergeCell ref="E7:F7"/>
    <mergeCell ref="G7:H7"/>
    <mergeCell ref="B2:D3"/>
    <mergeCell ref="E2:H2"/>
    <mergeCell ref="T2:U2"/>
    <mergeCell ref="E3:F3"/>
    <mergeCell ref="G3:H3"/>
    <mergeCell ref="J2:R2"/>
    <mergeCell ref="J3:R3"/>
  </mergeCells>
  <conditionalFormatting sqref="B17:O42 R17:R42">
    <cfRule type="containsBlanks" dxfId="92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8CCD-BFDA-4F4E-B430-7F0E8DE41177}">
  <sheetPr>
    <pageSetUpPr fitToPage="1"/>
  </sheetPr>
  <dimension ref="B1:U37"/>
  <sheetViews>
    <sheetView workbookViewId="0">
      <selection activeCell="O13" sqref="O13:P13"/>
    </sheetView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2" width="12.7109375" style="3" customWidth="1"/>
    <col min="13" max="13" width="20.7109375" style="3" customWidth="1"/>
    <col min="14" max="15" width="10.7109375" style="3" customWidth="1"/>
    <col min="16" max="16384" width="10.7109375" style="3"/>
  </cols>
  <sheetData>
    <row r="1" spans="2:19" ht="19.899999999999999" customHeight="1" thickBot="1" x14ac:dyDescent="0.3"/>
    <row r="2" spans="2:19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3"/>
      <c r="R2" s="611" t="s">
        <v>294</v>
      </c>
      <c r="S2" s="611"/>
    </row>
    <row r="3" spans="2:19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74" t="s">
        <v>466</v>
      </c>
      <c r="K3" s="675"/>
      <c r="L3" s="675"/>
      <c r="M3" s="675"/>
      <c r="N3" s="675"/>
      <c r="O3" s="675"/>
      <c r="P3" s="676"/>
      <c r="R3" s="36"/>
      <c r="S3" s="36"/>
    </row>
    <row r="4" spans="2:19" ht="15" customHeight="1" x14ac:dyDescent="0.25">
      <c r="B4" s="647" t="s">
        <v>296</v>
      </c>
      <c r="C4" s="648"/>
      <c r="D4" s="648"/>
      <c r="E4" s="653">
        <f>IF($G$13="","",VLOOKUP($G$13,RESUMO!$C:$G,5,FALSE))</f>
        <v>300</v>
      </c>
      <c r="F4" s="653"/>
      <c r="G4" s="640">
        <f t="shared" ref="G4:G9" si="0">E4*$O$13</f>
        <v>19500</v>
      </c>
      <c r="H4" s="641"/>
      <c r="J4" s="613"/>
      <c r="K4" s="614"/>
      <c r="L4" s="614"/>
      <c r="M4" s="614"/>
      <c r="N4" s="614"/>
      <c r="O4" s="614"/>
      <c r="P4" s="615"/>
      <c r="R4" s="36"/>
      <c r="S4" s="36"/>
    </row>
    <row r="5" spans="2:19" ht="15" customHeight="1" x14ac:dyDescent="0.25">
      <c r="B5" s="649" t="s">
        <v>297</v>
      </c>
      <c r="C5" s="650"/>
      <c r="D5" s="650"/>
      <c r="E5" s="654">
        <f>SUMIFS(K:K,P:P,"&lt;&gt;")</f>
        <v>713.52</v>
      </c>
      <c r="F5" s="654"/>
      <c r="G5" s="642">
        <f t="shared" si="0"/>
        <v>46378.799999999996</v>
      </c>
      <c r="H5" s="643"/>
      <c r="J5" s="613"/>
      <c r="K5" s="614"/>
      <c r="L5" s="614"/>
      <c r="M5" s="614"/>
      <c r="N5" s="614"/>
      <c r="O5" s="614"/>
      <c r="P5" s="615"/>
      <c r="R5" s="36"/>
      <c r="S5" s="36"/>
    </row>
    <row r="6" spans="2:19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5"/>
    </row>
    <row r="7" spans="2:19" ht="15" customHeight="1" x14ac:dyDescent="0.25">
      <c r="B7" s="649" t="s">
        <v>299</v>
      </c>
      <c r="C7" s="650"/>
      <c r="D7" s="650"/>
      <c r="E7" s="644">
        <f>E4-E5</f>
        <v>-413.52</v>
      </c>
      <c r="F7" s="645"/>
      <c r="G7" s="642">
        <f t="shared" si="0"/>
        <v>-26878.799999999999</v>
      </c>
      <c r="H7" s="643"/>
      <c r="J7" s="613"/>
      <c r="K7" s="614"/>
      <c r="L7" s="614"/>
      <c r="M7" s="614"/>
      <c r="N7" s="614"/>
      <c r="O7" s="614"/>
      <c r="P7" s="615"/>
    </row>
    <row r="8" spans="2:19" ht="15" customHeight="1" x14ac:dyDescent="0.25">
      <c r="B8" s="655" t="s">
        <v>300</v>
      </c>
      <c r="C8" s="656"/>
      <c r="D8" s="656"/>
      <c r="E8" s="657">
        <f>SUM(K:K)-E5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5"/>
    </row>
    <row r="9" spans="2:19" ht="15" customHeight="1" thickBot="1" x14ac:dyDescent="0.3">
      <c r="B9" s="651" t="s">
        <v>301</v>
      </c>
      <c r="C9" s="652"/>
      <c r="D9" s="652"/>
      <c r="E9" s="646">
        <f>SUMIF(P:P,CAPA!$I$2,K:K)</f>
        <v>713.52</v>
      </c>
      <c r="F9" s="646"/>
      <c r="G9" s="660">
        <f t="shared" si="0"/>
        <v>46378.799999999996</v>
      </c>
      <c r="H9" s="661"/>
      <c r="J9" s="616"/>
      <c r="K9" s="617"/>
      <c r="L9" s="617"/>
      <c r="M9" s="617"/>
      <c r="N9" s="617"/>
      <c r="O9" s="617"/>
      <c r="P9" s="618"/>
    </row>
    <row r="10" spans="2:19" ht="10.15" customHeight="1" thickTop="1" thickBot="1" x14ac:dyDescent="0.3"/>
    <row r="11" spans="2:19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6"/>
    </row>
    <row r="12" spans="2:19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14" t="s">
        <v>303</v>
      </c>
      <c r="O12" s="619" t="s">
        <v>304</v>
      </c>
      <c r="P12" s="620"/>
    </row>
    <row r="13" spans="2:19" s="8" customFormat="1" ht="30" customHeight="1" thickBot="1" x14ac:dyDescent="0.3">
      <c r="B13" s="15" t="str">
        <f>RESUMO!C33</f>
        <v>B.3</v>
      </c>
      <c r="C13" s="623" t="str">
        <f>IF($B$13="","",VLOOKUP($B$13,RESUMO!$C:$F,2,FALSE))</f>
        <v>Revestimento Vegetal</v>
      </c>
      <c r="D13" s="623"/>
      <c r="E13" s="623"/>
      <c r="F13" s="662"/>
      <c r="G13" s="16" t="str">
        <f>RESUMO!C35</f>
        <v>B.3.2</v>
      </c>
      <c r="H13" s="623" t="str">
        <f>IF($G$13="","",VLOOKUP($G$13,RESUMO!$C:$F,2,FALSE))</f>
        <v>Cerca com 4 fios de arame farpado e mourão de concreto de seção quadrada de 11 cm a cada 2,5 m e esticador de 15 cm a cada 50 m - areia e brita comerciais</v>
      </c>
      <c r="I13" s="623"/>
      <c r="J13" s="623"/>
      <c r="K13" s="623"/>
      <c r="L13" s="623"/>
      <c r="M13" s="623"/>
      <c r="N13" s="17" t="str">
        <f>IF($G$13="","",VLOOKUP($G$13,RESUMO!$C:$F,3,FALSE))</f>
        <v>m</v>
      </c>
      <c r="O13" s="621">
        <f>IF($G$13="","",VLOOKUP($G$13,RESUMO!$C:$F,4,FALSE))</f>
        <v>65</v>
      </c>
      <c r="P13" s="622"/>
    </row>
    <row r="14" spans="2:19" ht="10.15" customHeight="1" thickTop="1" thickBot="1" x14ac:dyDescent="0.3"/>
    <row r="15" spans="2:19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627" t="s">
        <v>310</v>
      </c>
      <c r="L15" s="627" t="s">
        <v>311</v>
      </c>
      <c r="M15" s="627" t="s">
        <v>312</v>
      </c>
      <c r="N15" s="627"/>
      <c r="O15" s="627"/>
      <c r="P15" s="629" t="s">
        <v>27</v>
      </c>
      <c r="R15" s="611" t="s">
        <v>313</v>
      </c>
      <c r="S15" s="611"/>
    </row>
    <row r="16" spans="2:19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628"/>
      <c r="L16" s="628"/>
      <c r="M16" s="628"/>
      <c r="N16" s="628"/>
      <c r="O16" s="628"/>
      <c r="P16" s="630"/>
      <c r="R16" s="35" t="s">
        <v>269</v>
      </c>
      <c r="S16" s="35" t="s">
        <v>47</v>
      </c>
    </row>
    <row r="17" spans="2:21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338</v>
      </c>
      <c r="I17" s="23" t="s">
        <v>325</v>
      </c>
      <c r="J17" s="23">
        <v>350.52</v>
      </c>
      <c r="K17" s="23">
        <f>J17</f>
        <v>350.52</v>
      </c>
      <c r="L17" s="23">
        <f>K17</f>
        <v>350.52</v>
      </c>
      <c r="M17" s="635" t="s">
        <v>326</v>
      </c>
      <c r="N17" s="635"/>
      <c r="O17" s="635"/>
      <c r="P17" s="24">
        <v>3</v>
      </c>
      <c r="R17" s="84" t="s">
        <v>72</v>
      </c>
      <c r="S17" s="83" t="str">
        <f>IF($R17="","",VLOOKUP($R17,RESUMO!$C:$D,2,FALSE))</f>
        <v>Escavação, carga e transporte de material de 1ª categoria - DMT de 800 a 1.000 m - caminho de serviço pavimentado - com escavadeira e caminhão basculante de 14 m³</v>
      </c>
      <c r="U17" s="85" t="str">
        <f>HYPERLINK("#"&amp;"'"&amp;R17&amp;"'"&amp;"!A1","LINK")</f>
        <v>LINK</v>
      </c>
    </row>
    <row r="18" spans="2:21" ht="19.899999999999999" customHeight="1" x14ac:dyDescent="0.25">
      <c r="B18" s="25" t="s">
        <v>316</v>
      </c>
      <c r="C18" s="26" t="s">
        <v>306</v>
      </c>
      <c r="D18" s="27">
        <v>297</v>
      </c>
      <c r="E18" s="28">
        <v>500</v>
      </c>
      <c r="F18" s="27"/>
      <c r="G18" s="28"/>
      <c r="H18" s="26" t="s">
        <v>338</v>
      </c>
      <c r="I18" s="11" t="s">
        <v>325</v>
      </c>
      <c r="J18" s="11">
        <v>38.4</v>
      </c>
      <c r="K18" s="11">
        <f>J18</f>
        <v>38.4</v>
      </c>
      <c r="L18" s="11">
        <f t="shared" ref="L18:L36" si="1">IF(B18="","",IF(OR(L17="",P18=""),L17,SUM(K18,L17)))</f>
        <v>388.91999999999996</v>
      </c>
      <c r="M18" s="612" t="s">
        <v>326</v>
      </c>
      <c r="N18" s="612"/>
      <c r="O18" s="612"/>
      <c r="P18" s="29">
        <v>3</v>
      </c>
      <c r="R18" s="84" t="s">
        <v>75</v>
      </c>
      <c r="S18" s="83" t="str">
        <f>IF($R18="","",VLOOKUP($R18,RESUMO!$C:$D,2,FALSE))</f>
        <v>Escavação e carga de material de 1ª categoria - DMT acima de 3.000 m</v>
      </c>
      <c r="U18" s="85" t="str">
        <f>HYPERLINK("#"&amp;"'"&amp;R18&amp;"'"&amp;"!A1","LINK")</f>
        <v>LINK</v>
      </c>
    </row>
    <row r="19" spans="2:21" ht="19.899999999999999" customHeight="1" x14ac:dyDescent="0.25">
      <c r="B19" s="25" t="s">
        <v>316</v>
      </c>
      <c r="C19" s="26" t="s">
        <v>306</v>
      </c>
      <c r="D19" s="27">
        <v>297</v>
      </c>
      <c r="E19" s="28">
        <v>500</v>
      </c>
      <c r="F19" s="27"/>
      <c r="G19" s="28"/>
      <c r="H19" s="26" t="s">
        <v>338</v>
      </c>
      <c r="I19" s="11" t="s">
        <v>325</v>
      </c>
      <c r="J19" s="11">
        <v>161</v>
      </c>
      <c r="K19" s="11">
        <f>J19</f>
        <v>161</v>
      </c>
      <c r="L19" s="11">
        <f t="shared" ref="L19:L20" si="2">IF(B19="","",IF(OR(L18="",P19=""),L18,SUM(K19,L18)))</f>
        <v>549.91999999999996</v>
      </c>
      <c r="M19" s="612" t="s">
        <v>326</v>
      </c>
      <c r="N19" s="612"/>
      <c r="O19" s="612"/>
      <c r="P19" s="29">
        <v>3</v>
      </c>
      <c r="R19" s="84" t="s">
        <v>80</v>
      </c>
      <c r="S19" s="83" t="str">
        <f>IF($R19="","",VLOOKUP($R19,RESUMO!$C:$D,2,FALSE))</f>
        <v>Regularização de bota-fora com espalhamento e execução de hidrossemeadura</v>
      </c>
      <c r="U19" s="85" t="str">
        <f>HYPERLINK("#"&amp;"'"&amp;R19&amp;"'"&amp;"!A1","LINK")</f>
        <v>LINK</v>
      </c>
    </row>
    <row r="20" spans="2:21" ht="19.899999999999999" customHeight="1" x14ac:dyDescent="0.25">
      <c r="B20" s="25" t="s">
        <v>316</v>
      </c>
      <c r="C20" s="26" t="s">
        <v>306</v>
      </c>
      <c r="D20" s="27">
        <v>297</v>
      </c>
      <c r="E20" s="28">
        <v>500</v>
      </c>
      <c r="F20" s="27"/>
      <c r="G20" s="28"/>
      <c r="H20" s="26" t="s">
        <v>338</v>
      </c>
      <c r="I20" s="11" t="s">
        <v>325</v>
      </c>
      <c r="J20" s="11">
        <v>163.6</v>
      </c>
      <c r="K20" s="11">
        <f>J20</f>
        <v>163.6</v>
      </c>
      <c r="L20" s="11">
        <f t="shared" si="2"/>
        <v>713.52</v>
      </c>
      <c r="M20" s="612" t="s">
        <v>326</v>
      </c>
      <c r="N20" s="612"/>
      <c r="O20" s="612"/>
      <c r="P20" s="29">
        <v>3</v>
      </c>
      <c r="R20" s="84" t="s">
        <v>82</v>
      </c>
      <c r="S20" s="83" t="str">
        <f>IF($R20="","",VLOOKUP($R20,RESUMO!$C:$D,2,FALSE))</f>
        <v>Royaltie de bota-fora</v>
      </c>
      <c r="U20" s="85" t="str">
        <f>HYPERLINK("#"&amp;"'"&amp;R20&amp;"'"&amp;"!A1","LINK")</f>
        <v>LINK</v>
      </c>
    </row>
    <row r="21" spans="2:21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612"/>
      <c r="N21" s="612"/>
      <c r="O21" s="612"/>
      <c r="P21" s="29"/>
    </row>
    <row r="22" spans="2:21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 t="str">
        <f>IF(J22="","",J22*#REF!)</f>
        <v/>
      </c>
      <c r="L22" s="11" t="str">
        <f t="shared" si="1"/>
        <v/>
      </c>
      <c r="M22" s="612"/>
      <c r="N22" s="612"/>
      <c r="O22" s="612"/>
      <c r="P22" s="29"/>
    </row>
    <row r="23" spans="2:21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 t="str">
        <f>IF(J23="","",J23*#REF!)</f>
        <v/>
      </c>
      <c r="L23" s="11" t="str">
        <f t="shared" si="1"/>
        <v/>
      </c>
      <c r="M23" s="612"/>
      <c r="N23" s="612"/>
      <c r="O23" s="612"/>
      <c r="P23" s="29"/>
    </row>
    <row r="24" spans="2:21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 t="str">
        <f>IF(J24="","",J24*#REF!)</f>
        <v/>
      </c>
      <c r="L24" s="11" t="str">
        <f t="shared" si="1"/>
        <v/>
      </c>
      <c r="M24" s="612"/>
      <c r="N24" s="612"/>
      <c r="O24" s="612"/>
      <c r="P24" s="29"/>
    </row>
    <row r="25" spans="2:21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 t="str">
        <f>IF(J25="","",J25*#REF!)</f>
        <v/>
      </c>
      <c r="L25" s="11" t="str">
        <f t="shared" si="1"/>
        <v/>
      </c>
      <c r="M25" s="612"/>
      <c r="N25" s="612"/>
      <c r="O25" s="612"/>
      <c r="P25" s="29"/>
    </row>
    <row r="26" spans="2:21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 t="str">
        <f>IF(J26="","",J26*#REF!)</f>
        <v/>
      </c>
      <c r="L26" s="11" t="str">
        <f t="shared" si="1"/>
        <v/>
      </c>
      <c r="M26" s="612"/>
      <c r="N26" s="612"/>
      <c r="O26" s="612"/>
      <c r="P26" s="29"/>
    </row>
    <row r="27" spans="2:21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 t="str">
        <f>IF(J27="","",J27*#REF!)</f>
        <v/>
      </c>
      <c r="L27" s="11" t="str">
        <f t="shared" si="1"/>
        <v/>
      </c>
      <c r="M27" s="612"/>
      <c r="N27" s="612"/>
      <c r="O27" s="612"/>
      <c r="P27" s="29"/>
    </row>
    <row r="28" spans="2:21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 t="str">
        <f>IF(J28="","",J28*#REF!)</f>
        <v/>
      </c>
      <c r="L28" s="11" t="str">
        <f t="shared" si="1"/>
        <v/>
      </c>
      <c r="M28" s="612"/>
      <c r="N28" s="612"/>
      <c r="O28" s="612"/>
      <c r="P28" s="29"/>
    </row>
    <row r="29" spans="2:21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 t="str">
        <f>IF(J29="","",J29*#REF!)</f>
        <v/>
      </c>
      <c r="L29" s="11" t="str">
        <f t="shared" si="1"/>
        <v/>
      </c>
      <c r="M29" s="612"/>
      <c r="N29" s="612"/>
      <c r="O29" s="612"/>
      <c r="P29" s="29"/>
    </row>
    <row r="30" spans="2:21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 t="str">
        <f>IF(J30="","",J30*#REF!)</f>
        <v/>
      </c>
      <c r="L30" s="11" t="str">
        <f t="shared" si="1"/>
        <v/>
      </c>
      <c r="M30" s="612"/>
      <c r="N30" s="612"/>
      <c r="O30" s="612"/>
      <c r="P30" s="29"/>
    </row>
    <row r="31" spans="2:21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 t="str">
        <f>IF(J31="","",J31*#REF!)</f>
        <v/>
      </c>
      <c r="L31" s="11" t="str">
        <f t="shared" si="1"/>
        <v/>
      </c>
      <c r="M31" s="612"/>
      <c r="N31" s="612"/>
      <c r="O31" s="612"/>
      <c r="P31" s="29"/>
    </row>
    <row r="32" spans="2:21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 t="str">
        <f>IF(J32="","",J32*#REF!)</f>
        <v/>
      </c>
      <c r="L32" s="11" t="str">
        <f t="shared" si="1"/>
        <v/>
      </c>
      <c r="M32" s="612"/>
      <c r="N32" s="612"/>
      <c r="O32" s="612"/>
      <c r="P32" s="29"/>
    </row>
    <row r="33" spans="2:16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 t="str">
        <f>IF(J33="","",J33*#REF!)</f>
        <v/>
      </c>
      <c r="L33" s="11" t="str">
        <f t="shared" si="1"/>
        <v/>
      </c>
      <c r="M33" s="612"/>
      <c r="N33" s="612"/>
      <c r="O33" s="612"/>
      <c r="P33" s="29"/>
    </row>
    <row r="34" spans="2:16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 t="str">
        <f>IF(J34="","",J34*#REF!)</f>
        <v/>
      </c>
      <c r="L34" s="11" t="str">
        <f t="shared" si="1"/>
        <v/>
      </c>
      <c r="M34" s="612"/>
      <c r="N34" s="612"/>
      <c r="O34" s="612"/>
      <c r="P34" s="29"/>
    </row>
    <row r="35" spans="2:16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 t="str">
        <f>IF(J35="","",J35*#REF!)</f>
        <v/>
      </c>
      <c r="L35" s="11" t="str">
        <f t="shared" si="1"/>
        <v/>
      </c>
      <c r="M35" s="612"/>
      <c r="N35" s="612"/>
      <c r="O35" s="612"/>
      <c r="P35" s="29"/>
    </row>
    <row r="36" spans="2:16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 t="str">
        <f>IF(J36="","",J36*#REF!)</f>
        <v/>
      </c>
      <c r="L36" s="12" t="str">
        <f t="shared" si="1"/>
        <v/>
      </c>
      <c r="M36" s="634"/>
      <c r="N36" s="634"/>
      <c r="O36" s="634"/>
      <c r="P36" s="34"/>
    </row>
    <row r="37" spans="2:16" ht="19.899999999999999" customHeight="1" thickTop="1" x14ac:dyDescent="0.25"/>
  </sheetData>
  <mergeCells count="70">
    <mergeCell ref="M36:O36"/>
    <mergeCell ref="M30:O30"/>
    <mergeCell ref="M31:O31"/>
    <mergeCell ref="M32:O32"/>
    <mergeCell ref="M33:O33"/>
    <mergeCell ref="M34:O34"/>
    <mergeCell ref="M35:O35"/>
    <mergeCell ref="R15:S15"/>
    <mergeCell ref="M29:O29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17:O17"/>
    <mergeCell ref="B15:B16"/>
    <mergeCell ref="C15:C16"/>
    <mergeCell ref="D15:E15"/>
    <mergeCell ref="F15:G15"/>
    <mergeCell ref="H15:H16"/>
    <mergeCell ref="I15:I16"/>
    <mergeCell ref="K15:K16"/>
    <mergeCell ref="L15:L16"/>
    <mergeCell ref="M15:O16"/>
    <mergeCell ref="C13:F13"/>
    <mergeCell ref="H13:M13"/>
    <mergeCell ref="O13:P13"/>
    <mergeCell ref="P15:P16"/>
    <mergeCell ref="B8:D8"/>
    <mergeCell ref="E8:F8"/>
    <mergeCell ref="G8:H8"/>
    <mergeCell ref="J8:P8"/>
    <mergeCell ref="B9:D9"/>
    <mergeCell ref="E9:F9"/>
    <mergeCell ref="G9:H9"/>
    <mergeCell ref="J9:P9"/>
    <mergeCell ref="B11:F11"/>
    <mergeCell ref="G11:P11"/>
    <mergeCell ref="C12:F12"/>
    <mergeCell ref="H12:M12"/>
    <mergeCell ref="O12:P12"/>
    <mergeCell ref="B6:D6"/>
    <mergeCell ref="E6:F6"/>
    <mergeCell ref="G6:H6"/>
    <mergeCell ref="J6:P6"/>
    <mergeCell ref="B7:D7"/>
    <mergeCell ref="E7:F7"/>
    <mergeCell ref="G7:H7"/>
    <mergeCell ref="J7:P7"/>
    <mergeCell ref="B4:D4"/>
    <mergeCell ref="E4:F4"/>
    <mergeCell ref="G4:H4"/>
    <mergeCell ref="J4:P4"/>
    <mergeCell ref="B5:D5"/>
    <mergeCell ref="E5:F5"/>
    <mergeCell ref="G5:H5"/>
    <mergeCell ref="J5:P5"/>
    <mergeCell ref="B2:D3"/>
    <mergeCell ref="E2:H2"/>
    <mergeCell ref="J2:P2"/>
    <mergeCell ref="R2:S2"/>
    <mergeCell ref="E3:F3"/>
    <mergeCell ref="G3:H3"/>
    <mergeCell ref="J3:P3"/>
  </mergeCells>
  <conditionalFormatting sqref="B17:M36">
    <cfRule type="containsBlanks" dxfId="91" priority="1">
      <formula>LEN(TRIM(B17))=0</formula>
    </cfRule>
  </conditionalFormatting>
  <conditionalFormatting sqref="P17:P36">
    <cfRule type="containsBlanks" dxfId="90" priority="2">
      <formula>LEN(TRIM(P17))=0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7A34-D97D-47C8-8AE7-A78CF9E8B41B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7740.78</v>
      </c>
      <c r="F4" s="653"/>
      <c r="G4" s="640">
        <f t="shared" ref="G4:G9" si="0">E4*$P$13</f>
        <v>6657.07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7740.7789999999995</v>
      </c>
      <c r="F5" s="654"/>
      <c r="G5" s="642">
        <f t="shared" si="0"/>
        <v>6657.0691400001033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7740.7789999999995</v>
      </c>
      <c r="F6" s="654"/>
      <c r="G6" s="642">
        <f t="shared" si="0"/>
        <v>6657.0691400001033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1.0000000002037268E-3</v>
      </c>
      <c r="F7" s="645"/>
      <c r="G7" s="642">
        <f t="shared" si="0"/>
        <v>8.5999989682644694E-4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RESUMO!C37</f>
        <v>C.1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RESUMO!C38</f>
        <v>C.1.1</v>
      </c>
      <c r="H13" s="623" t="str">
        <f>IF($G$13="","",VLOOKUP($G$13,RESUMO!$C:$F,2,FALSE))</f>
        <v>Desmatamento, destocamento, limpeza de área e estocagem do material de limpeza com árvores de diâmetro até 0,15 m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m²</v>
      </c>
      <c r="P13" s="621">
        <f>IF($G$13="","",VLOOKUP($G$13,RESUMO!$C:$F,4,FALSE))</f>
        <v>0.85999989665124188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340</v>
      </c>
      <c r="I17" s="23" t="s">
        <v>341</v>
      </c>
      <c r="J17" s="23"/>
      <c r="K17" s="23"/>
      <c r="L17" s="23">
        <v>1319.7270000000001</v>
      </c>
      <c r="M17" s="23">
        <f>IF(OR(B17="",L17=""),"",IF(AND(M16="",Q17=""),M16,SUM(L17,M16)))</f>
        <v>1319.7270000000001</v>
      </c>
      <c r="N17" s="612" t="s">
        <v>326</v>
      </c>
      <c r="O17" s="612"/>
      <c r="P17" s="612"/>
      <c r="Q17" s="24">
        <v>1</v>
      </c>
      <c r="S17" s="84" t="s">
        <v>106</v>
      </c>
      <c r="T17" s="83" t="str">
        <f>IF($S17="","",VLOOKUP($S17,RESUMO!$C:$D,2,FALSE))</f>
        <v>Desmatamento, destocamento, limpeza de área e estocagem do material de limpeza com árvores de diâmetro até 0,15 m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"/>
      <c r="K18" s="11"/>
      <c r="L18" s="11">
        <v>834.00900000000001</v>
      </c>
      <c r="M18" s="11">
        <f>IF(B18="","",IF(OR(M17="",Q18=""),M17,SUM(L18,M17)))</f>
        <v>2153.7359999999999</v>
      </c>
      <c r="N18" s="612" t="s">
        <v>326</v>
      </c>
      <c r="O18" s="612"/>
      <c r="P18" s="612"/>
      <c r="Q18" s="29">
        <v>1</v>
      </c>
      <c r="S18" s="84" t="s">
        <v>108</v>
      </c>
      <c r="T18" s="83" t="str">
        <f>IF($S18="","",VLOOKUP($S18,RESUMO!$C:$D,2,FALSE))</f>
        <v>Transporte com caminhão basculante de 14 m³ - rodovia pavimentada</v>
      </c>
      <c r="V18" s="85" t="str">
        <f t="shared" ref="V18:V20" si="1">HYPERLINK("#"&amp;"'"&amp;S18&amp;"'"&amp;"!A1","LINK")</f>
        <v>LINK</v>
      </c>
    </row>
    <row r="19" spans="2:22" ht="19.899999999999999" customHeight="1" x14ac:dyDescent="0.25">
      <c r="B19" s="25" t="s">
        <v>316</v>
      </c>
      <c r="C19" s="26" t="s">
        <v>306</v>
      </c>
      <c r="D19" s="27">
        <v>303</v>
      </c>
      <c r="E19" s="28">
        <v>450</v>
      </c>
      <c r="F19" s="27"/>
      <c r="G19" s="28"/>
      <c r="H19" s="26" t="s">
        <v>306</v>
      </c>
      <c r="I19" s="11" t="s">
        <v>341</v>
      </c>
      <c r="J19" s="11"/>
      <c r="K19" s="11"/>
      <c r="L19" s="11">
        <v>5587.0429999999997</v>
      </c>
      <c r="M19" s="11">
        <f>IF(B19="","",IF(OR(M18="",Q19=""),M18,SUM(L19,M18)))</f>
        <v>7740.7789999999995</v>
      </c>
      <c r="N19" s="612" t="s">
        <v>342</v>
      </c>
      <c r="O19" s="612"/>
      <c r="P19" s="612"/>
      <c r="Q19" s="29">
        <v>1</v>
      </c>
      <c r="S19" s="84" t="s">
        <v>110</v>
      </c>
      <c r="T19" s="83" t="str">
        <f>IF($S19="","",VLOOKUP($S19,RESUMO!$C:$D,2,FALSE))</f>
        <v>Escavação, carga e transporte de material de 1ª categoria - DMT de 1.000 a 1.200 m -  com escavadeira e caminhão basculante de 14 m³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ref="L20:L36" si="2">IF(J20="","",J20*K20)</f>
        <v/>
      </c>
      <c r="M20" s="11" t="str">
        <f t="shared" ref="M20:M36" si="3">IF(B20="","",IF(OR(M19="",Q20=""),M19,SUM(L20,M19)))</f>
        <v/>
      </c>
      <c r="N20" s="612"/>
      <c r="O20" s="612"/>
      <c r="P20" s="612"/>
      <c r="Q20" s="29"/>
      <c r="S20" s="84" t="s">
        <v>112</v>
      </c>
      <c r="T20" s="83" t="str">
        <f>IF($S20="","",VLOOKUP($S20,RESUMO!$C:$D,2,FALSE))</f>
        <v>Regularização de bota-fora com espalhamento e execução de hidrossemeadura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2"/>
        <v/>
      </c>
      <c r="M21" s="11" t="str">
        <f t="shared" si="3"/>
        <v/>
      </c>
      <c r="N21" s="612"/>
      <c r="O21" s="612"/>
      <c r="P21" s="612"/>
      <c r="Q21" s="29"/>
      <c r="S21" s="84"/>
      <c r="T21" s="83"/>
      <c r="V21" s="85"/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2"/>
        <v/>
      </c>
      <c r="M22" s="11" t="str">
        <f t="shared" si="3"/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  <c r="T25" s="1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phoneticPr fontId="16" type="noConversion"/>
  <conditionalFormatting sqref="B17:N36 Q17:Q36">
    <cfRule type="containsBlanks" dxfId="89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BBB8-3541-420D-9832-8C01F94DECF6}">
  <sheetPr>
    <pageSetUpPr fitToPage="1"/>
  </sheetPr>
  <dimension ref="B1:AB46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9" width="12.7109375" style="3" customWidth="1"/>
    <col min="20" max="20" width="20.7109375" style="3" customWidth="1"/>
    <col min="21" max="22" width="10.7109375" style="3" customWidth="1"/>
    <col min="23" max="16384" width="10.7109375" style="3"/>
  </cols>
  <sheetData>
    <row r="1" spans="2:26" ht="19.899999999999999" customHeight="1" thickBot="1" x14ac:dyDescent="0.3"/>
    <row r="2" spans="2:26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3"/>
      <c r="Y2" s="611" t="s">
        <v>294</v>
      </c>
      <c r="Z2" s="611"/>
    </row>
    <row r="3" spans="2:26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5"/>
      <c r="Y3" s="36"/>
      <c r="Z3" s="36"/>
    </row>
    <row r="4" spans="2:26" ht="15" customHeight="1" x14ac:dyDescent="0.25">
      <c r="B4" s="647" t="s">
        <v>296</v>
      </c>
      <c r="C4" s="648"/>
      <c r="D4" s="648"/>
      <c r="E4" s="653">
        <f>IF($G$13="","",VLOOKUP($G$13,RESUMO!$C:$G,5,FALSE))</f>
        <v>603.78</v>
      </c>
      <c r="F4" s="653"/>
      <c r="G4" s="640">
        <f t="shared" ref="G4:G9" si="0">E4*$V$13</f>
        <v>929.81999999999994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5"/>
      <c r="Y4" s="36"/>
      <c r="Z4" s="36"/>
    </row>
    <row r="5" spans="2:26" ht="15" customHeight="1" x14ac:dyDescent="0.25">
      <c r="B5" s="649" t="s">
        <v>297</v>
      </c>
      <c r="C5" s="650"/>
      <c r="D5" s="650"/>
      <c r="E5" s="654">
        <f>SUMIFS(R:R,W:W,"&lt;&gt;")</f>
        <v>603.7807620000001</v>
      </c>
      <c r="F5" s="654"/>
      <c r="G5" s="642">
        <f t="shared" si="0"/>
        <v>929.82117347848566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  <c r="V5" s="614"/>
      <c r="W5" s="615"/>
      <c r="Y5" s="36"/>
      <c r="Z5" s="36"/>
    </row>
    <row r="6" spans="2:26" ht="15" customHeight="1" x14ac:dyDescent="0.25">
      <c r="B6" s="649" t="s">
        <v>298</v>
      </c>
      <c r="C6" s="650"/>
      <c r="D6" s="650"/>
      <c r="E6" s="654">
        <f>E5-E9</f>
        <v>603.7807620000001</v>
      </c>
      <c r="F6" s="654"/>
      <c r="G6" s="642">
        <f t="shared" si="0"/>
        <v>929.82117347848566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4"/>
      <c r="T6" s="614"/>
      <c r="U6" s="614"/>
      <c r="V6" s="614"/>
      <c r="W6" s="615"/>
    </row>
    <row r="7" spans="2:26" ht="15" customHeight="1" x14ac:dyDescent="0.25">
      <c r="B7" s="649" t="s">
        <v>299</v>
      </c>
      <c r="C7" s="650"/>
      <c r="D7" s="650"/>
      <c r="E7" s="644">
        <f>E4-E5</f>
        <v>-7.6200000012249802E-4</v>
      </c>
      <c r="F7" s="645"/>
      <c r="G7" s="642">
        <f t="shared" si="0"/>
        <v>-1.1734784857297378E-3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4"/>
      <c r="T7" s="614"/>
      <c r="U7" s="614"/>
      <c r="V7" s="614"/>
      <c r="W7" s="615"/>
    </row>
    <row r="8" spans="2:26" ht="15" customHeight="1" x14ac:dyDescent="0.25">
      <c r="B8" s="655" t="s">
        <v>300</v>
      </c>
      <c r="C8" s="656"/>
      <c r="D8" s="656"/>
      <c r="E8" s="657">
        <f>SUM(R:R)-E5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4"/>
      <c r="T8" s="614"/>
      <c r="U8" s="614"/>
      <c r="V8" s="614"/>
      <c r="W8" s="615"/>
    </row>
    <row r="9" spans="2:26" ht="15" customHeight="1" thickBot="1" x14ac:dyDescent="0.3">
      <c r="B9" s="651" t="s">
        <v>301</v>
      </c>
      <c r="C9" s="652"/>
      <c r="D9" s="652"/>
      <c r="E9" s="646">
        <f>SUMIF(W:W,CAPA!$I$2,R:R)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7"/>
      <c r="T9" s="617"/>
      <c r="U9" s="617"/>
      <c r="V9" s="617"/>
      <c r="W9" s="618"/>
    </row>
    <row r="10" spans="2:26" ht="10.15" customHeight="1" thickTop="1" thickBot="1" x14ac:dyDescent="0.3"/>
    <row r="11" spans="2:26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5"/>
      <c r="U11" s="625"/>
      <c r="V11" s="625"/>
      <c r="W11" s="626"/>
    </row>
    <row r="12" spans="2:26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619"/>
      <c r="R12" s="619"/>
      <c r="S12" s="619"/>
      <c r="T12" s="619"/>
      <c r="U12" s="14" t="s">
        <v>303</v>
      </c>
      <c r="V12" s="619" t="s">
        <v>304</v>
      </c>
      <c r="W12" s="620"/>
    </row>
    <row r="13" spans="2:26" s="8" customFormat="1" ht="30" customHeight="1" thickBot="1" x14ac:dyDescent="0.3">
      <c r="B13" s="15" t="str">
        <f>RESUMO!C37</f>
        <v>C.1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RESUMO!C39</f>
        <v>C.1.2</v>
      </c>
      <c r="H13" s="623" t="str">
        <f>IF($G$13="","",VLOOKUP($G$13,RESUMO!$C:$F,2,FALSE))</f>
        <v>Transporte com caminhão basculante de 14 m³ - rodovia pavimentada</v>
      </c>
      <c r="I13" s="623"/>
      <c r="J13" s="623"/>
      <c r="K13" s="623"/>
      <c r="L13" s="623"/>
      <c r="M13" s="623"/>
      <c r="N13" s="623"/>
      <c r="O13" s="623"/>
      <c r="P13" s="623"/>
      <c r="Q13" s="623"/>
      <c r="R13" s="623"/>
      <c r="S13" s="623"/>
      <c r="T13" s="623"/>
      <c r="U13" s="17" t="str">
        <f>IF($G$13="","",VLOOKUP($G$13,RESUMO!$C:$F,3,FALSE))</f>
        <v>T x Km</v>
      </c>
      <c r="V13" s="621">
        <f>IF($G$13="","",VLOOKUP($G$13,RESUMO!$C:$F,4,FALSE))</f>
        <v>1.539998012521117</v>
      </c>
      <c r="W13" s="622"/>
    </row>
    <row r="14" spans="2:26" ht="10.15" customHeight="1" thickTop="1" thickBot="1" x14ac:dyDescent="0.3"/>
    <row r="15" spans="2:26" ht="13.5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627" t="s">
        <v>327</v>
      </c>
      <c r="K15" s="627" t="s">
        <v>328</v>
      </c>
      <c r="L15" s="627"/>
      <c r="M15" s="9" t="s">
        <v>329</v>
      </c>
      <c r="N15" s="9" t="s">
        <v>323</v>
      </c>
      <c r="O15" s="9" t="s">
        <v>330</v>
      </c>
      <c r="P15" s="9" t="s">
        <v>331</v>
      </c>
      <c r="Q15" s="627" t="s">
        <v>332</v>
      </c>
      <c r="R15" s="627" t="s">
        <v>310</v>
      </c>
      <c r="S15" s="627" t="s">
        <v>311</v>
      </c>
      <c r="T15" s="627" t="s">
        <v>312</v>
      </c>
      <c r="U15" s="627"/>
      <c r="V15" s="627"/>
      <c r="W15" s="629" t="s">
        <v>27</v>
      </c>
      <c r="Y15" s="611" t="s">
        <v>313</v>
      </c>
      <c r="Z15" s="611"/>
    </row>
    <row r="16" spans="2:26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28"/>
      <c r="K16" s="10" t="s">
        <v>314</v>
      </c>
      <c r="L16" s="10" t="s">
        <v>315</v>
      </c>
      <c r="M16" s="10" t="s">
        <v>333</v>
      </c>
      <c r="N16" s="10" t="s">
        <v>322</v>
      </c>
      <c r="O16" s="10" t="s">
        <v>334</v>
      </c>
      <c r="P16" s="10" t="s">
        <v>335</v>
      </c>
      <c r="Q16" s="628"/>
      <c r="R16" s="628"/>
      <c r="S16" s="628"/>
      <c r="T16" s="628"/>
      <c r="U16" s="628"/>
      <c r="V16" s="628"/>
      <c r="W16" s="630"/>
      <c r="Y16" s="35" t="s">
        <v>269</v>
      </c>
      <c r="Z16" s="35" t="s">
        <v>47</v>
      </c>
    </row>
    <row r="17" spans="2:28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340</v>
      </c>
      <c r="I17" s="23" t="s">
        <v>341</v>
      </c>
      <c r="J17" s="23" t="s">
        <v>343</v>
      </c>
      <c r="K17" s="21"/>
      <c r="L17" s="22"/>
      <c r="M17" s="23">
        <v>1319.7270000000001</v>
      </c>
      <c r="N17" s="23">
        <v>0.15</v>
      </c>
      <c r="O17" s="23">
        <f>M17*N17</f>
        <v>197.95905000000002</v>
      </c>
      <c r="P17" s="23">
        <v>0.4</v>
      </c>
      <c r="Q17" s="23">
        <v>1.3</v>
      </c>
      <c r="R17" s="23">
        <f>O17*P17*Q17</f>
        <v>102.93870600000002</v>
      </c>
      <c r="S17" s="23">
        <f>IF(OR(B17="",R17=""),"",IF(AND(S16="",W17=""),S16,SUM(R17,S16)))</f>
        <v>102.93870600000002</v>
      </c>
      <c r="T17" s="612" t="s">
        <v>326</v>
      </c>
      <c r="U17" s="612"/>
      <c r="V17" s="612"/>
      <c r="W17" s="24">
        <v>1</v>
      </c>
      <c r="Y17" s="84" t="s">
        <v>106</v>
      </c>
      <c r="Z17" s="83" t="str">
        <f>IF($Y17="","",VLOOKUP($Y17,RESUMO!$C:$D,2,FALSE))</f>
        <v>Desmatamento, destocamento, limpeza de área e estocagem do material de limpeza com árvores de diâmetro até 0,15 m</v>
      </c>
      <c r="AB17" s="85" t="str">
        <f>HYPERLINK("#"&amp;"'"&amp;Y17&amp;"'"&amp;"!A1","LINK")</f>
        <v>LINK</v>
      </c>
    </row>
    <row r="18" spans="2:28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" t="s">
        <v>343</v>
      </c>
      <c r="K18" s="27"/>
      <c r="L18" s="28"/>
      <c r="M18" s="11">
        <v>834.00900000000001</v>
      </c>
      <c r="N18" s="11">
        <v>0.15</v>
      </c>
      <c r="O18" s="11">
        <f>M18*N18</f>
        <v>125.10135</v>
      </c>
      <c r="P18" s="11">
        <v>0.4</v>
      </c>
      <c r="Q18" s="11">
        <v>1.3</v>
      </c>
      <c r="R18" s="11">
        <f>O18*P18*Q18</f>
        <v>65.052701999999996</v>
      </c>
      <c r="S18" s="11">
        <f t="shared" ref="S18:S45" si="1">IF(B18="","",IF(OR(S17="",W18=""),S17,SUM(R18,S17)))</f>
        <v>167.99140800000004</v>
      </c>
      <c r="T18" s="612" t="s">
        <v>326</v>
      </c>
      <c r="U18" s="612"/>
      <c r="V18" s="612"/>
      <c r="W18" s="29">
        <v>1</v>
      </c>
      <c r="Y18" s="84" t="s">
        <v>108</v>
      </c>
      <c r="Z18" s="83" t="str">
        <f>IF($Y18="","",VLOOKUP($Y18,RESUMO!$C:$D,2,FALSE))</f>
        <v>Transporte com caminhão basculante de 14 m³ - rodovia pavimentada</v>
      </c>
      <c r="AB18" s="85" t="str">
        <f t="shared" ref="AB18:AB20" si="2">HYPERLINK("#"&amp;"'"&amp;Y18&amp;"'"&amp;"!A1","LINK")</f>
        <v>LINK</v>
      </c>
    </row>
    <row r="19" spans="2:28" ht="19.899999999999999" customHeight="1" x14ac:dyDescent="0.25">
      <c r="B19" s="25" t="s">
        <v>316</v>
      </c>
      <c r="C19" s="26" t="s">
        <v>306</v>
      </c>
      <c r="D19" s="27">
        <v>303</v>
      </c>
      <c r="E19" s="28">
        <v>450</v>
      </c>
      <c r="F19" s="27"/>
      <c r="G19" s="28"/>
      <c r="H19" s="26" t="s">
        <v>306</v>
      </c>
      <c r="I19" s="11" t="s">
        <v>341</v>
      </c>
      <c r="J19" s="11" t="s">
        <v>343</v>
      </c>
      <c r="K19" s="27"/>
      <c r="L19" s="28"/>
      <c r="M19" s="11">
        <v>5587.0429999999997</v>
      </c>
      <c r="N19" s="11">
        <v>0.15</v>
      </c>
      <c r="O19" s="11">
        <f>M19*N19</f>
        <v>838.05644999999993</v>
      </c>
      <c r="P19" s="11">
        <v>0.4</v>
      </c>
      <c r="Q19" s="11">
        <v>1.3</v>
      </c>
      <c r="R19" s="11">
        <f>O19*P19*Q19</f>
        <v>435.789354</v>
      </c>
      <c r="S19" s="11">
        <f t="shared" si="1"/>
        <v>603.7807620000001</v>
      </c>
      <c r="T19" s="612" t="s">
        <v>326</v>
      </c>
      <c r="U19" s="612"/>
      <c r="V19" s="612"/>
      <c r="W19" s="29">
        <v>1</v>
      </c>
      <c r="Y19" s="84" t="s">
        <v>110</v>
      </c>
      <c r="Z19" s="83" t="str">
        <f>IF($Y19="","",VLOOKUP($Y19,RESUMO!$C:$D,2,FALSE))</f>
        <v>Escavação, carga e transporte de material de 1ª categoria - DMT de 1.000 a 1.200 m -  com escavadeira e caminhão basculante de 14 m³</v>
      </c>
      <c r="AB19" s="85" t="str">
        <f t="shared" si="2"/>
        <v>LINK</v>
      </c>
    </row>
    <row r="20" spans="2:28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27"/>
      <c r="L20" s="28"/>
      <c r="M20" s="28"/>
      <c r="N20" s="28"/>
      <c r="O20" s="28"/>
      <c r="P20" s="11"/>
      <c r="Q20" s="11" t="str">
        <f>IF(F20="","",IF(OR(Q19="",U20=""),Q19,SUM(#REF!,Q19)))</f>
        <v/>
      </c>
      <c r="R20" s="11" t="str">
        <f>IF(G20="","",IF(OR(R19="",V20=""),R19,SUM(#REF!,R19)))</f>
        <v/>
      </c>
      <c r="S20" s="11" t="str">
        <f t="shared" si="1"/>
        <v/>
      </c>
      <c r="T20" s="612"/>
      <c r="U20" s="612"/>
      <c r="V20" s="612"/>
      <c r="W20" s="29"/>
      <c r="Y20" s="84" t="s">
        <v>112</v>
      </c>
      <c r="Z20" s="83" t="str">
        <f>IF($Y20="","",VLOOKUP($Y20,RESUMO!$C:$D,2,FALSE))</f>
        <v>Regularização de bota-fora com espalhamento e execução de hidrossemeadura</v>
      </c>
      <c r="AB20" s="85" t="str">
        <f t="shared" si="2"/>
        <v>LINK</v>
      </c>
    </row>
    <row r="21" spans="2:28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27"/>
      <c r="L21" s="28"/>
      <c r="M21" s="28"/>
      <c r="N21" s="28"/>
      <c r="O21" s="28"/>
      <c r="P21" s="11"/>
      <c r="Q21" s="11" t="str">
        <f>IF(F21="","",IF(OR(Q20="",U21=""),Q20,SUM(#REF!,Q20)))</f>
        <v/>
      </c>
      <c r="R21" s="11" t="str">
        <f>IF(G21="","",IF(OR(R20="",V21=""),R20,SUM(#REF!,R20)))</f>
        <v/>
      </c>
      <c r="S21" s="11" t="str">
        <f t="shared" si="1"/>
        <v/>
      </c>
      <c r="T21" s="612"/>
      <c r="U21" s="612"/>
      <c r="V21" s="612"/>
      <c r="W21" s="29"/>
      <c r="Y21" s="84"/>
      <c r="Z21" s="83"/>
      <c r="AB21" s="85"/>
    </row>
    <row r="22" spans="2:28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27"/>
      <c r="L22" s="28"/>
      <c r="M22" s="28"/>
      <c r="N22" s="28"/>
      <c r="O22" s="28"/>
      <c r="P22" s="11"/>
      <c r="Q22" s="11" t="str">
        <f>IF(F22="","",IF(OR(Q21="",U22=""),Q21,SUM(#REF!,Q21)))</f>
        <v/>
      </c>
      <c r="R22" s="11" t="str">
        <f>IF(G22="","",IF(OR(R21="",V22=""),R21,SUM(#REF!,R21)))</f>
        <v/>
      </c>
      <c r="S22" s="11" t="str">
        <f t="shared" si="1"/>
        <v/>
      </c>
      <c r="T22" s="612"/>
      <c r="U22" s="612"/>
      <c r="V22" s="612"/>
      <c r="W22" s="29"/>
    </row>
    <row r="23" spans="2:28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27"/>
      <c r="L23" s="28"/>
      <c r="M23" s="28"/>
      <c r="N23" s="28"/>
      <c r="O23" s="28"/>
      <c r="P23" s="11"/>
      <c r="Q23" s="11" t="str">
        <f>IF(F23="","",IF(OR(Q22="",U23=""),Q22,SUM(#REF!,Q22)))</f>
        <v/>
      </c>
      <c r="R23" s="11" t="str">
        <f>IF(G23="","",IF(OR(R22="",V23=""),R22,SUM(#REF!,R22)))</f>
        <v/>
      </c>
      <c r="S23" s="11" t="str">
        <f t="shared" si="1"/>
        <v/>
      </c>
      <c r="T23" s="612"/>
      <c r="U23" s="612"/>
      <c r="V23" s="612"/>
      <c r="W23" s="29"/>
    </row>
    <row r="24" spans="2:28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27"/>
      <c r="L24" s="28"/>
      <c r="M24" s="28"/>
      <c r="N24" s="28"/>
      <c r="O24" s="28"/>
      <c r="P24" s="11"/>
      <c r="Q24" s="11" t="str">
        <f>IF(F24="","",IF(OR(Q23="",U24=""),Q23,SUM(#REF!,Q23)))</f>
        <v/>
      </c>
      <c r="R24" s="11" t="str">
        <f>IF(G24="","",IF(OR(R23="",V24=""),R23,SUM(#REF!,R23)))</f>
        <v/>
      </c>
      <c r="S24" s="11" t="str">
        <f t="shared" si="1"/>
        <v/>
      </c>
      <c r="T24" s="612"/>
      <c r="U24" s="612"/>
      <c r="V24" s="612"/>
      <c r="W24" s="29"/>
    </row>
    <row r="25" spans="2:28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27"/>
      <c r="L25" s="28"/>
      <c r="M25" s="28"/>
      <c r="N25" s="28"/>
      <c r="O25" s="28"/>
      <c r="P25" s="11"/>
      <c r="Q25" s="11" t="str">
        <f>IF(F25="","",IF(OR(Q24="",U25=""),Q24,SUM(#REF!,Q24)))</f>
        <v/>
      </c>
      <c r="R25" s="11" t="str">
        <f>IF(G25="","",IF(OR(R24="",V25=""),R24,SUM(#REF!,R24)))</f>
        <v/>
      </c>
      <c r="S25" s="11" t="str">
        <f t="shared" si="1"/>
        <v/>
      </c>
      <c r="T25" s="612"/>
      <c r="U25" s="612"/>
      <c r="V25" s="612"/>
      <c r="W25" s="29"/>
    </row>
    <row r="26" spans="2:28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27"/>
      <c r="L26" s="28"/>
      <c r="M26" s="28"/>
      <c r="N26" s="28"/>
      <c r="O26" s="28"/>
      <c r="P26" s="11"/>
      <c r="Q26" s="11" t="str">
        <f>IF(F26="","",IF(OR(Q25="",U26=""),Q25,SUM(#REF!,Q25)))</f>
        <v/>
      </c>
      <c r="R26" s="11" t="str">
        <f>IF(G26="","",IF(OR(R25="",V26=""),R25,SUM(#REF!,R25)))</f>
        <v/>
      </c>
      <c r="S26" s="11" t="str">
        <f t="shared" si="1"/>
        <v/>
      </c>
      <c r="T26" s="612"/>
      <c r="U26" s="612"/>
      <c r="V26" s="612"/>
      <c r="W26" s="29"/>
    </row>
    <row r="27" spans="2:28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27"/>
      <c r="L27" s="28"/>
      <c r="M27" s="28"/>
      <c r="N27" s="28"/>
      <c r="O27" s="28"/>
      <c r="P27" s="11"/>
      <c r="Q27" s="11" t="str">
        <f>IF(F27="","",IF(OR(Q26="",U27=""),Q26,SUM(#REF!,Q26)))</f>
        <v/>
      </c>
      <c r="R27" s="11" t="str">
        <f>IF(G27="","",IF(OR(R26="",V27=""),R26,SUM(#REF!,R26)))</f>
        <v/>
      </c>
      <c r="S27" s="11" t="str">
        <f t="shared" si="1"/>
        <v/>
      </c>
      <c r="T27" s="612"/>
      <c r="U27" s="612"/>
      <c r="V27" s="612"/>
      <c r="W27" s="29"/>
    </row>
    <row r="28" spans="2:28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27"/>
      <c r="L28" s="28"/>
      <c r="M28" s="28"/>
      <c r="N28" s="28"/>
      <c r="O28" s="28"/>
      <c r="P28" s="11"/>
      <c r="Q28" s="11" t="str">
        <f>IF(F28="","",IF(OR(Q27="",U28=""),Q27,SUM(#REF!,Q27)))</f>
        <v/>
      </c>
      <c r="R28" s="11" t="str">
        <f>IF(G28="","",IF(OR(R27="",V28=""),R27,SUM(#REF!,R27)))</f>
        <v/>
      </c>
      <c r="S28" s="11" t="str">
        <f t="shared" si="1"/>
        <v/>
      </c>
      <c r="T28" s="612"/>
      <c r="U28" s="612"/>
      <c r="V28" s="612"/>
      <c r="W28" s="29"/>
    </row>
    <row r="29" spans="2:28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27"/>
      <c r="L29" s="28"/>
      <c r="M29" s="28"/>
      <c r="N29" s="28"/>
      <c r="O29" s="28"/>
      <c r="P29" s="11"/>
      <c r="Q29" s="11" t="str">
        <f>IF(F29="","",IF(OR(Q28="",U29=""),Q28,SUM(#REF!,Q28)))</f>
        <v/>
      </c>
      <c r="R29" s="11" t="str">
        <f>IF(G29="","",IF(OR(R28="",V29=""),R28,SUM(#REF!,R28)))</f>
        <v/>
      </c>
      <c r="S29" s="11" t="str">
        <f t="shared" si="1"/>
        <v/>
      </c>
      <c r="T29" s="612"/>
      <c r="U29" s="612"/>
      <c r="V29" s="612"/>
      <c r="W29" s="29"/>
    </row>
    <row r="30" spans="2:28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27"/>
      <c r="L30" s="28"/>
      <c r="M30" s="28"/>
      <c r="N30" s="28"/>
      <c r="O30" s="28"/>
      <c r="P30" s="11"/>
      <c r="Q30" s="11" t="str">
        <f>IF(F30="","",IF(OR(Q29="",U30=""),Q29,SUM(#REF!,Q29)))</f>
        <v/>
      </c>
      <c r="R30" s="11" t="str">
        <f>IF(G30="","",IF(OR(R29="",V30=""),R29,SUM(#REF!,R29)))</f>
        <v/>
      </c>
      <c r="S30" s="11" t="str">
        <f t="shared" si="1"/>
        <v/>
      </c>
      <c r="T30" s="612"/>
      <c r="U30" s="612"/>
      <c r="V30" s="612"/>
      <c r="W30" s="29"/>
    </row>
    <row r="31" spans="2:28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27"/>
      <c r="L31" s="28"/>
      <c r="M31" s="28"/>
      <c r="N31" s="28"/>
      <c r="O31" s="28"/>
      <c r="P31" s="11"/>
      <c r="Q31" s="11" t="str">
        <f>IF(F31="","",IF(OR(Q30="",U31=""),Q30,SUM(#REF!,Q30)))</f>
        <v/>
      </c>
      <c r="R31" s="11" t="str">
        <f>IF(G31="","",IF(OR(R30="",V31=""),R30,SUM(#REF!,R30)))</f>
        <v/>
      </c>
      <c r="S31" s="11" t="str">
        <f t="shared" si="1"/>
        <v/>
      </c>
      <c r="T31" s="612"/>
      <c r="U31" s="612"/>
      <c r="V31" s="612"/>
      <c r="W31" s="29"/>
    </row>
    <row r="32" spans="2:28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27"/>
      <c r="L32" s="28"/>
      <c r="M32" s="28"/>
      <c r="N32" s="28"/>
      <c r="O32" s="28"/>
      <c r="P32" s="11"/>
      <c r="Q32" s="11" t="str">
        <f>IF(F32="","",IF(OR(Q31="",U32=""),Q31,SUM(#REF!,Q31)))</f>
        <v/>
      </c>
      <c r="R32" s="11" t="str">
        <f>IF(G32="","",IF(OR(R31="",V32=""),R31,SUM(#REF!,R31)))</f>
        <v/>
      </c>
      <c r="S32" s="11" t="str">
        <f t="shared" si="1"/>
        <v/>
      </c>
      <c r="T32" s="612"/>
      <c r="U32" s="612"/>
      <c r="V32" s="612"/>
      <c r="W32" s="29"/>
    </row>
    <row r="33" spans="2:23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27"/>
      <c r="L33" s="28"/>
      <c r="M33" s="28"/>
      <c r="N33" s="28"/>
      <c r="O33" s="28"/>
      <c r="P33" s="11"/>
      <c r="Q33" s="11" t="str">
        <f>IF(F33="","",IF(OR(Q32="",U33=""),Q32,SUM(#REF!,Q32)))</f>
        <v/>
      </c>
      <c r="R33" s="11" t="str">
        <f>IF(G33="","",IF(OR(R32="",V33=""),R32,SUM(#REF!,R32)))</f>
        <v/>
      </c>
      <c r="S33" s="11" t="str">
        <f t="shared" si="1"/>
        <v/>
      </c>
      <c r="T33" s="612"/>
      <c r="U33" s="612"/>
      <c r="V33" s="612"/>
      <c r="W33" s="29"/>
    </row>
    <row r="34" spans="2:23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27"/>
      <c r="L34" s="28"/>
      <c r="M34" s="28"/>
      <c r="N34" s="28"/>
      <c r="O34" s="28"/>
      <c r="P34" s="11"/>
      <c r="Q34" s="11" t="str">
        <f>IF(F34="","",IF(OR(Q33="",U34=""),Q33,SUM(#REF!,Q33)))</f>
        <v/>
      </c>
      <c r="R34" s="11" t="str">
        <f>IF(G34="","",IF(OR(R33="",V34=""),R33,SUM(#REF!,R33)))</f>
        <v/>
      </c>
      <c r="S34" s="11" t="str">
        <f t="shared" si="1"/>
        <v/>
      </c>
      <c r="T34" s="612"/>
      <c r="U34" s="612"/>
      <c r="V34" s="612"/>
      <c r="W34" s="29"/>
    </row>
    <row r="35" spans="2:23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27"/>
      <c r="L35" s="28"/>
      <c r="M35" s="28"/>
      <c r="N35" s="28"/>
      <c r="O35" s="28"/>
      <c r="P35" s="11"/>
      <c r="Q35" s="11" t="str">
        <f>IF(F35="","",IF(OR(Q34="",U35=""),Q34,SUM(#REF!,Q34)))</f>
        <v/>
      </c>
      <c r="R35" s="11" t="str">
        <f>IF(G35="","",IF(OR(R34="",V35=""),R34,SUM(#REF!,R34)))</f>
        <v/>
      </c>
      <c r="S35" s="11" t="str">
        <f t="shared" si="1"/>
        <v/>
      </c>
      <c r="T35" s="612"/>
      <c r="U35" s="612"/>
      <c r="V35" s="612"/>
      <c r="W35" s="29"/>
    </row>
    <row r="36" spans="2:23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27"/>
      <c r="L36" s="28"/>
      <c r="M36" s="28"/>
      <c r="N36" s="28"/>
      <c r="O36" s="28"/>
      <c r="P36" s="11"/>
      <c r="Q36" s="11" t="str">
        <f>IF(F36="","",IF(OR(Q35="",U36=""),Q35,SUM(#REF!,Q35)))</f>
        <v/>
      </c>
      <c r="R36" s="11" t="str">
        <f>IF(G36="","",IF(OR(R35="",V36=""),R35,SUM(#REF!,R35)))</f>
        <v/>
      </c>
      <c r="S36" s="11" t="str">
        <f t="shared" si="1"/>
        <v/>
      </c>
      <c r="T36" s="612"/>
      <c r="U36" s="612"/>
      <c r="V36" s="612"/>
      <c r="W36" s="29"/>
    </row>
    <row r="37" spans="2:23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27"/>
      <c r="L37" s="28"/>
      <c r="M37" s="28"/>
      <c r="N37" s="28"/>
      <c r="O37" s="28"/>
      <c r="P37" s="11"/>
      <c r="Q37" s="11" t="str">
        <f>IF(F37="","",IF(OR(Q36="",U37=""),Q36,SUM(#REF!,Q36)))</f>
        <v/>
      </c>
      <c r="R37" s="11" t="str">
        <f>IF(G37="","",IF(OR(R36="",V37=""),R36,SUM(#REF!,R36)))</f>
        <v/>
      </c>
      <c r="S37" s="11" t="str">
        <f t="shared" si="1"/>
        <v/>
      </c>
      <c r="T37" s="612"/>
      <c r="U37" s="612"/>
      <c r="V37" s="612"/>
      <c r="W37" s="29"/>
    </row>
    <row r="38" spans="2:23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27"/>
      <c r="L38" s="28"/>
      <c r="M38" s="28"/>
      <c r="N38" s="28"/>
      <c r="O38" s="28"/>
      <c r="P38" s="11"/>
      <c r="Q38" s="11" t="str">
        <f>IF(F38="","",IF(OR(Q37="",U38=""),Q37,SUM(#REF!,Q37)))</f>
        <v/>
      </c>
      <c r="R38" s="11" t="str">
        <f>IF(G38="","",IF(OR(R37="",V38=""),R37,SUM(#REF!,R37)))</f>
        <v/>
      </c>
      <c r="S38" s="11" t="str">
        <f t="shared" si="1"/>
        <v/>
      </c>
      <c r="T38" s="612"/>
      <c r="U38" s="612"/>
      <c r="V38" s="612"/>
      <c r="W38" s="29"/>
    </row>
    <row r="39" spans="2:23" ht="19.899999999999999" customHeight="1" x14ac:dyDescent="0.25">
      <c r="B39" s="25"/>
      <c r="C39" s="26"/>
      <c r="D39" s="27"/>
      <c r="E39" s="28"/>
      <c r="F39" s="27"/>
      <c r="G39" s="28"/>
      <c r="H39" s="26"/>
      <c r="I39" s="11"/>
      <c r="J39" s="11"/>
      <c r="K39" s="27"/>
      <c r="L39" s="28"/>
      <c r="M39" s="28"/>
      <c r="N39" s="28"/>
      <c r="O39" s="28"/>
      <c r="P39" s="11"/>
      <c r="Q39" s="11" t="str">
        <f>IF(F39="","",IF(OR(Q38="",U39=""),Q38,SUM(#REF!,Q38)))</f>
        <v/>
      </c>
      <c r="R39" s="11" t="str">
        <f>IF(G39="","",IF(OR(R38="",V39=""),R38,SUM(#REF!,R38)))</f>
        <v/>
      </c>
      <c r="S39" s="11" t="str">
        <f t="shared" si="1"/>
        <v/>
      </c>
      <c r="T39" s="612"/>
      <c r="U39" s="612"/>
      <c r="V39" s="612"/>
      <c r="W39" s="29"/>
    </row>
    <row r="40" spans="2:23" ht="19.899999999999999" customHeight="1" x14ac:dyDescent="0.25">
      <c r="B40" s="25"/>
      <c r="C40" s="26"/>
      <c r="D40" s="27"/>
      <c r="E40" s="28"/>
      <c r="F40" s="27"/>
      <c r="G40" s="28"/>
      <c r="H40" s="26"/>
      <c r="I40" s="11"/>
      <c r="J40" s="11"/>
      <c r="K40" s="27"/>
      <c r="L40" s="28"/>
      <c r="M40" s="28"/>
      <c r="N40" s="28"/>
      <c r="O40" s="28"/>
      <c r="P40" s="11"/>
      <c r="Q40" s="11" t="str">
        <f>IF(F40="","",IF(OR(Q39="",U40=""),Q39,SUM(#REF!,Q39)))</f>
        <v/>
      </c>
      <c r="R40" s="11" t="str">
        <f>IF(G40="","",IF(OR(R39="",V40=""),R39,SUM(#REF!,R39)))</f>
        <v/>
      </c>
      <c r="S40" s="11" t="str">
        <f t="shared" si="1"/>
        <v/>
      </c>
      <c r="T40" s="612"/>
      <c r="U40" s="612"/>
      <c r="V40" s="612"/>
      <c r="W40" s="29"/>
    </row>
    <row r="41" spans="2:23" ht="19.899999999999999" customHeight="1" x14ac:dyDescent="0.25">
      <c r="B41" s="25"/>
      <c r="C41" s="26"/>
      <c r="D41" s="27"/>
      <c r="E41" s="28"/>
      <c r="F41" s="27"/>
      <c r="G41" s="28"/>
      <c r="H41" s="26"/>
      <c r="I41" s="11"/>
      <c r="J41" s="11"/>
      <c r="K41" s="27"/>
      <c r="L41" s="28"/>
      <c r="M41" s="28"/>
      <c r="N41" s="28"/>
      <c r="O41" s="28"/>
      <c r="P41" s="11"/>
      <c r="Q41" s="11" t="str">
        <f>IF(F41="","",IF(OR(Q40="",U41=""),Q40,SUM(#REF!,Q40)))</f>
        <v/>
      </c>
      <c r="R41" s="11" t="str">
        <f>IF(G41="","",IF(OR(R40="",V41=""),R40,SUM(#REF!,R40)))</f>
        <v/>
      </c>
      <c r="S41" s="11" t="str">
        <f t="shared" si="1"/>
        <v/>
      </c>
      <c r="T41" s="612"/>
      <c r="U41" s="612"/>
      <c r="V41" s="612"/>
      <c r="W41" s="29"/>
    </row>
    <row r="42" spans="2:23" ht="19.899999999999999" customHeight="1" x14ac:dyDescent="0.25">
      <c r="B42" s="25"/>
      <c r="C42" s="26"/>
      <c r="D42" s="27"/>
      <c r="E42" s="28"/>
      <c r="F42" s="27"/>
      <c r="G42" s="28"/>
      <c r="H42" s="26"/>
      <c r="I42" s="11"/>
      <c r="J42" s="11"/>
      <c r="K42" s="27"/>
      <c r="L42" s="28"/>
      <c r="M42" s="28"/>
      <c r="N42" s="28"/>
      <c r="O42" s="28"/>
      <c r="P42" s="11"/>
      <c r="Q42" s="11" t="str">
        <f>IF(F42="","",IF(OR(Q41="",U42=""),Q41,SUM(#REF!,Q41)))</f>
        <v/>
      </c>
      <c r="R42" s="11" t="str">
        <f>IF(G42="","",IF(OR(R41="",V42=""),R41,SUM(#REF!,R41)))</f>
        <v/>
      </c>
      <c r="S42" s="11" t="str">
        <f t="shared" si="1"/>
        <v/>
      </c>
      <c r="T42" s="612"/>
      <c r="U42" s="612"/>
      <c r="V42" s="612"/>
      <c r="W42" s="29"/>
    </row>
    <row r="43" spans="2:23" ht="19.899999999999999" customHeight="1" x14ac:dyDescent="0.25">
      <c r="B43" s="25"/>
      <c r="C43" s="26"/>
      <c r="D43" s="27"/>
      <c r="E43" s="28"/>
      <c r="F43" s="27"/>
      <c r="G43" s="28"/>
      <c r="H43" s="26"/>
      <c r="I43" s="11"/>
      <c r="J43" s="11"/>
      <c r="K43" s="27"/>
      <c r="L43" s="28"/>
      <c r="M43" s="28"/>
      <c r="N43" s="28"/>
      <c r="O43" s="28"/>
      <c r="P43" s="11"/>
      <c r="Q43" s="11" t="str">
        <f>IF(F43="","",IF(OR(Q42="",U43=""),Q42,SUM(#REF!,Q42)))</f>
        <v/>
      </c>
      <c r="R43" s="11" t="str">
        <f>IF(G43="","",IF(OR(R42="",V43=""),R42,SUM(#REF!,R42)))</f>
        <v/>
      </c>
      <c r="S43" s="11" t="str">
        <f t="shared" si="1"/>
        <v/>
      </c>
      <c r="T43" s="612"/>
      <c r="U43" s="612"/>
      <c r="V43" s="612"/>
      <c r="W43" s="29"/>
    </row>
    <row r="44" spans="2:23" ht="19.899999999999999" customHeight="1" x14ac:dyDescent="0.25">
      <c r="B44" s="25"/>
      <c r="C44" s="26"/>
      <c r="D44" s="27"/>
      <c r="E44" s="28"/>
      <c r="F44" s="27"/>
      <c r="G44" s="28"/>
      <c r="H44" s="26"/>
      <c r="I44" s="11"/>
      <c r="J44" s="11"/>
      <c r="K44" s="27"/>
      <c r="L44" s="28"/>
      <c r="M44" s="28"/>
      <c r="N44" s="28"/>
      <c r="O44" s="28"/>
      <c r="P44" s="11"/>
      <c r="Q44" s="11" t="str">
        <f>IF(F44="","",IF(OR(Q43="",U44=""),Q43,SUM(#REF!,Q43)))</f>
        <v/>
      </c>
      <c r="R44" s="11" t="str">
        <f>IF(G44="","",IF(OR(R43="",V44=""),R43,SUM(#REF!,R43)))</f>
        <v/>
      </c>
      <c r="S44" s="11" t="str">
        <f t="shared" si="1"/>
        <v/>
      </c>
      <c r="T44" s="612"/>
      <c r="U44" s="612"/>
      <c r="V44" s="612"/>
      <c r="W44" s="29"/>
    </row>
    <row r="45" spans="2:23" ht="19.899999999999999" customHeight="1" thickBot="1" x14ac:dyDescent="0.3">
      <c r="B45" s="30"/>
      <c r="C45" s="31"/>
      <c r="D45" s="32"/>
      <c r="E45" s="33"/>
      <c r="F45" s="32"/>
      <c r="G45" s="33"/>
      <c r="H45" s="31"/>
      <c r="I45" s="12"/>
      <c r="J45" s="12"/>
      <c r="K45" s="32"/>
      <c r="L45" s="33"/>
      <c r="M45" s="33"/>
      <c r="N45" s="33"/>
      <c r="O45" s="33"/>
      <c r="P45" s="12"/>
      <c r="Q45" s="12" t="str">
        <f>IF(F45="","",IF(OR(Q44="",U45=""),Q44,SUM(#REF!,Q44)))</f>
        <v/>
      </c>
      <c r="R45" s="12" t="str">
        <f>IF(G45="","",IF(OR(R44="",V45=""),R44,SUM(#REF!,R44)))</f>
        <v/>
      </c>
      <c r="S45" s="12" t="str">
        <f t="shared" si="1"/>
        <v/>
      </c>
      <c r="T45" s="634"/>
      <c r="U45" s="634"/>
      <c r="V45" s="634"/>
      <c r="W45" s="34"/>
    </row>
    <row r="46" spans="2:23" ht="19.899999999999999" customHeight="1" thickTop="1" x14ac:dyDescent="0.25"/>
  </sheetData>
  <mergeCells count="82">
    <mergeCell ref="T29:V29"/>
    <mergeCell ref="T30:V30"/>
    <mergeCell ref="T31:V31"/>
    <mergeCell ref="T32:V32"/>
    <mergeCell ref="T33:V33"/>
    <mergeCell ref="T34:V34"/>
    <mergeCell ref="T44:V44"/>
    <mergeCell ref="T45:V45"/>
    <mergeCell ref="J15:J16"/>
    <mergeCell ref="K15:L15"/>
    <mergeCell ref="T39:V39"/>
    <mergeCell ref="T40:V40"/>
    <mergeCell ref="T41:V41"/>
    <mergeCell ref="T42:V42"/>
    <mergeCell ref="T43:V43"/>
    <mergeCell ref="T23:V23"/>
    <mergeCell ref="T24:V24"/>
    <mergeCell ref="T35:V35"/>
    <mergeCell ref="T36:V36"/>
    <mergeCell ref="T37:V37"/>
    <mergeCell ref="T38:V38"/>
    <mergeCell ref="T25:V25"/>
    <mergeCell ref="T26:V26"/>
    <mergeCell ref="T27:V27"/>
    <mergeCell ref="T28:V28"/>
    <mergeCell ref="T17:V17"/>
    <mergeCell ref="T18:V18"/>
    <mergeCell ref="T19:V19"/>
    <mergeCell ref="T20:V20"/>
    <mergeCell ref="T21:V21"/>
    <mergeCell ref="T22:V22"/>
    <mergeCell ref="Y15:Z15"/>
    <mergeCell ref="B15:B16"/>
    <mergeCell ref="C15:C16"/>
    <mergeCell ref="D15:E15"/>
    <mergeCell ref="F15:G15"/>
    <mergeCell ref="H15:H16"/>
    <mergeCell ref="I15:I16"/>
    <mergeCell ref="Q15:Q16"/>
    <mergeCell ref="R15:R16"/>
    <mergeCell ref="S15:S16"/>
    <mergeCell ref="T15:V16"/>
    <mergeCell ref="W15:W16"/>
    <mergeCell ref="C13:F13"/>
    <mergeCell ref="H13:T13"/>
    <mergeCell ref="V13:W13"/>
    <mergeCell ref="B8:D8"/>
    <mergeCell ref="E8:F8"/>
    <mergeCell ref="G8:H8"/>
    <mergeCell ref="B9:D9"/>
    <mergeCell ref="E9:F9"/>
    <mergeCell ref="G9:H9"/>
    <mergeCell ref="J8:W8"/>
    <mergeCell ref="J9:W9"/>
    <mergeCell ref="B11:F11"/>
    <mergeCell ref="G11:W11"/>
    <mergeCell ref="C12:F12"/>
    <mergeCell ref="H12:T12"/>
    <mergeCell ref="V12:W12"/>
    <mergeCell ref="J7:W7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J4:W4"/>
    <mergeCell ref="J5:W5"/>
    <mergeCell ref="J6:W6"/>
    <mergeCell ref="B2:D3"/>
    <mergeCell ref="E2:H2"/>
    <mergeCell ref="Y2:Z2"/>
    <mergeCell ref="E3:F3"/>
    <mergeCell ref="G3:H3"/>
    <mergeCell ref="J2:W2"/>
    <mergeCell ref="J3:W3"/>
  </mergeCells>
  <phoneticPr fontId="16" type="noConversion"/>
  <conditionalFormatting sqref="B17:T45">
    <cfRule type="containsBlanks" dxfId="88" priority="1">
      <formula>LEN(TRIM(B17))=0</formula>
    </cfRule>
  </conditionalFormatting>
  <conditionalFormatting sqref="W17:W45">
    <cfRule type="containsBlanks" dxfId="87" priority="3">
      <formula>LEN(TRIM(W17))=0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53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C889-F87F-418D-8ACF-18A74A89F20D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0</v>
      </c>
      <c r="F4" s="653"/>
      <c r="G4" s="640">
        <f t="shared" ref="G4:G9" si="0">E4*$P$13</f>
        <v>0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6679.4449999999997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6679.4449999999997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-6679.4449999999997</v>
      </c>
      <c r="F7" s="645"/>
      <c r="G7" s="642">
        <f t="shared" si="0"/>
        <v>0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RESUMO!C37</f>
        <v>C.1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RESUMO!C40</f>
        <v>C.1.3</v>
      </c>
      <c r="H13" s="623" t="str">
        <f>IF($G$13="","",VLOOKUP($G$13,RESUMO!$C:$F,2,FALSE))</f>
        <v>Escavação, carga e transporte de material de 1ª categoria - DMT de 1.000 a 1.200 m -  com escavadeira e caminhão basculante de 14 m³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m³</v>
      </c>
      <c r="P13" s="621">
        <f>IF($G$13="","",VLOOKUP($G$13,RESUMO!$C:$F,4,FALSE))</f>
        <v>0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330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334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23">
        <v>4141.1289999999999</v>
      </c>
      <c r="K17" s="23"/>
      <c r="L17" s="23">
        <v>2211.48</v>
      </c>
      <c r="M17" s="23">
        <f>IF(OR(B17="",L17=""),"",IF(AND(M16="",Q17=""),M16,SUM(L17,M16)))</f>
        <v>2211.48</v>
      </c>
      <c r="N17" s="635" t="s">
        <v>344</v>
      </c>
      <c r="O17" s="635"/>
      <c r="P17" s="635"/>
      <c r="Q17" s="24">
        <v>1</v>
      </c>
      <c r="S17" s="84" t="s">
        <v>106</v>
      </c>
      <c r="T17" s="83" t="str">
        <f>IF($S17="","",VLOOKUP($S17,RESUMO!$C:$D,2,FALSE))</f>
        <v>Desmatamento, destocamento, limpeza de área e estocagem do material de limpeza com árvores de diâmetro até 0,15 m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">
        <v>1929.6489999999999</v>
      </c>
      <c r="K18" s="11"/>
      <c r="L18" s="11">
        <f>J18</f>
        <v>1929.6489999999999</v>
      </c>
      <c r="M18" s="11">
        <f>IF(B18="","",IF(OR(M17="",Q18=""),M17,SUM(L18,M17)))</f>
        <v>4141.1289999999999</v>
      </c>
      <c r="N18" s="612" t="s">
        <v>345</v>
      </c>
      <c r="O18" s="612"/>
      <c r="P18" s="612"/>
      <c r="Q18" s="29">
        <v>1</v>
      </c>
      <c r="S18" s="84" t="s">
        <v>108</v>
      </c>
      <c r="T18" s="83" t="str">
        <f>IF($S18="","",VLOOKUP($S18,RESUMO!$C:$D,2,FALSE))</f>
        <v>Transporte com caminhão basculante de 14 m³ - rodovia pavimentada</v>
      </c>
      <c r="V18" s="85" t="str">
        <f t="shared" ref="V18:V20" si="1">HYPERLINK("#"&amp;"'"&amp;S18&amp;"'"&amp;"!A1","LINK")</f>
        <v>LINK</v>
      </c>
    </row>
    <row r="19" spans="2:22" ht="19.899999999999999" customHeight="1" x14ac:dyDescent="0.25">
      <c r="B19" s="25" t="s">
        <v>316</v>
      </c>
      <c r="C19" s="26" t="s">
        <v>306</v>
      </c>
      <c r="D19" s="27">
        <v>303</v>
      </c>
      <c r="E19" s="28">
        <v>450</v>
      </c>
      <c r="F19" s="27"/>
      <c r="G19" s="28"/>
      <c r="H19" s="26" t="s">
        <v>306</v>
      </c>
      <c r="I19" s="11" t="s">
        <v>341</v>
      </c>
      <c r="J19" s="11">
        <v>312.94200000000001</v>
      </c>
      <c r="K19" s="11"/>
      <c r="L19" s="11">
        <f>J19</f>
        <v>312.94200000000001</v>
      </c>
      <c r="M19" s="11">
        <f>IF(B19="","",IF(OR(M18="",Q19=""),M18,SUM(L19,M18)))</f>
        <v>4454.0709999999999</v>
      </c>
      <c r="N19" s="612" t="s">
        <v>346</v>
      </c>
      <c r="O19" s="612"/>
      <c r="P19" s="612"/>
      <c r="Q19" s="29">
        <v>1</v>
      </c>
      <c r="S19" s="84" t="s">
        <v>110</v>
      </c>
      <c r="T19" s="83" t="str">
        <f>IF($S19="","",VLOOKUP($S19,RESUMO!$C:$D,2,FALSE))</f>
        <v>Escavação, carga e transporte de material de 1ª categoria - DMT de 1.000 a 1.200 m -  com escavadeira e caminhão basculante de 14 m³</v>
      </c>
      <c r="V19" s="85" t="str">
        <f t="shared" si="1"/>
        <v>LINK</v>
      </c>
    </row>
    <row r="20" spans="2:22" ht="19.899999999999999" customHeight="1" x14ac:dyDescent="0.25">
      <c r="B20" s="25" t="s">
        <v>316</v>
      </c>
      <c r="C20" s="26" t="s">
        <v>306</v>
      </c>
      <c r="D20" s="27">
        <v>303</v>
      </c>
      <c r="E20" s="28">
        <v>450</v>
      </c>
      <c r="F20" s="27"/>
      <c r="G20" s="28"/>
      <c r="H20" s="26" t="s">
        <v>306</v>
      </c>
      <c r="I20" s="11" t="s">
        <v>341</v>
      </c>
      <c r="J20" s="11">
        <v>312.94200000000001</v>
      </c>
      <c r="K20" s="11"/>
      <c r="L20" s="11">
        <v>2225.3739999999998</v>
      </c>
      <c r="M20" s="11">
        <f>IF(B20="","",IF(OR(M19="",Q20=""),M19,SUM(L20,M19)))</f>
        <v>6679.4449999999997</v>
      </c>
      <c r="N20" s="612" t="s">
        <v>347</v>
      </c>
      <c r="O20" s="612"/>
      <c r="P20" s="612"/>
      <c r="Q20" s="29">
        <v>1</v>
      </c>
      <c r="S20" s="84" t="s">
        <v>112</v>
      </c>
      <c r="T20" s="83" t="str">
        <f>IF($S20="","",VLOOKUP($S20,RESUMO!$C:$D,2,FALSE))</f>
        <v>Regularização de bota-fora com espalhamento e execução de hidrossemeadura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ref="L21:L36" si="2">IF(J21="","",J21*K21)</f>
        <v/>
      </c>
      <c r="M21" s="11" t="str">
        <f t="shared" ref="M21:M36" si="3">IF(B21="","",IF(OR(M20="",Q21=""),M20,SUM(L21,M20)))</f>
        <v/>
      </c>
      <c r="N21" s="612"/>
      <c r="O21" s="612"/>
      <c r="P21" s="612"/>
      <c r="Q21" s="29"/>
      <c r="S21" s="84"/>
      <c r="T21" s="83"/>
      <c r="V21" s="85"/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2"/>
        <v/>
      </c>
      <c r="M22" s="11" t="str">
        <f t="shared" si="3"/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phoneticPr fontId="16" type="noConversion"/>
  <conditionalFormatting sqref="B17:N36">
    <cfRule type="containsBlanks" dxfId="86" priority="1">
      <formula>LEN(TRIM(B17))=0</formula>
    </cfRule>
  </conditionalFormatting>
  <conditionalFormatting sqref="Q17:Q36">
    <cfRule type="containsBlanks" dxfId="85" priority="4">
      <formula>LEN(TRIM(Q17))=0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7666-CAC5-4BD0-AB96-1BA2EBBB6345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6357.64</v>
      </c>
      <c r="F4" s="653"/>
      <c r="G4" s="640">
        <f t="shared" ref="G4:G9" si="0">E4*$P$13</f>
        <v>17165.62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6357.637999999999</v>
      </c>
      <c r="F5" s="654"/>
      <c r="G5" s="642">
        <f t="shared" si="0"/>
        <v>17165.614600002511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6357.637999999999</v>
      </c>
      <c r="F6" s="654"/>
      <c r="G6" s="642">
        <f t="shared" si="0"/>
        <v>17165.614600002511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2.0000000013169483E-3</v>
      </c>
      <c r="F7" s="645"/>
      <c r="G7" s="642">
        <f t="shared" si="0"/>
        <v>5.3999974868986335E-3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RESUMO!C37</f>
        <v>C.1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RESUMO!C41</f>
        <v>C.1.4</v>
      </c>
      <c r="H13" s="623" t="str">
        <f>IF($G$13="","",VLOOKUP($G$13,RESUMO!$C:$F,2,FALSE))</f>
        <v>Regularização de bota-fora com espalhamento e execução de hidrossemeadura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m³</v>
      </c>
      <c r="P13" s="621">
        <f>IF($G$13="","",VLOOKUP($G$13,RESUMO!$C:$F,4,FALSE))</f>
        <v>2.6999987416714375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330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334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23">
        <v>6357.6379999999999</v>
      </c>
      <c r="K17" s="23"/>
      <c r="L17" s="23">
        <v>2211.48</v>
      </c>
      <c r="M17" s="23">
        <f>IF(OR(B17="",L17=""),"",IF(AND(M16="",Q17=""),M16,SUM(L17,M16)))</f>
        <v>2211.48</v>
      </c>
      <c r="N17" s="635" t="s">
        <v>344</v>
      </c>
      <c r="O17" s="635"/>
      <c r="P17" s="635"/>
      <c r="Q17" s="24">
        <v>1</v>
      </c>
      <c r="S17" s="84" t="s">
        <v>106</v>
      </c>
      <c r="T17" s="83" t="str">
        <f>IF($S17="","",VLOOKUP($S17,RESUMO!$C:$D,2,FALSE))</f>
        <v>Desmatamento, destocamento, limpeza de área e estocagem do material de limpeza com árvores de diâmetro até 0,15 m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">
        <v>6357.6379999999999</v>
      </c>
      <c r="K18" s="11"/>
      <c r="L18" s="11">
        <v>4146.1579999999994</v>
      </c>
      <c r="M18" s="11">
        <f>IF(B18="","",IF(OR(M17="",Q18=""),M17,SUM(L18,M17)))</f>
        <v>6357.637999999999</v>
      </c>
      <c r="N18" s="612" t="s">
        <v>345</v>
      </c>
      <c r="O18" s="612"/>
      <c r="P18" s="612"/>
      <c r="Q18" s="29">
        <v>1</v>
      </c>
      <c r="S18" s="84" t="s">
        <v>108</v>
      </c>
      <c r="T18" s="83" t="str">
        <f>IF($S18="","",VLOOKUP($S18,RESUMO!$C:$D,2,FALSE))</f>
        <v>Transporte com caminhão basculante de 14 m³ - rodovia pavimentada</v>
      </c>
      <c r="V18" s="85" t="str">
        <f t="shared" ref="V18:V20" si="1"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612"/>
      <c r="O19" s="612"/>
      <c r="P19" s="612"/>
      <c r="Q19" s="29"/>
      <c r="S19" s="84" t="s">
        <v>110</v>
      </c>
      <c r="T19" s="83" t="str">
        <f>IF($S19="","",VLOOKUP($S19,RESUMO!$C:$D,2,FALSE))</f>
        <v>Escavação, carga e transporte de material de 1ª categoria - DMT de 1.000 a 1.200 m -  com escavadeira e caminhão basculante de 14 m³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612"/>
      <c r="O20" s="612"/>
      <c r="P20" s="612"/>
      <c r="Q20" s="29"/>
      <c r="S20" s="84" t="s">
        <v>112</v>
      </c>
      <c r="T20" s="83" t="str">
        <f>IF($S20="","",VLOOKUP($S20,RESUMO!$C:$D,2,FALSE))</f>
        <v>Regularização de bota-fora com espalhamento e execução de hidrossemeadura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612"/>
      <c r="O21" s="612"/>
      <c r="P21" s="612"/>
      <c r="Q21" s="29"/>
      <c r="S21" s="84"/>
      <c r="T21" s="83"/>
      <c r="V21" s="85"/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/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/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ref="L25:L36" si="2">IF(J25="","",J25*K25)</f>
        <v/>
      </c>
      <c r="M25" s="11" t="str">
        <f t="shared" ref="M25:M36" si="3">IF(B25="","",IF(OR(M24="",Q25=""),M24,SUM(L25,M24)))</f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">
    <cfRule type="containsBlanks" dxfId="84" priority="1">
      <formula>LEN(TRIM(B17))=0</formula>
    </cfRule>
  </conditionalFormatting>
  <conditionalFormatting sqref="Q17:Q36">
    <cfRule type="containsBlanks" dxfId="83" priority="6">
      <formula>LEN(TRIM(Q17))=0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1B03-50B5-4850-94F3-8B3ED69E4CCA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6357.64</v>
      </c>
      <c r="F4" s="653"/>
      <c r="G4" s="640">
        <f t="shared" ref="G4:G9" si="0">E4*$P$13</f>
        <v>14813.3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6357.64</v>
      </c>
      <c r="F7" s="645"/>
      <c r="G7" s="642">
        <f t="shared" si="0"/>
        <v>14813.3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RESUMO!C37</f>
        <v>C.1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RESUMO!C42</f>
        <v>C.1.5</v>
      </c>
      <c r="H13" s="623" t="str">
        <f>IF($G$13="","",VLOOKUP($G$13,RESUMO!$C:$F,2,FALSE))</f>
        <v>Regularização de bota-fora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m³</v>
      </c>
      <c r="P13" s="621">
        <f>IF($G$13="","",VLOOKUP($G$13,RESUMO!$C:$F,4,FALSE))</f>
        <v>2.3299998112507154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330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334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/>
      <c r="C17" s="20"/>
      <c r="D17" s="21"/>
      <c r="E17" s="22"/>
      <c r="F17" s="21"/>
      <c r="G17" s="22"/>
      <c r="H17" s="20"/>
      <c r="I17" s="23"/>
      <c r="J17" s="23"/>
      <c r="K17" s="23"/>
      <c r="L17" s="23"/>
      <c r="M17" s="23"/>
      <c r="N17" s="635"/>
      <c r="O17" s="635"/>
      <c r="P17" s="635"/>
      <c r="Q17" s="24"/>
      <c r="S17" s="84" t="s">
        <v>106</v>
      </c>
      <c r="T17" s="83" t="str">
        <f>IF($S17="","",VLOOKUP($S17,RESUMO!$C:$D,2,FALSE))</f>
        <v>Desmatamento, destocamento, limpeza de área e estocagem do material de limpeza com árvores de diâmetro até 0,15 m</v>
      </c>
      <c r="V17" s="85" t="str">
        <f>HYPERLINK("#"&amp;"'"&amp;S17&amp;"'"&amp;"!A1","LINK")</f>
        <v>LINK</v>
      </c>
    </row>
    <row r="18" spans="2:22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11"/>
      <c r="N18" s="612"/>
      <c r="O18" s="612"/>
      <c r="P18" s="612"/>
      <c r="Q18" s="29"/>
      <c r="S18" s="84" t="s">
        <v>108</v>
      </c>
      <c r="T18" s="83" t="str">
        <f>IF($S18="","",VLOOKUP($S18,RESUMO!$C:$D,2,FALSE))</f>
        <v>Transporte com caminhão basculante de 14 m³ - rodovia pavimentada</v>
      </c>
      <c r="V18" s="85" t="str">
        <f t="shared" ref="V18:V20" si="1"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612"/>
      <c r="O19" s="612"/>
      <c r="P19" s="612"/>
      <c r="Q19" s="29"/>
      <c r="S19" s="84" t="s">
        <v>110</v>
      </c>
      <c r="T19" s="83" t="str">
        <f>IF($S19="","",VLOOKUP($S19,RESUMO!$C:$D,2,FALSE))</f>
        <v>Escavação, carga e transporte de material de 1ª categoria - DMT de 1.000 a 1.200 m -  com escavadeira e caminhão basculante de 14 m³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612"/>
      <c r="O20" s="612"/>
      <c r="P20" s="612"/>
      <c r="Q20" s="29"/>
      <c r="S20" s="84" t="s">
        <v>112</v>
      </c>
      <c r="T20" s="83" t="str">
        <f>IF($S20="","",VLOOKUP($S20,RESUMO!$C:$D,2,FALSE))</f>
        <v>Regularização de bota-fora com espalhamento e execução de hidrossemeadura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612"/>
      <c r="O21" s="612"/>
      <c r="P21" s="612"/>
      <c r="Q21" s="29"/>
      <c r="S21" s="84"/>
      <c r="T21" s="83"/>
      <c r="V21" s="85"/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/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/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/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/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/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/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ref="L29:L36" si="2">IF(J29="","",J29*K29)</f>
        <v/>
      </c>
      <c r="M29" s="11" t="str">
        <f t="shared" ref="M29:M36" si="3">IF(B29="","",IF(OR(M28="",Q29=""),M28,SUM(L29,M28)))</f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">
    <cfRule type="containsBlanks" dxfId="82" priority="1">
      <formula>LEN(TRIM(B17))=0</formula>
    </cfRule>
  </conditionalFormatting>
  <conditionalFormatting sqref="Q17:Q36">
    <cfRule type="containsBlanks" dxfId="81" priority="2">
      <formula>LEN(TRIM(Q17))=0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B5E3-499E-4611-8696-83B0DE687854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2405.2399999999998</v>
      </c>
      <c r="F4" s="653"/>
      <c r="G4" s="640">
        <f t="shared" ref="G4:G9" si="0">E4*$P$13</f>
        <v>10318.48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2405.241</v>
      </c>
      <c r="F5" s="654"/>
      <c r="G5" s="642">
        <f t="shared" si="0"/>
        <v>10318.484290000168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2405.241</v>
      </c>
      <c r="F6" s="654"/>
      <c r="G6" s="642">
        <f t="shared" si="0"/>
        <v>10318.484290000168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-1.0000000002037268E-3</v>
      </c>
      <c r="F7" s="645"/>
      <c r="G7" s="642">
        <f t="shared" si="0"/>
        <v>-4.2900001671775587E-3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RESUMO!C43</f>
        <v>C.2</v>
      </c>
      <c r="C13" s="623" t="str">
        <f>IF($B$13="","",VLOOKUP($B$13,RESUMO!$C:$F,2,FALSE))</f>
        <v>Pavimentação</v>
      </c>
      <c r="D13" s="623"/>
      <c r="E13" s="623"/>
      <c r="F13" s="662"/>
      <c r="G13" s="16" t="str">
        <f>RESUMO!C44</f>
        <v>C.2.1</v>
      </c>
      <c r="H13" s="623" t="str">
        <f>IF($G$13="","",VLOOKUP($G$13,RESUMO!$C:$F,2,FALSE))</f>
        <v>Preparo e melhoramento do subleito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m²</v>
      </c>
      <c r="P13" s="621">
        <f>IF($G$13="","",VLOOKUP($G$13,RESUMO!$C:$F,4,FALSE))</f>
        <v>4.2900001663035709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23"/>
      <c r="K17" s="23"/>
      <c r="L17" s="23">
        <v>2153.7359999999999</v>
      </c>
      <c r="M17" s="23">
        <f>IF(OR(B17="",L17=""),"",IF(AND(M16="",Q17=""),M16,SUM(L17,M16)))</f>
        <v>2153.7359999999999</v>
      </c>
      <c r="N17" s="612" t="s">
        <v>348</v>
      </c>
      <c r="O17" s="612"/>
      <c r="P17" s="612"/>
      <c r="Q17" s="24">
        <v>1</v>
      </c>
      <c r="S17" s="84" t="s">
        <v>115</v>
      </c>
      <c r="T17" s="83" t="str">
        <f>IF($S17="","",VLOOKUP($S17,RESUMO!$C:$D,2,FALSE))</f>
        <v>Preparo e melhoramento do subleito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"/>
      <c r="K18" s="11"/>
      <c r="L18" s="11">
        <v>251.50500000000011</v>
      </c>
      <c r="M18" s="11">
        <f>IF(B18="","",IF(OR(M17="",Q18=""),M17,SUM(L18,M17)))</f>
        <v>2405.241</v>
      </c>
      <c r="N18" s="612" t="s">
        <v>349</v>
      </c>
      <c r="O18" s="612"/>
      <c r="P18" s="612"/>
      <c r="Q18" s="29">
        <v>1</v>
      </c>
      <c r="S18" s="84" t="s">
        <v>117</v>
      </c>
      <c r="T18" s="83" t="str">
        <f>IF($S18="","",VLOOKUP($S18,RESUMO!$C:$D,2,FALSE))</f>
        <v>Rachão ou pedra de mão</v>
      </c>
      <c r="V18" s="85" t="str">
        <f t="shared" ref="V18:V22" si="1"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 t="str">
        <f t="shared" ref="L19:L36" si="2">IF(J19="","",J19*K19)</f>
        <v/>
      </c>
      <c r="M19" s="11" t="str">
        <f>IF(B19="","",IF(OR(M18="",Q19=""),M18,SUM(L19,M18)))</f>
        <v/>
      </c>
      <c r="N19" s="612"/>
      <c r="O19" s="612"/>
      <c r="P19" s="612"/>
      <c r="Q19" s="29"/>
      <c r="S19" s="84" t="s">
        <v>119</v>
      </c>
      <c r="T19" s="83" t="str">
        <f>IF($S19="","",VLOOKUP($S19,RESUMO!$C:$D,2,FALSE))</f>
        <v>Sub-base ou base de brita graduada simples (BGS)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si="2"/>
        <v/>
      </c>
      <c r="M20" s="11" t="str">
        <f t="shared" ref="M20:M36" si="3">IF(B20="","",IF(OR(M19="",Q20=""),M19,SUM(L20,M19)))</f>
        <v/>
      </c>
      <c r="N20" s="612"/>
      <c r="O20" s="612"/>
      <c r="P20" s="612"/>
      <c r="Q20" s="29"/>
      <c r="S20" s="84" t="s">
        <v>121</v>
      </c>
      <c r="T20" s="83" t="str">
        <f>IF($S20="","",VLOOKUP($S20,RESUMO!$C:$D,2,FALSE))</f>
        <v>Imprimadura betuminosa impermeabilizante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2"/>
        <v/>
      </c>
      <c r="M21" s="11" t="str">
        <f t="shared" si="3"/>
        <v/>
      </c>
      <c r="N21" s="612"/>
      <c r="O21" s="612"/>
      <c r="P21" s="612"/>
      <c r="Q21" s="29"/>
      <c r="S21" s="84" t="s">
        <v>123</v>
      </c>
      <c r="T21" s="83" t="str">
        <f>IF($S21="","",VLOOKUP($S21,RESUMO!$C:$D,2,FALSE))</f>
        <v>Imprimadura betuminosa ligante</v>
      </c>
      <c r="V21" s="85" t="str">
        <f t="shared" si="1"/>
        <v>LINK</v>
      </c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2"/>
        <v/>
      </c>
      <c r="M22" s="11" t="str">
        <f t="shared" si="3"/>
        <v/>
      </c>
      <c r="N22" s="612"/>
      <c r="O22" s="612"/>
      <c r="P22" s="612"/>
      <c r="Q22" s="29"/>
      <c r="S22" s="84" t="s">
        <v>125</v>
      </c>
      <c r="T22" s="83" t="str">
        <f>IF($S22="","",VLOOKUP($S22,RESUMO!$C:$D,2,FALSE))</f>
        <v>CBUQ  Faixa C/D c/ DOP ou polímero similar</v>
      </c>
      <c r="V22" s="85" t="str">
        <f t="shared" si="1"/>
        <v>LINK</v>
      </c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  <c r="S23" s="84"/>
      <c r="T23" s="83"/>
      <c r="V23" s="85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phoneticPr fontId="16" type="noConversion"/>
  <conditionalFormatting sqref="B17:N36">
    <cfRule type="containsBlanks" dxfId="80" priority="1">
      <formula>LEN(TRIM(B17))=0</formula>
    </cfRule>
  </conditionalFormatting>
  <conditionalFormatting sqref="Q17:Q36">
    <cfRule type="containsBlanks" dxfId="79" priority="4">
      <formula>LEN(TRIM(Q17))=0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E186-1D04-4214-BA2C-52FFA02909E9}">
  <sheetPr>
    <pageSetUpPr fitToPage="1"/>
  </sheetPr>
  <dimension ref="B1:X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5" width="12.7109375" style="3" customWidth="1"/>
    <col min="16" max="16" width="20.7109375" style="3" customWidth="1"/>
    <col min="17" max="18" width="10.7109375" style="3" customWidth="1"/>
    <col min="19" max="16384" width="10.7109375" style="3"/>
  </cols>
  <sheetData>
    <row r="1" spans="2:22" ht="19.899999999999999" customHeight="1" thickBot="1" x14ac:dyDescent="0.3"/>
    <row r="2" spans="2:22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3"/>
      <c r="U2" s="611" t="s">
        <v>294</v>
      </c>
      <c r="V2" s="611"/>
    </row>
    <row r="3" spans="2:22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4"/>
      <c r="S3" s="615"/>
      <c r="U3" s="36"/>
      <c r="V3" s="36"/>
    </row>
    <row r="4" spans="2:22" ht="15" customHeight="1" x14ac:dyDescent="0.25">
      <c r="B4" s="647" t="s">
        <v>296</v>
      </c>
      <c r="C4" s="648"/>
      <c r="D4" s="648"/>
      <c r="E4" s="653">
        <f>IF($G$13="","",VLOOKUP($G$13,RESUMO!$C:$G,5,FALSE))</f>
        <v>1202.6199999999999</v>
      </c>
      <c r="F4" s="653"/>
      <c r="G4" s="640">
        <f t="shared" ref="G4:G9" si="0">E4*$R$13</f>
        <v>185107.35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5"/>
      <c r="U4" s="36"/>
      <c r="V4" s="36"/>
    </row>
    <row r="5" spans="2:22" ht="15" customHeight="1" x14ac:dyDescent="0.25">
      <c r="B5" s="649" t="s">
        <v>297</v>
      </c>
      <c r="C5" s="650"/>
      <c r="D5" s="650"/>
      <c r="E5" s="654">
        <f>SUMIFS(N:N,S:S,"&lt;&gt;")</f>
        <v>1202.6205</v>
      </c>
      <c r="F5" s="654"/>
      <c r="G5" s="642">
        <f t="shared" si="0"/>
        <v>185107.42696003313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5"/>
      <c r="U5" s="36"/>
      <c r="V5" s="36"/>
    </row>
    <row r="6" spans="2:22" ht="15" customHeight="1" x14ac:dyDescent="0.25">
      <c r="B6" s="649" t="s">
        <v>298</v>
      </c>
      <c r="C6" s="650"/>
      <c r="D6" s="650"/>
      <c r="E6" s="654">
        <f>E5-E9</f>
        <v>1202.6205</v>
      </c>
      <c r="F6" s="654"/>
      <c r="G6" s="642">
        <f t="shared" si="0"/>
        <v>185107.42696003313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5"/>
    </row>
    <row r="7" spans="2:22" ht="15" customHeight="1" x14ac:dyDescent="0.25">
      <c r="B7" s="649" t="s">
        <v>299</v>
      </c>
      <c r="C7" s="650"/>
      <c r="D7" s="650"/>
      <c r="E7" s="644">
        <f>E4-E5</f>
        <v>-5.0000000010186341E-4</v>
      </c>
      <c r="F7" s="645"/>
      <c r="G7" s="642">
        <f t="shared" si="0"/>
        <v>-7.6960033110089365E-2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5"/>
    </row>
    <row r="8" spans="2:22" ht="15" customHeight="1" x14ac:dyDescent="0.25">
      <c r="B8" s="655" t="s">
        <v>300</v>
      </c>
      <c r="C8" s="656"/>
      <c r="D8" s="656"/>
      <c r="E8" s="657">
        <f>SUM(N:N)-E5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5"/>
    </row>
    <row r="9" spans="2:22" ht="15" customHeight="1" thickBot="1" x14ac:dyDescent="0.3">
      <c r="B9" s="651" t="s">
        <v>301</v>
      </c>
      <c r="C9" s="652"/>
      <c r="D9" s="652"/>
      <c r="E9" s="646">
        <f>SUMIF(S:S,CAPA!$I$2,N:N)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8"/>
    </row>
    <row r="10" spans="2:22" ht="10.15" customHeight="1" thickTop="1" thickBot="1" x14ac:dyDescent="0.3"/>
    <row r="11" spans="2:22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6"/>
    </row>
    <row r="12" spans="2:22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14" t="s">
        <v>303</v>
      </c>
      <c r="R12" s="619" t="s">
        <v>304</v>
      </c>
      <c r="S12" s="620"/>
    </row>
    <row r="13" spans="2:22" s="8" customFormat="1" ht="30" customHeight="1" thickBot="1" x14ac:dyDescent="0.3">
      <c r="B13" s="15" t="str">
        <f>RESUMO!C43</f>
        <v>C.2</v>
      </c>
      <c r="C13" s="623" t="str">
        <f>IF($B$13="","",VLOOKUP($B$13,RESUMO!$C:$F,2,FALSE))</f>
        <v>Pavimentação</v>
      </c>
      <c r="D13" s="623"/>
      <c r="E13" s="623"/>
      <c r="F13" s="662"/>
      <c r="G13" s="16" t="str">
        <f>RESUMO!C45</f>
        <v>C.2.2</v>
      </c>
      <c r="H13" s="623" t="str">
        <f>IF($G$13="","",VLOOKUP($G$13,RESUMO!$C:$F,2,FALSE))</f>
        <v>Rachão ou pedra de mão</v>
      </c>
      <c r="I13" s="623"/>
      <c r="J13" s="623"/>
      <c r="K13" s="623"/>
      <c r="L13" s="623"/>
      <c r="M13" s="623"/>
      <c r="N13" s="623"/>
      <c r="O13" s="623"/>
      <c r="P13" s="623"/>
      <c r="Q13" s="17" t="str">
        <f>IF($G$13="","",VLOOKUP($G$13,RESUMO!$C:$F,3,FALSE))</f>
        <v>m³</v>
      </c>
      <c r="R13" s="621">
        <f>IF($G$13="","",VLOOKUP($G$13,RESUMO!$C:$F,4,FALSE))</f>
        <v>153.9200661888211</v>
      </c>
      <c r="S13" s="622"/>
    </row>
    <row r="14" spans="2:22" ht="10.15" customHeight="1" thickTop="1" thickBot="1" x14ac:dyDescent="0.3"/>
    <row r="15" spans="2:22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350</v>
      </c>
      <c r="K15" s="9" t="s">
        <v>320</v>
      </c>
      <c r="L15" s="9" t="s">
        <v>321</v>
      </c>
      <c r="M15" s="9" t="s">
        <v>323</v>
      </c>
      <c r="N15" s="627" t="s">
        <v>310</v>
      </c>
      <c r="O15" s="627" t="s">
        <v>311</v>
      </c>
      <c r="P15" s="627" t="s">
        <v>312</v>
      </c>
      <c r="Q15" s="627"/>
      <c r="R15" s="627"/>
      <c r="S15" s="629" t="s">
        <v>27</v>
      </c>
      <c r="U15" s="611" t="s">
        <v>313</v>
      </c>
      <c r="V15" s="611"/>
    </row>
    <row r="16" spans="2:22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333</v>
      </c>
      <c r="K16" s="10" t="s">
        <v>322</v>
      </c>
      <c r="L16" s="10" t="s">
        <v>322</v>
      </c>
      <c r="M16" s="10" t="s">
        <v>322</v>
      </c>
      <c r="N16" s="628"/>
      <c r="O16" s="628"/>
      <c r="P16" s="628"/>
      <c r="Q16" s="628"/>
      <c r="R16" s="628"/>
      <c r="S16" s="630"/>
      <c r="U16" s="35" t="s">
        <v>269</v>
      </c>
      <c r="V16" s="35" t="s">
        <v>47</v>
      </c>
    </row>
    <row r="17" spans="2:24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23">
        <v>2373.02</v>
      </c>
      <c r="K17" s="23"/>
      <c r="L17" s="23"/>
      <c r="M17" s="23">
        <v>0.5</v>
      </c>
      <c r="N17" s="23">
        <f>J17*M17</f>
        <v>1186.51</v>
      </c>
      <c r="O17" s="23">
        <f>IF(OR(D17="",N17=""),"",IF(AND(O16="",S17=""),O16,SUM(N17,O16)))</f>
        <v>1186.51</v>
      </c>
      <c r="P17" s="612" t="s">
        <v>348</v>
      </c>
      <c r="Q17" s="612"/>
      <c r="R17" s="612"/>
      <c r="S17" s="29">
        <v>1</v>
      </c>
      <c r="U17" s="84" t="s">
        <v>115</v>
      </c>
      <c r="V17" s="83" t="str">
        <f>IF($U17="","",VLOOKUP($U17,RESUMO!$C:$D,2,FALSE))</f>
        <v>Preparo e melhoramento do subleito</v>
      </c>
      <c r="X17" s="85" t="str">
        <f>HYPERLINK("#"&amp;"'"&amp;U17&amp;"'"&amp;"!A1","LINK")</f>
        <v>LINK</v>
      </c>
    </row>
    <row r="18" spans="2:24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">
        <v>32.221000000000004</v>
      </c>
      <c r="K18" s="11"/>
      <c r="L18" s="11"/>
      <c r="M18" s="11">
        <v>0.5</v>
      </c>
      <c r="N18" s="11">
        <f>J18*M18</f>
        <v>16.110500000000002</v>
      </c>
      <c r="O18" s="11">
        <f>IF(B18="","",IF(OR(O17="",S18=""),O17,SUM(N18,O17)))</f>
        <v>1202.6205</v>
      </c>
      <c r="P18" s="612" t="s">
        <v>349</v>
      </c>
      <c r="Q18" s="612"/>
      <c r="R18" s="612"/>
      <c r="S18" s="29">
        <v>1</v>
      </c>
      <c r="U18" s="84" t="s">
        <v>117</v>
      </c>
      <c r="V18" s="83" t="str">
        <f>IF($U18="","",VLOOKUP($U18,RESUMO!$C:$D,2,FALSE))</f>
        <v>Rachão ou pedra de mão</v>
      </c>
      <c r="X18" s="85" t="str">
        <f t="shared" ref="X18:X22" si="1">HYPERLINK("#"&amp;"'"&amp;U18&amp;"'"&amp;"!A1","LINK")</f>
        <v>LINK</v>
      </c>
    </row>
    <row r="19" spans="2:24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11" t="str">
        <f t="shared" ref="N19:N39" si="2">IF(K19="","",K19*L19*M19)</f>
        <v/>
      </c>
      <c r="O19" s="11" t="str">
        <f t="shared" ref="O19:O39" si="3">IF(B19="","",IF(OR(O18="",S19=""),O18,SUM(N19,O18)))</f>
        <v/>
      </c>
      <c r="P19" s="612"/>
      <c r="Q19" s="612"/>
      <c r="R19" s="612"/>
      <c r="S19" s="29"/>
      <c r="U19" s="84" t="s">
        <v>119</v>
      </c>
      <c r="V19" s="83" t="str">
        <f>IF($U19="","",VLOOKUP($U19,RESUMO!$C:$D,2,FALSE))</f>
        <v>Sub-base ou base de brita graduada simples (BGS)</v>
      </c>
      <c r="X19" s="85" t="str">
        <f t="shared" si="1"/>
        <v>LINK</v>
      </c>
    </row>
    <row r="20" spans="2:24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 t="str">
        <f t="shared" si="2"/>
        <v/>
      </c>
      <c r="O20" s="11" t="str">
        <f t="shared" si="3"/>
        <v/>
      </c>
      <c r="P20" s="612"/>
      <c r="Q20" s="612"/>
      <c r="R20" s="612"/>
      <c r="S20" s="29"/>
      <c r="U20" s="84" t="s">
        <v>121</v>
      </c>
      <c r="V20" s="83" t="str">
        <f>IF($U20="","",VLOOKUP($U20,RESUMO!$C:$D,2,FALSE))</f>
        <v>Imprimadura betuminosa impermeabilizante</v>
      </c>
      <c r="X20" s="85" t="str">
        <f t="shared" si="1"/>
        <v>LINK</v>
      </c>
    </row>
    <row r="21" spans="2:24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 t="str">
        <f t="shared" si="2"/>
        <v/>
      </c>
      <c r="O21" s="11" t="str">
        <f t="shared" si="3"/>
        <v/>
      </c>
      <c r="P21" s="612"/>
      <c r="Q21" s="612"/>
      <c r="R21" s="612"/>
      <c r="S21" s="29"/>
      <c r="U21" s="84" t="s">
        <v>123</v>
      </c>
      <c r="V21" s="83" t="str">
        <f>IF($U21="","",VLOOKUP($U21,RESUMO!$C:$D,2,FALSE))</f>
        <v>Imprimadura betuminosa ligante</v>
      </c>
      <c r="X21" s="85" t="str">
        <f t="shared" si="1"/>
        <v>LINK</v>
      </c>
    </row>
    <row r="22" spans="2:24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 t="str">
        <f t="shared" si="2"/>
        <v/>
      </c>
      <c r="O22" s="11" t="str">
        <f t="shared" si="3"/>
        <v/>
      </c>
      <c r="P22" s="612"/>
      <c r="Q22" s="612"/>
      <c r="R22" s="612"/>
      <c r="S22" s="29"/>
      <c r="U22" s="84" t="s">
        <v>125</v>
      </c>
      <c r="V22" s="83" t="str">
        <f>IF($U22="","",VLOOKUP($U22,RESUMO!$C:$D,2,FALSE))</f>
        <v>CBUQ  Faixa C/D c/ DOP ou polímero similar</v>
      </c>
      <c r="X22" s="85" t="str">
        <f t="shared" si="1"/>
        <v>LINK</v>
      </c>
    </row>
    <row r="23" spans="2:24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/>
      <c r="N23" s="11" t="str">
        <f t="shared" si="2"/>
        <v/>
      </c>
      <c r="O23" s="11" t="str">
        <f t="shared" si="3"/>
        <v/>
      </c>
      <c r="P23" s="612"/>
      <c r="Q23" s="612"/>
      <c r="R23" s="612"/>
      <c r="S23" s="29"/>
    </row>
    <row r="24" spans="2:24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/>
      <c r="N24" s="11" t="str">
        <f t="shared" si="2"/>
        <v/>
      </c>
      <c r="O24" s="11" t="str">
        <f t="shared" si="3"/>
        <v/>
      </c>
      <c r="P24" s="612"/>
      <c r="Q24" s="612"/>
      <c r="R24" s="612"/>
      <c r="S24" s="29"/>
    </row>
    <row r="25" spans="2:24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/>
      <c r="N25" s="11" t="str">
        <f t="shared" si="2"/>
        <v/>
      </c>
      <c r="O25" s="11" t="str">
        <f t="shared" si="3"/>
        <v/>
      </c>
      <c r="P25" s="612"/>
      <c r="Q25" s="612"/>
      <c r="R25" s="612"/>
      <c r="S25" s="29"/>
    </row>
    <row r="26" spans="2:24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/>
      <c r="N26" s="11" t="str">
        <f t="shared" si="2"/>
        <v/>
      </c>
      <c r="O26" s="11" t="str">
        <f t="shared" si="3"/>
        <v/>
      </c>
      <c r="P26" s="612"/>
      <c r="Q26" s="612"/>
      <c r="R26" s="612"/>
      <c r="S26" s="29"/>
    </row>
    <row r="27" spans="2:24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/>
      <c r="N27" s="11" t="str">
        <f t="shared" si="2"/>
        <v/>
      </c>
      <c r="O27" s="11" t="str">
        <f>IF(B27="","",IF(OR(O26="",S27=""),O26,SUM(N27,O26)))</f>
        <v/>
      </c>
      <c r="P27" s="612"/>
      <c r="Q27" s="612"/>
      <c r="R27" s="612"/>
      <c r="S27" s="29"/>
    </row>
    <row r="28" spans="2:24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/>
      <c r="N28" s="11" t="str">
        <f t="shared" si="2"/>
        <v/>
      </c>
      <c r="O28" s="11" t="str">
        <f t="shared" si="3"/>
        <v/>
      </c>
      <c r="P28" s="612"/>
      <c r="Q28" s="612"/>
      <c r="R28" s="612"/>
      <c r="S28" s="29"/>
    </row>
    <row r="29" spans="2:24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/>
      <c r="N29" s="11" t="str">
        <f t="shared" si="2"/>
        <v/>
      </c>
      <c r="O29" s="11" t="str">
        <f t="shared" si="3"/>
        <v/>
      </c>
      <c r="P29" s="612"/>
      <c r="Q29" s="612"/>
      <c r="R29" s="612"/>
      <c r="S29" s="29"/>
    </row>
    <row r="30" spans="2:24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/>
      <c r="N30" s="11" t="str">
        <f t="shared" si="2"/>
        <v/>
      </c>
      <c r="O30" s="11" t="str">
        <f t="shared" si="3"/>
        <v/>
      </c>
      <c r="P30" s="612"/>
      <c r="Q30" s="612"/>
      <c r="R30" s="612"/>
      <c r="S30" s="29"/>
    </row>
    <row r="31" spans="2:24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/>
      <c r="N31" s="11" t="str">
        <f t="shared" si="2"/>
        <v/>
      </c>
      <c r="O31" s="11" t="str">
        <f t="shared" si="3"/>
        <v/>
      </c>
      <c r="P31" s="612"/>
      <c r="Q31" s="612"/>
      <c r="R31" s="612"/>
      <c r="S31" s="29"/>
    </row>
    <row r="32" spans="2:24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/>
      <c r="N32" s="11" t="str">
        <f t="shared" si="2"/>
        <v/>
      </c>
      <c r="O32" s="11" t="str">
        <f t="shared" si="3"/>
        <v/>
      </c>
      <c r="P32" s="612"/>
      <c r="Q32" s="612"/>
      <c r="R32" s="612"/>
      <c r="S32" s="29"/>
    </row>
    <row r="33" spans="2:19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/>
      <c r="N33" s="11" t="str">
        <f t="shared" si="2"/>
        <v/>
      </c>
      <c r="O33" s="11" t="str">
        <f t="shared" si="3"/>
        <v/>
      </c>
      <c r="P33" s="612"/>
      <c r="Q33" s="612"/>
      <c r="R33" s="612"/>
      <c r="S33" s="29"/>
    </row>
    <row r="34" spans="2:19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/>
      <c r="N34" s="11" t="str">
        <f t="shared" si="2"/>
        <v/>
      </c>
      <c r="O34" s="11" t="str">
        <f t="shared" si="3"/>
        <v/>
      </c>
      <c r="P34" s="612"/>
      <c r="Q34" s="612"/>
      <c r="R34" s="612"/>
      <c r="S34" s="29"/>
    </row>
    <row r="35" spans="2:19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/>
      <c r="N35" s="11" t="str">
        <f t="shared" si="2"/>
        <v/>
      </c>
      <c r="O35" s="11" t="str">
        <f t="shared" si="3"/>
        <v/>
      </c>
      <c r="P35" s="612"/>
      <c r="Q35" s="612"/>
      <c r="R35" s="612"/>
      <c r="S35" s="29"/>
    </row>
    <row r="36" spans="2:19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/>
      <c r="N36" s="11" t="str">
        <f t="shared" si="2"/>
        <v/>
      </c>
      <c r="O36" s="11" t="str">
        <f t="shared" si="3"/>
        <v/>
      </c>
      <c r="P36" s="612"/>
      <c r="Q36" s="612"/>
      <c r="R36" s="612"/>
      <c r="S36" s="29"/>
    </row>
    <row r="37" spans="2:19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/>
      <c r="N37" s="11" t="str">
        <f t="shared" si="2"/>
        <v/>
      </c>
      <c r="O37" s="11" t="str">
        <f t="shared" si="3"/>
        <v/>
      </c>
      <c r="P37" s="612"/>
      <c r="Q37" s="612"/>
      <c r="R37" s="612"/>
      <c r="S37" s="29"/>
    </row>
    <row r="38" spans="2:19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/>
      <c r="N38" s="11" t="str">
        <f t="shared" si="2"/>
        <v/>
      </c>
      <c r="O38" s="11" t="str">
        <f t="shared" si="3"/>
        <v/>
      </c>
      <c r="P38" s="612"/>
      <c r="Q38" s="612"/>
      <c r="R38" s="612"/>
      <c r="S38" s="29"/>
    </row>
    <row r="39" spans="2:19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/>
      <c r="N39" s="12" t="str">
        <f t="shared" si="2"/>
        <v/>
      </c>
      <c r="O39" s="12" t="str">
        <f t="shared" si="3"/>
        <v/>
      </c>
      <c r="P39" s="634"/>
      <c r="Q39" s="634"/>
      <c r="R39" s="634"/>
      <c r="S39" s="34"/>
    </row>
    <row r="40" spans="2:19" ht="19.899999999999999" customHeight="1" thickTop="1" x14ac:dyDescent="0.25"/>
  </sheetData>
  <mergeCells count="73">
    <mergeCell ref="J8:S8"/>
    <mergeCell ref="J9:S9"/>
    <mergeCell ref="P17:R17"/>
    <mergeCell ref="P36:R36"/>
    <mergeCell ref="P37:R37"/>
    <mergeCell ref="S15:S16"/>
    <mergeCell ref="P38:R38"/>
    <mergeCell ref="P39:R39"/>
    <mergeCell ref="P30:R30"/>
    <mergeCell ref="P31:R31"/>
    <mergeCell ref="P32:R32"/>
    <mergeCell ref="P33:R33"/>
    <mergeCell ref="P34:R34"/>
    <mergeCell ref="P35:R35"/>
    <mergeCell ref="U15:V15"/>
    <mergeCell ref="P29:R29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B15:B16"/>
    <mergeCell ref="C15:C16"/>
    <mergeCell ref="D15:E15"/>
    <mergeCell ref="F15:G15"/>
    <mergeCell ref="H15:H16"/>
    <mergeCell ref="I15:I16"/>
    <mergeCell ref="N15:N16"/>
    <mergeCell ref="O15:O16"/>
    <mergeCell ref="P15:R16"/>
    <mergeCell ref="C13:F13"/>
    <mergeCell ref="H13:P13"/>
    <mergeCell ref="R13:S13"/>
    <mergeCell ref="B8:D8"/>
    <mergeCell ref="E8:F8"/>
    <mergeCell ref="G8:H8"/>
    <mergeCell ref="B9:D9"/>
    <mergeCell ref="E9:F9"/>
    <mergeCell ref="G9:H9"/>
    <mergeCell ref="B11:F11"/>
    <mergeCell ref="G11:S11"/>
    <mergeCell ref="C12:F12"/>
    <mergeCell ref="H12:P12"/>
    <mergeCell ref="R12:S12"/>
    <mergeCell ref="J6:S6"/>
    <mergeCell ref="J7:S7"/>
    <mergeCell ref="B4:D4"/>
    <mergeCell ref="E4:F4"/>
    <mergeCell ref="G4:H4"/>
    <mergeCell ref="B5:D5"/>
    <mergeCell ref="E5:F5"/>
    <mergeCell ref="G5:H5"/>
    <mergeCell ref="J4:S4"/>
    <mergeCell ref="J5:S5"/>
    <mergeCell ref="B6:D6"/>
    <mergeCell ref="E6:F6"/>
    <mergeCell ref="G6:H6"/>
    <mergeCell ref="B7:D7"/>
    <mergeCell ref="E7:F7"/>
    <mergeCell ref="G7:H7"/>
    <mergeCell ref="B2:D3"/>
    <mergeCell ref="E2:H2"/>
    <mergeCell ref="U2:V2"/>
    <mergeCell ref="E3:F3"/>
    <mergeCell ref="G3:H3"/>
    <mergeCell ref="J2:S2"/>
    <mergeCell ref="J3:S3"/>
  </mergeCells>
  <phoneticPr fontId="16" type="noConversion"/>
  <conditionalFormatting sqref="B17:P39">
    <cfRule type="containsBlanks" dxfId="78" priority="1">
      <formula>LEN(TRIM(B17))=0</formula>
    </cfRule>
  </conditionalFormatting>
  <conditionalFormatting sqref="S17:S39">
    <cfRule type="containsBlanks" dxfId="77" priority="7">
      <formula>LEN(TRIM(S17))=0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21B1-EDC9-42AA-879C-47C5C3A61FEC}">
  <sheetPr>
    <pageSetUpPr fitToPage="1"/>
  </sheetPr>
  <dimension ref="B1:X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5" width="12.7109375" style="3" customWidth="1"/>
    <col min="16" max="16" width="20.7109375" style="3" customWidth="1"/>
    <col min="17" max="18" width="10.7109375" style="3" customWidth="1"/>
    <col min="19" max="16384" width="10.7109375" style="3"/>
  </cols>
  <sheetData>
    <row r="1" spans="2:22" ht="19.899999999999999" customHeight="1" thickBot="1" x14ac:dyDescent="0.3"/>
    <row r="2" spans="2:22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3"/>
      <c r="U2" s="611" t="s">
        <v>294</v>
      </c>
      <c r="V2" s="611"/>
    </row>
    <row r="3" spans="2:22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4"/>
      <c r="S3" s="615"/>
      <c r="U3" s="36"/>
      <c r="V3" s="36"/>
    </row>
    <row r="4" spans="2:22" ht="15" customHeight="1" x14ac:dyDescent="0.25">
      <c r="B4" s="647" t="s">
        <v>296</v>
      </c>
      <c r="C4" s="648"/>
      <c r="D4" s="648"/>
      <c r="E4" s="653">
        <f>IF($G$13="","",VLOOKUP($G$13,RESUMO!$C:$G,5,FALSE))</f>
        <v>481.05</v>
      </c>
      <c r="F4" s="653"/>
      <c r="G4" s="640">
        <f t="shared" ref="G4:G9" si="0">E4*$R$13</f>
        <v>83485.919999999998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5"/>
      <c r="U4" s="36"/>
      <c r="V4" s="36"/>
    </row>
    <row r="5" spans="2:22" ht="15" customHeight="1" x14ac:dyDescent="0.25">
      <c r="B5" s="649" t="s">
        <v>297</v>
      </c>
      <c r="C5" s="650"/>
      <c r="D5" s="650"/>
      <c r="E5" s="654">
        <f>SUMIFS(N:N,S:S,"&lt;&gt;")</f>
        <v>481.04820000000007</v>
      </c>
      <c r="F5" s="654"/>
      <c r="G5" s="642">
        <f t="shared" si="0"/>
        <v>83485.607611150626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5"/>
      <c r="U5" s="36"/>
      <c r="V5" s="36"/>
    </row>
    <row r="6" spans="2:22" ht="15" customHeight="1" x14ac:dyDescent="0.25">
      <c r="B6" s="649" t="s">
        <v>298</v>
      </c>
      <c r="C6" s="650"/>
      <c r="D6" s="650"/>
      <c r="E6" s="654">
        <f>E5-E9</f>
        <v>481.04820000000007</v>
      </c>
      <c r="F6" s="654"/>
      <c r="G6" s="642">
        <f t="shared" si="0"/>
        <v>83485.607611150626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5"/>
    </row>
    <row r="7" spans="2:22" ht="15" customHeight="1" x14ac:dyDescent="0.25">
      <c r="B7" s="649" t="s">
        <v>299</v>
      </c>
      <c r="C7" s="650"/>
      <c r="D7" s="650"/>
      <c r="E7" s="644">
        <f>E4-E5</f>
        <v>1.799999999946067E-3</v>
      </c>
      <c r="F7" s="645"/>
      <c r="G7" s="642">
        <f t="shared" si="0"/>
        <v>0.31238884938259509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5"/>
    </row>
    <row r="8" spans="2:22" ht="15" customHeight="1" x14ac:dyDescent="0.25">
      <c r="B8" s="655" t="s">
        <v>300</v>
      </c>
      <c r="C8" s="656"/>
      <c r="D8" s="656"/>
      <c r="E8" s="657">
        <f>SUM(N:N)-E5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5"/>
    </row>
    <row r="9" spans="2:22" ht="15" customHeight="1" thickBot="1" x14ac:dyDescent="0.3">
      <c r="B9" s="651" t="s">
        <v>301</v>
      </c>
      <c r="C9" s="652"/>
      <c r="D9" s="652"/>
      <c r="E9" s="646">
        <f>SUMIF(S:S,CAPA!$I$2,N:N)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8"/>
    </row>
    <row r="10" spans="2:22" ht="10.15" customHeight="1" thickTop="1" thickBot="1" x14ac:dyDescent="0.3"/>
    <row r="11" spans="2:22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6"/>
    </row>
    <row r="12" spans="2:22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14" t="s">
        <v>303</v>
      </c>
      <c r="R12" s="619" t="s">
        <v>304</v>
      </c>
      <c r="S12" s="620"/>
    </row>
    <row r="13" spans="2:22" s="8" customFormat="1" ht="30" customHeight="1" thickBot="1" x14ac:dyDescent="0.3">
      <c r="B13" s="15" t="str">
        <f>RESUMO!C43</f>
        <v>C.2</v>
      </c>
      <c r="C13" s="623" t="str">
        <f>IF($B$13="","",VLOOKUP($B$13,RESUMO!$C:$F,2,FALSE))</f>
        <v>Pavimentação</v>
      </c>
      <c r="D13" s="623"/>
      <c r="E13" s="623"/>
      <c r="F13" s="662"/>
      <c r="G13" s="16" t="str">
        <f>RESUMO!C46</f>
        <v>C.2.3</v>
      </c>
      <c r="H13" s="623" t="str">
        <f>IF($G$13="","",VLOOKUP($G$13,RESUMO!$C:$F,2,FALSE))</f>
        <v>Sub-base ou base de brita graduada simples (BGS)</v>
      </c>
      <c r="I13" s="623"/>
      <c r="J13" s="623"/>
      <c r="K13" s="623"/>
      <c r="L13" s="623"/>
      <c r="M13" s="623"/>
      <c r="N13" s="623"/>
      <c r="O13" s="623"/>
      <c r="P13" s="623"/>
      <c r="Q13" s="17" t="str">
        <f>IF($G$13="","",VLOOKUP($G$13,RESUMO!$C:$F,3,FALSE))</f>
        <v>m³</v>
      </c>
      <c r="R13" s="621">
        <f>IF($G$13="","",VLOOKUP($G$13,RESUMO!$C:$F,4,FALSE))</f>
        <v>173.54936077330839</v>
      </c>
      <c r="S13" s="622"/>
    </row>
    <row r="14" spans="2:22" ht="10.15" customHeight="1" thickTop="1" thickBot="1" x14ac:dyDescent="0.3"/>
    <row r="15" spans="2:22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350</v>
      </c>
      <c r="K15" s="9" t="s">
        <v>320</v>
      </c>
      <c r="L15" s="9" t="s">
        <v>321</v>
      </c>
      <c r="M15" s="9" t="s">
        <v>323</v>
      </c>
      <c r="N15" s="627" t="s">
        <v>310</v>
      </c>
      <c r="O15" s="627" t="s">
        <v>311</v>
      </c>
      <c r="P15" s="627" t="s">
        <v>312</v>
      </c>
      <c r="Q15" s="627"/>
      <c r="R15" s="627"/>
      <c r="S15" s="629" t="s">
        <v>27</v>
      </c>
      <c r="U15" s="611" t="s">
        <v>313</v>
      </c>
      <c r="V15" s="611"/>
    </row>
    <row r="16" spans="2:22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333</v>
      </c>
      <c r="K16" s="10" t="s">
        <v>322</v>
      </c>
      <c r="L16" s="10" t="s">
        <v>322</v>
      </c>
      <c r="M16" s="10" t="s">
        <v>322</v>
      </c>
      <c r="N16" s="628"/>
      <c r="O16" s="628"/>
      <c r="P16" s="628"/>
      <c r="Q16" s="628"/>
      <c r="R16" s="628"/>
      <c r="S16" s="630"/>
      <c r="U16" s="35" t="s">
        <v>269</v>
      </c>
      <c r="V16" s="35" t="s">
        <v>47</v>
      </c>
    </row>
    <row r="17" spans="2:24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23">
        <v>2153.7359999999999</v>
      </c>
      <c r="K17" s="23"/>
      <c r="L17" s="23"/>
      <c r="M17" s="23">
        <v>0.2</v>
      </c>
      <c r="N17" s="23">
        <f>J17*M17</f>
        <v>430.74720000000002</v>
      </c>
      <c r="O17" s="23">
        <f>IF(OR(B17="",N17=""),"",IF(AND(O16="",S17=""),O16,SUM(N17,O16)))</f>
        <v>430.74720000000002</v>
      </c>
      <c r="P17" s="612" t="s">
        <v>348</v>
      </c>
      <c r="Q17" s="612"/>
      <c r="R17" s="612"/>
      <c r="S17" s="29">
        <v>1</v>
      </c>
      <c r="U17" s="84" t="s">
        <v>115</v>
      </c>
      <c r="V17" s="83" t="str">
        <f>IF($U17="","",VLOOKUP($U17,RESUMO!$C:$D,2,FALSE))</f>
        <v>Preparo e melhoramento do subleito</v>
      </c>
      <c r="X17" s="85" t="str">
        <f>HYPERLINK("#"&amp;"'"&amp;U17&amp;"'"&amp;"!A1","LINK")</f>
        <v>LINK</v>
      </c>
    </row>
    <row r="18" spans="2:24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">
        <v>251.50500000000011</v>
      </c>
      <c r="K18" s="11"/>
      <c r="L18" s="11"/>
      <c r="M18" s="11">
        <v>0.2</v>
      </c>
      <c r="N18" s="11">
        <f>J18*M18</f>
        <v>50.301000000000023</v>
      </c>
      <c r="O18" s="11">
        <f>IF(B18="","",IF(OR(O17="",S18=""),O17,SUM(N18,O17)))</f>
        <v>481.04820000000007</v>
      </c>
      <c r="P18" s="612" t="s">
        <v>349</v>
      </c>
      <c r="Q18" s="612"/>
      <c r="R18" s="612"/>
      <c r="S18" s="29">
        <v>1</v>
      </c>
      <c r="U18" s="84" t="s">
        <v>117</v>
      </c>
      <c r="V18" s="83" t="str">
        <f>IF($U18="","",VLOOKUP($U18,RESUMO!$C:$D,2,FALSE))</f>
        <v>Rachão ou pedra de mão</v>
      </c>
      <c r="X18" s="85" t="str">
        <f t="shared" ref="X18:X22" si="1">HYPERLINK("#"&amp;"'"&amp;U18&amp;"'"&amp;"!A1","LINK")</f>
        <v>LINK</v>
      </c>
    </row>
    <row r="19" spans="2:24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11"/>
      <c r="O19" s="11"/>
      <c r="P19" s="612"/>
      <c r="Q19" s="612"/>
      <c r="R19" s="612"/>
      <c r="S19" s="29"/>
      <c r="U19" s="84" t="s">
        <v>119</v>
      </c>
      <c r="V19" s="83" t="str">
        <f>IF($U19="","",VLOOKUP($U19,RESUMO!$C:$D,2,FALSE))</f>
        <v>Sub-base ou base de brita graduada simples (BGS)</v>
      </c>
      <c r="X19" s="85" t="str">
        <f t="shared" si="1"/>
        <v>LINK</v>
      </c>
    </row>
    <row r="20" spans="2:24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/>
      <c r="O20" s="11"/>
      <c r="P20" s="612"/>
      <c r="Q20" s="612"/>
      <c r="R20" s="612"/>
      <c r="S20" s="29"/>
      <c r="U20" s="84" t="s">
        <v>121</v>
      </c>
      <c r="V20" s="83" t="str">
        <f>IF($U20="","",VLOOKUP($U20,RESUMO!$C:$D,2,FALSE))</f>
        <v>Imprimadura betuminosa impermeabilizante</v>
      </c>
      <c r="X20" s="85" t="str">
        <f t="shared" si="1"/>
        <v>LINK</v>
      </c>
    </row>
    <row r="21" spans="2:24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/>
      <c r="O21" s="11"/>
      <c r="P21" s="612"/>
      <c r="Q21" s="612"/>
      <c r="R21" s="612"/>
      <c r="S21" s="29"/>
      <c r="U21" s="84" t="s">
        <v>123</v>
      </c>
      <c r="V21" s="83" t="str">
        <f>IF($U21="","",VLOOKUP($U21,RESUMO!$C:$D,2,FALSE))</f>
        <v>Imprimadura betuminosa ligante</v>
      </c>
      <c r="X21" s="85" t="str">
        <f t="shared" si="1"/>
        <v>LINK</v>
      </c>
    </row>
    <row r="22" spans="2:24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/>
      <c r="O22" s="11"/>
      <c r="P22" s="612"/>
      <c r="Q22" s="612"/>
      <c r="R22" s="612"/>
      <c r="S22" s="29"/>
      <c r="U22" s="84" t="s">
        <v>125</v>
      </c>
      <c r="V22" s="83" t="str">
        <f>IF($U22="","",VLOOKUP($U22,RESUMO!$C:$D,2,FALSE))</f>
        <v>CBUQ  Faixa C/D c/ DOP ou polímero similar</v>
      </c>
      <c r="X22" s="85" t="str">
        <f t="shared" si="1"/>
        <v>LINK</v>
      </c>
    </row>
    <row r="23" spans="2:24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/>
      <c r="N23" s="11"/>
      <c r="O23" s="11"/>
      <c r="P23" s="612"/>
      <c r="Q23" s="612"/>
      <c r="R23" s="612"/>
      <c r="S23" s="29"/>
    </row>
    <row r="24" spans="2:24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/>
      <c r="N24" s="11" t="str">
        <f t="shared" ref="N24:N39" si="2">IF(K24="","",K24*L24*M24)</f>
        <v/>
      </c>
      <c r="O24" s="11" t="str">
        <f t="shared" ref="O24:O39" si="3">IF(B24="","",IF(OR(O23="",S24=""),O23,SUM(N24,O23)))</f>
        <v/>
      </c>
      <c r="P24" s="612"/>
      <c r="Q24" s="612"/>
      <c r="R24" s="612"/>
      <c r="S24" s="29"/>
    </row>
    <row r="25" spans="2:24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/>
      <c r="N25" s="11" t="str">
        <f t="shared" si="2"/>
        <v/>
      </c>
      <c r="O25" s="11" t="str">
        <f t="shared" si="3"/>
        <v/>
      </c>
      <c r="P25" s="612"/>
      <c r="Q25" s="612"/>
      <c r="R25" s="612"/>
      <c r="S25" s="29"/>
    </row>
    <row r="26" spans="2:24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/>
      <c r="N26" s="11" t="str">
        <f t="shared" si="2"/>
        <v/>
      </c>
      <c r="O26" s="11" t="str">
        <f t="shared" si="3"/>
        <v/>
      </c>
      <c r="P26" s="612"/>
      <c r="Q26" s="612"/>
      <c r="R26" s="612"/>
      <c r="S26" s="29"/>
    </row>
    <row r="27" spans="2:24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/>
      <c r="N27" s="11" t="str">
        <f t="shared" si="2"/>
        <v/>
      </c>
      <c r="O27" s="11" t="str">
        <f>IF(B27="","",IF(OR(O26="",S27=""),O26,SUM(N27,O26)))</f>
        <v/>
      </c>
      <c r="P27" s="612"/>
      <c r="Q27" s="612"/>
      <c r="R27" s="612"/>
      <c r="S27" s="29"/>
    </row>
    <row r="28" spans="2:24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/>
      <c r="N28" s="11" t="str">
        <f t="shared" si="2"/>
        <v/>
      </c>
      <c r="O28" s="11" t="str">
        <f t="shared" si="3"/>
        <v/>
      </c>
      <c r="P28" s="612"/>
      <c r="Q28" s="612"/>
      <c r="R28" s="612"/>
      <c r="S28" s="29"/>
    </row>
    <row r="29" spans="2:24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/>
      <c r="N29" s="11" t="str">
        <f t="shared" si="2"/>
        <v/>
      </c>
      <c r="O29" s="11" t="str">
        <f t="shared" si="3"/>
        <v/>
      </c>
      <c r="P29" s="612"/>
      <c r="Q29" s="612"/>
      <c r="R29" s="612"/>
      <c r="S29" s="29"/>
    </row>
    <row r="30" spans="2:24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/>
      <c r="N30" s="11" t="str">
        <f t="shared" si="2"/>
        <v/>
      </c>
      <c r="O30" s="11" t="str">
        <f t="shared" si="3"/>
        <v/>
      </c>
      <c r="P30" s="612"/>
      <c r="Q30" s="612"/>
      <c r="R30" s="612"/>
      <c r="S30" s="29"/>
    </row>
    <row r="31" spans="2:24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/>
      <c r="N31" s="11" t="str">
        <f t="shared" si="2"/>
        <v/>
      </c>
      <c r="O31" s="11" t="str">
        <f t="shared" si="3"/>
        <v/>
      </c>
      <c r="P31" s="612"/>
      <c r="Q31" s="612"/>
      <c r="R31" s="612"/>
      <c r="S31" s="29"/>
    </row>
    <row r="32" spans="2:24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/>
      <c r="N32" s="11" t="str">
        <f t="shared" si="2"/>
        <v/>
      </c>
      <c r="O32" s="11" t="str">
        <f t="shared" si="3"/>
        <v/>
      </c>
      <c r="P32" s="612"/>
      <c r="Q32" s="612"/>
      <c r="R32" s="612"/>
      <c r="S32" s="29"/>
    </row>
    <row r="33" spans="2:19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/>
      <c r="N33" s="11" t="str">
        <f t="shared" si="2"/>
        <v/>
      </c>
      <c r="O33" s="11" t="str">
        <f t="shared" si="3"/>
        <v/>
      </c>
      <c r="P33" s="612"/>
      <c r="Q33" s="612"/>
      <c r="R33" s="612"/>
      <c r="S33" s="29"/>
    </row>
    <row r="34" spans="2:19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/>
      <c r="N34" s="11" t="str">
        <f t="shared" si="2"/>
        <v/>
      </c>
      <c r="O34" s="11" t="str">
        <f t="shared" si="3"/>
        <v/>
      </c>
      <c r="P34" s="612"/>
      <c r="Q34" s="612"/>
      <c r="R34" s="612"/>
      <c r="S34" s="29"/>
    </row>
    <row r="35" spans="2:19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/>
      <c r="N35" s="11" t="str">
        <f t="shared" si="2"/>
        <v/>
      </c>
      <c r="O35" s="11" t="str">
        <f t="shared" si="3"/>
        <v/>
      </c>
      <c r="P35" s="612"/>
      <c r="Q35" s="612"/>
      <c r="R35" s="612"/>
      <c r="S35" s="29"/>
    </row>
    <row r="36" spans="2:19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/>
      <c r="N36" s="11" t="str">
        <f t="shared" si="2"/>
        <v/>
      </c>
      <c r="O36" s="11" t="str">
        <f t="shared" si="3"/>
        <v/>
      </c>
      <c r="P36" s="612"/>
      <c r="Q36" s="612"/>
      <c r="R36" s="612"/>
      <c r="S36" s="29"/>
    </row>
    <row r="37" spans="2:19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/>
      <c r="N37" s="11" t="str">
        <f t="shared" si="2"/>
        <v/>
      </c>
      <c r="O37" s="11" t="str">
        <f t="shared" si="3"/>
        <v/>
      </c>
      <c r="P37" s="612"/>
      <c r="Q37" s="612"/>
      <c r="R37" s="612"/>
      <c r="S37" s="29"/>
    </row>
    <row r="38" spans="2:19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/>
      <c r="N38" s="11" t="str">
        <f t="shared" si="2"/>
        <v/>
      </c>
      <c r="O38" s="11" t="str">
        <f t="shared" si="3"/>
        <v/>
      </c>
      <c r="P38" s="612"/>
      <c r="Q38" s="612"/>
      <c r="R38" s="612"/>
      <c r="S38" s="29"/>
    </row>
    <row r="39" spans="2:19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/>
      <c r="N39" s="12" t="str">
        <f t="shared" si="2"/>
        <v/>
      </c>
      <c r="O39" s="12" t="str">
        <f t="shared" si="3"/>
        <v/>
      </c>
      <c r="P39" s="634"/>
      <c r="Q39" s="634"/>
      <c r="R39" s="634"/>
      <c r="S39" s="34"/>
    </row>
    <row r="40" spans="2:19" ht="19.899999999999999" customHeight="1" thickTop="1" x14ac:dyDescent="0.25"/>
  </sheetData>
  <mergeCells count="73">
    <mergeCell ref="J8:S8"/>
    <mergeCell ref="J9:S9"/>
    <mergeCell ref="P36:R36"/>
    <mergeCell ref="P37:R37"/>
    <mergeCell ref="P38:R38"/>
    <mergeCell ref="S15:S16"/>
    <mergeCell ref="P39:R39"/>
    <mergeCell ref="P30:R30"/>
    <mergeCell ref="P31:R31"/>
    <mergeCell ref="P32:R32"/>
    <mergeCell ref="P33:R33"/>
    <mergeCell ref="P34:R34"/>
    <mergeCell ref="P35:R35"/>
    <mergeCell ref="U15:V15"/>
    <mergeCell ref="P29:R29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17:R17"/>
    <mergeCell ref="B15:B16"/>
    <mergeCell ref="C15:C16"/>
    <mergeCell ref="D15:E15"/>
    <mergeCell ref="F15:G15"/>
    <mergeCell ref="H15:H16"/>
    <mergeCell ref="I15:I16"/>
    <mergeCell ref="N15:N16"/>
    <mergeCell ref="O15:O16"/>
    <mergeCell ref="P15:R16"/>
    <mergeCell ref="C13:F13"/>
    <mergeCell ref="H13:P13"/>
    <mergeCell ref="R13:S13"/>
    <mergeCell ref="B8:D8"/>
    <mergeCell ref="E8:F8"/>
    <mergeCell ref="G8:H8"/>
    <mergeCell ref="B9:D9"/>
    <mergeCell ref="E9:F9"/>
    <mergeCell ref="G9:H9"/>
    <mergeCell ref="B11:F11"/>
    <mergeCell ref="G11:S11"/>
    <mergeCell ref="C12:F12"/>
    <mergeCell ref="H12:P12"/>
    <mergeCell ref="R12:S12"/>
    <mergeCell ref="J6:S6"/>
    <mergeCell ref="J7:S7"/>
    <mergeCell ref="B4:D4"/>
    <mergeCell ref="E4:F4"/>
    <mergeCell ref="G4:H4"/>
    <mergeCell ref="B5:D5"/>
    <mergeCell ref="E5:F5"/>
    <mergeCell ref="G5:H5"/>
    <mergeCell ref="J4:S4"/>
    <mergeCell ref="J5:S5"/>
    <mergeCell ref="B6:D6"/>
    <mergeCell ref="E6:F6"/>
    <mergeCell ref="G6:H6"/>
    <mergeCell ref="B7:D7"/>
    <mergeCell ref="E7:F7"/>
    <mergeCell ref="G7:H7"/>
    <mergeCell ref="B2:D3"/>
    <mergeCell ref="E2:H2"/>
    <mergeCell ref="U2:V2"/>
    <mergeCell ref="E3:F3"/>
    <mergeCell ref="G3:H3"/>
    <mergeCell ref="J2:S2"/>
    <mergeCell ref="J3:S3"/>
  </mergeCells>
  <conditionalFormatting sqref="B17:P39">
    <cfRule type="containsBlanks" dxfId="76" priority="1">
      <formula>LEN(TRIM(B17))=0</formula>
    </cfRule>
  </conditionalFormatting>
  <conditionalFormatting sqref="S17:S39">
    <cfRule type="containsBlanks" dxfId="75" priority="3">
      <formula>LEN(TRIM(S17))=0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A8B6-914A-4537-9D45-5AE05C166626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2405.2399999999998</v>
      </c>
      <c r="F4" s="653"/>
      <c r="G4" s="640">
        <f t="shared" ref="G4:G9" si="0">E4*$P$13</f>
        <v>2092.56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2405.241</v>
      </c>
      <c r="F5" s="654"/>
      <c r="G5" s="642">
        <f t="shared" si="0"/>
        <v>2092.5608700004991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2405.241</v>
      </c>
      <c r="F6" s="654"/>
      <c r="G6" s="642">
        <f t="shared" si="0"/>
        <v>2092.5608700004991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-1.0000000002037268E-3</v>
      </c>
      <c r="F7" s="645"/>
      <c r="G7" s="642">
        <f t="shared" si="0"/>
        <v>-8.7000049908795402E-4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RESUMO!C43</f>
        <v>C.2</v>
      </c>
      <c r="C13" s="623" t="str">
        <f>IF($B$13="","",VLOOKUP($B$13,RESUMO!$C:$F,2,FALSE))</f>
        <v>Pavimentação</v>
      </c>
      <c r="D13" s="623"/>
      <c r="E13" s="623"/>
      <c r="F13" s="662"/>
      <c r="G13" s="16" t="str">
        <f>RESUMO!C47</f>
        <v>C.2.4</v>
      </c>
      <c r="H13" s="623" t="str">
        <f>IF($G$13="","",VLOOKUP($G$13,RESUMO!$C:$F,2,FALSE))</f>
        <v>Imprimadura betuminosa impermeabilizante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m²</v>
      </c>
      <c r="P13" s="621">
        <f>IF($G$13="","",VLOOKUP($G$13,RESUMO!$C:$F,4,FALSE))</f>
        <v>0.87000049891071163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23"/>
      <c r="K17" s="23"/>
      <c r="L17" s="23">
        <v>2153.7359999999999</v>
      </c>
      <c r="M17" s="23">
        <f>IF(OR(B17="",L17=""),"",IF(AND(M16="",Q17=""),M16,SUM(L17,M16)))</f>
        <v>2153.7359999999999</v>
      </c>
      <c r="N17" s="612" t="s">
        <v>348</v>
      </c>
      <c r="O17" s="612"/>
      <c r="P17" s="612"/>
      <c r="Q17" s="24">
        <v>1</v>
      </c>
      <c r="S17" s="84" t="s">
        <v>115</v>
      </c>
      <c r="T17" s="83" t="str">
        <f>IF($S17="","",VLOOKUP($S17,RESUMO!$C:$D,2,FALSE))</f>
        <v>Preparo e melhoramento do subleito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"/>
      <c r="K18" s="11"/>
      <c r="L18" s="11">
        <f>2405.241-L17</f>
        <v>251.50500000000011</v>
      </c>
      <c r="M18" s="11">
        <f>IF(B18="","",IF(OR(M17="",Q18=""),M17,SUM(L18,M17)))</f>
        <v>2405.241</v>
      </c>
      <c r="N18" s="612" t="s">
        <v>349</v>
      </c>
      <c r="O18" s="612"/>
      <c r="P18" s="612"/>
      <c r="Q18" s="29">
        <v>1</v>
      </c>
      <c r="S18" s="84" t="s">
        <v>117</v>
      </c>
      <c r="T18" s="83" t="str">
        <f>IF($S18="","",VLOOKUP($S18,RESUMO!$C:$D,2,FALSE))</f>
        <v>Rachão ou pedra de mão</v>
      </c>
      <c r="V18" s="85" t="str">
        <f t="shared" ref="V18:V22" si="1"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 t="str">
        <f t="shared" ref="L19:L36" si="2">IF(J19="","",J19*K19)</f>
        <v/>
      </c>
      <c r="M19" s="11" t="str">
        <f>IF(B19="","",IF(OR(M18="",Q19=""),M18,SUM(L19,M18)))</f>
        <v/>
      </c>
      <c r="N19" s="612"/>
      <c r="O19" s="612"/>
      <c r="P19" s="612"/>
      <c r="Q19" s="29"/>
      <c r="S19" s="84" t="s">
        <v>119</v>
      </c>
      <c r="T19" s="83" t="str">
        <f>IF($S19="","",VLOOKUP($S19,RESUMO!$C:$D,2,FALSE))</f>
        <v>Sub-base ou base de brita graduada simples (BGS)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si="2"/>
        <v/>
      </c>
      <c r="M20" s="11" t="str">
        <f t="shared" ref="M20:M36" si="3">IF(B20="","",IF(OR(M19="",Q20=""),M19,SUM(L20,M19)))</f>
        <v/>
      </c>
      <c r="N20" s="612"/>
      <c r="O20" s="612"/>
      <c r="P20" s="612"/>
      <c r="Q20" s="29"/>
      <c r="S20" s="84" t="s">
        <v>121</v>
      </c>
      <c r="T20" s="83" t="str">
        <f>IF($S20="","",VLOOKUP($S20,RESUMO!$C:$D,2,FALSE))</f>
        <v>Imprimadura betuminosa impermeabilizante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2"/>
        <v/>
      </c>
      <c r="M21" s="11" t="str">
        <f t="shared" si="3"/>
        <v/>
      </c>
      <c r="N21" s="612"/>
      <c r="O21" s="612"/>
      <c r="P21" s="612"/>
      <c r="Q21" s="29"/>
      <c r="S21" s="84" t="s">
        <v>123</v>
      </c>
      <c r="T21" s="83" t="str">
        <f>IF($S21="","",VLOOKUP($S21,RESUMO!$C:$D,2,FALSE))</f>
        <v>Imprimadura betuminosa ligante</v>
      </c>
      <c r="V21" s="85" t="str">
        <f t="shared" si="1"/>
        <v>LINK</v>
      </c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2"/>
        <v/>
      </c>
      <c r="M22" s="11" t="str">
        <f t="shared" si="3"/>
        <v/>
      </c>
      <c r="N22" s="612"/>
      <c r="O22" s="612"/>
      <c r="P22" s="612"/>
      <c r="Q22" s="29"/>
      <c r="S22" s="84" t="s">
        <v>125</v>
      </c>
      <c r="T22" s="83" t="str">
        <f>IF($S22="","",VLOOKUP($S22,RESUMO!$C:$D,2,FALSE))</f>
        <v>CBUQ  Faixa C/D c/ DOP ou polímero similar</v>
      </c>
      <c r="V22" s="85" t="str">
        <f t="shared" si="1"/>
        <v>LINK</v>
      </c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  <c r="S23" s="84"/>
      <c r="T23" s="83"/>
      <c r="V23" s="85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">
    <cfRule type="containsBlanks" dxfId="74" priority="1">
      <formula>LEN(TRIM(B17))=0</formula>
    </cfRule>
  </conditionalFormatting>
  <conditionalFormatting sqref="Q17:Q36">
    <cfRule type="containsBlanks" dxfId="73" priority="5">
      <formula>LEN(TRIM(Q17))=0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B55F-45CA-4C8C-ADE7-732EC3C6BDF1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4810.4799999999996</v>
      </c>
      <c r="F4" s="653"/>
      <c r="G4" s="640">
        <f t="shared" ref="G4:G9" si="0">E4*$P$13</f>
        <v>2549.56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4810.482</v>
      </c>
      <c r="F5" s="654"/>
      <c r="G5" s="642">
        <f t="shared" si="0"/>
        <v>2549.5610600023283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4810.482</v>
      </c>
      <c r="F6" s="654"/>
      <c r="G6" s="642">
        <f t="shared" si="0"/>
        <v>2549.5610600023283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-2.0000000004074536E-3</v>
      </c>
      <c r="F7" s="645"/>
      <c r="G7" s="642">
        <f t="shared" si="0"/>
        <v>-1.0600023284659385E-3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RESUMO!C43</f>
        <v>C.2</v>
      </c>
      <c r="C13" s="623" t="str">
        <f>IF($B$13="","",VLOOKUP($B$13,RESUMO!$C:$F,2,FALSE))</f>
        <v>Pavimentação</v>
      </c>
      <c r="D13" s="623"/>
      <c r="E13" s="623"/>
      <c r="F13" s="662"/>
      <c r="G13" s="16" t="str">
        <f>RESUMO!C48</f>
        <v>C.2.5</v>
      </c>
      <c r="H13" s="623" t="str">
        <f>IF($G$13="","",VLOOKUP($G$13,RESUMO!$C:$F,2,FALSE))</f>
        <v>Imprimadura betuminosa ligante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m²</v>
      </c>
      <c r="P13" s="621">
        <f>IF($G$13="","",VLOOKUP($G$13,RESUMO!$C:$F,4,FALSE))</f>
        <v>0.53000116412499376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23"/>
      <c r="K17" s="23"/>
      <c r="L17" s="23">
        <v>4307.4719999999998</v>
      </c>
      <c r="M17" s="23">
        <f>IF(OR(B17="",L17=""),"",IF(AND(M16="",Q17=""),M16,SUM(L17,M16)))</f>
        <v>4307.4719999999998</v>
      </c>
      <c r="N17" s="612" t="s">
        <v>348</v>
      </c>
      <c r="O17" s="612"/>
      <c r="P17" s="612"/>
      <c r="Q17" s="24">
        <v>1</v>
      </c>
      <c r="S17" s="84" t="s">
        <v>115</v>
      </c>
      <c r="T17" s="83" t="str">
        <f>IF($S17="","",VLOOKUP($S17,RESUMO!$C:$D,2,FALSE))</f>
        <v>Preparo e melhoramento do subleito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"/>
      <c r="K18" s="11"/>
      <c r="L18" s="11">
        <v>503.01000000000022</v>
      </c>
      <c r="M18" s="11">
        <f>IF(B18="","",IF(OR(M17="",Q18=""),M17,SUM(L18,M17)))</f>
        <v>4810.482</v>
      </c>
      <c r="N18" s="612" t="s">
        <v>349</v>
      </c>
      <c r="O18" s="612"/>
      <c r="P18" s="612"/>
      <c r="Q18" s="29">
        <v>1</v>
      </c>
      <c r="S18" s="84" t="s">
        <v>117</v>
      </c>
      <c r="T18" s="83" t="str">
        <f>IF($S18="","",VLOOKUP($S18,RESUMO!$C:$D,2,FALSE))</f>
        <v>Rachão ou pedra de mão</v>
      </c>
      <c r="V18" s="85" t="str">
        <f t="shared" ref="V18:V22" si="1"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 t="str">
        <f t="shared" ref="L19:L36" si="2">IF(J19="","",J19*K19)</f>
        <v/>
      </c>
      <c r="M19" s="11" t="str">
        <f>IF(B19="","",IF(OR(M18="",Q19=""),M18,SUM(L19,M18)))</f>
        <v/>
      </c>
      <c r="N19" s="612"/>
      <c r="O19" s="612"/>
      <c r="P19" s="612"/>
      <c r="Q19" s="29"/>
      <c r="S19" s="84" t="s">
        <v>119</v>
      </c>
      <c r="T19" s="83" t="str">
        <f>IF($S19="","",VLOOKUP($S19,RESUMO!$C:$D,2,FALSE))</f>
        <v>Sub-base ou base de brita graduada simples (BGS)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si="2"/>
        <v/>
      </c>
      <c r="M20" s="11" t="str">
        <f t="shared" ref="M20:M36" si="3">IF(B20="","",IF(OR(M19="",Q20=""),M19,SUM(L20,M19)))</f>
        <v/>
      </c>
      <c r="N20" s="612"/>
      <c r="O20" s="612"/>
      <c r="P20" s="612"/>
      <c r="Q20" s="29"/>
      <c r="S20" s="84" t="s">
        <v>121</v>
      </c>
      <c r="T20" s="83" t="str">
        <f>IF($S20="","",VLOOKUP($S20,RESUMO!$C:$D,2,FALSE))</f>
        <v>Imprimadura betuminosa impermeabilizante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2"/>
        <v/>
      </c>
      <c r="M21" s="11" t="str">
        <f t="shared" si="3"/>
        <v/>
      </c>
      <c r="N21" s="612"/>
      <c r="O21" s="612"/>
      <c r="P21" s="612"/>
      <c r="Q21" s="29"/>
      <c r="S21" s="84" t="s">
        <v>123</v>
      </c>
      <c r="T21" s="83" t="str">
        <f>IF($S21="","",VLOOKUP($S21,RESUMO!$C:$D,2,FALSE))</f>
        <v>Imprimadura betuminosa ligante</v>
      </c>
      <c r="V21" s="85" t="str">
        <f t="shared" si="1"/>
        <v>LINK</v>
      </c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2"/>
        <v/>
      </c>
      <c r="M22" s="11" t="str">
        <f t="shared" si="3"/>
        <v/>
      </c>
      <c r="N22" s="612"/>
      <c r="O22" s="612"/>
      <c r="P22" s="612"/>
      <c r="Q22" s="29"/>
      <c r="S22" s="84" t="s">
        <v>125</v>
      </c>
      <c r="T22" s="83" t="str">
        <f>IF($S22="","",VLOOKUP($S22,RESUMO!$C:$D,2,FALSE))</f>
        <v>CBUQ  Faixa C/D c/ DOP ou polímero similar</v>
      </c>
      <c r="V22" s="85" t="str">
        <f t="shared" si="1"/>
        <v>LINK</v>
      </c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  <c r="S23" s="84"/>
      <c r="T23" s="83"/>
      <c r="V23" s="85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">
    <cfRule type="containsBlanks" dxfId="72" priority="1">
      <formula>LEN(TRIM(B17))=0</formula>
    </cfRule>
  </conditionalFormatting>
  <conditionalFormatting sqref="Q17:Q36">
    <cfRule type="containsBlanks" dxfId="71" priority="5">
      <formula>LEN(TRIM(Q17))=0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F35B-D976-4CD6-B844-E461EA15D61B}">
  <sheetPr>
    <pageSetUpPr fitToPage="1"/>
  </sheetPr>
  <dimension ref="B1:Y42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6" width="12.7109375" style="3" customWidth="1"/>
    <col min="17" max="17" width="20.7109375" style="3" customWidth="1"/>
    <col min="18" max="19" width="10.7109375" style="3" customWidth="1"/>
    <col min="20" max="16384" width="10.7109375" style="3"/>
  </cols>
  <sheetData>
    <row r="1" spans="2:23" ht="19.899999999999999" customHeight="1" thickBot="1" x14ac:dyDescent="0.3"/>
    <row r="2" spans="2:23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2"/>
      <c r="T2" s="633"/>
      <c r="V2" s="611" t="s">
        <v>294</v>
      </c>
      <c r="W2" s="611"/>
    </row>
    <row r="3" spans="2:23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4"/>
      <c r="S3" s="614"/>
      <c r="T3" s="615"/>
      <c r="V3" s="36"/>
      <c r="W3" s="36"/>
    </row>
    <row r="4" spans="2:23" ht="15" customHeight="1" x14ac:dyDescent="0.25">
      <c r="B4" s="647" t="s">
        <v>296</v>
      </c>
      <c r="C4" s="648"/>
      <c r="D4" s="648"/>
      <c r="E4" s="653">
        <f>IF($G$13="","",VLOOKUP($G$13,RESUMO!$C:$G,5,FALSE))</f>
        <v>437.99</v>
      </c>
      <c r="F4" s="653"/>
      <c r="G4" s="640">
        <f t="shared" ref="G4:G9" si="0">E4*$S$13</f>
        <v>135226.39000000001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4"/>
      <c r="T4" s="615"/>
      <c r="V4" s="36"/>
      <c r="W4" s="36"/>
    </row>
    <row r="5" spans="2:23" ht="15" customHeight="1" x14ac:dyDescent="0.25">
      <c r="B5" s="649" t="s">
        <v>297</v>
      </c>
      <c r="C5" s="650"/>
      <c r="D5" s="650"/>
      <c r="E5" s="654">
        <f>SUMIFS(O:O,T:T,"&lt;&gt;")</f>
        <v>480.23539720999997</v>
      </c>
      <c r="F5" s="654"/>
      <c r="G5" s="642">
        <f t="shared" si="0"/>
        <v>148269.36485975565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4"/>
      <c r="T5" s="615"/>
      <c r="V5" s="36"/>
      <c r="W5" s="36"/>
    </row>
    <row r="6" spans="2:23" ht="15" customHeight="1" x14ac:dyDescent="0.25">
      <c r="B6" s="649" t="s">
        <v>298</v>
      </c>
      <c r="C6" s="650"/>
      <c r="D6" s="650"/>
      <c r="E6" s="654">
        <f>E5-E9</f>
        <v>480.23539720999997</v>
      </c>
      <c r="F6" s="654"/>
      <c r="G6" s="642">
        <f t="shared" si="0"/>
        <v>148269.36485975565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4"/>
      <c r="T6" s="615"/>
    </row>
    <row r="7" spans="2:23" ht="15" customHeight="1" x14ac:dyDescent="0.25">
      <c r="B7" s="649" t="s">
        <v>299</v>
      </c>
      <c r="C7" s="650"/>
      <c r="D7" s="650"/>
      <c r="E7" s="644">
        <f>E4-E5</f>
        <v>-42.245397209999965</v>
      </c>
      <c r="F7" s="645"/>
      <c r="G7" s="642">
        <f t="shared" si="0"/>
        <v>-13042.974859755628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4"/>
      <c r="T7" s="615"/>
    </row>
    <row r="8" spans="2:23" ht="15" customHeight="1" x14ac:dyDescent="0.25">
      <c r="B8" s="655" t="s">
        <v>300</v>
      </c>
      <c r="C8" s="656"/>
      <c r="D8" s="656"/>
      <c r="E8" s="657">
        <f>SUM(O:O)-E5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4"/>
      <c r="T8" s="615"/>
    </row>
    <row r="9" spans="2:23" ht="15" customHeight="1" thickBot="1" x14ac:dyDescent="0.3">
      <c r="B9" s="651" t="s">
        <v>301</v>
      </c>
      <c r="C9" s="652"/>
      <c r="D9" s="652"/>
      <c r="E9" s="646">
        <f>SUMIF(T:T,CAPA!$I$2,O:O)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7"/>
      <c r="T9" s="618"/>
    </row>
    <row r="10" spans="2:23" ht="10.15" customHeight="1" thickTop="1" thickBot="1" x14ac:dyDescent="0.3"/>
    <row r="11" spans="2:23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6"/>
    </row>
    <row r="12" spans="2:23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619"/>
      <c r="R12" s="14" t="s">
        <v>303</v>
      </c>
      <c r="S12" s="619" t="s">
        <v>304</v>
      </c>
      <c r="T12" s="620"/>
    </row>
    <row r="13" spans="2:23" s="8" customFormat="1" ht="30" customHeight="1" thickBot="1" x14ac:dyDescent="0.3">
      <c r="B13" s="15" t="str">
        <f>RESUMO!C43</f>
        <v>C.2</v>
      </c>
      <c r="C13" s="623" t="str">
        <f>IF($B$13="","",VLOOKUP($B$13,RESUMO!$C:$F,2,FALSE))</f>
        <v>Pavimentação</v>
      </c>
      <c r="D13" s="623"/>
      <c r="E13" s="623"/>
      <c r="F13" s="662"/>
      <c r="G13" s="16" t="str">
        <f>RESUMO!C49</f>
        <v>C.2.6</v>
      </c>
      <c r="H13" s="623" t="str">
        <f>IF($G$13="","",VLOOKUP($G$13,RESUMO!$C:$F,2,FALSE))</f>
        <v>CBUQ  Faixa C/D c/ DOP ou polímero similar</v>
      </c>
      <c r="I13" s="623"/>
      <c r="J13" s="623"/>
      <c r="K13" s="623"/>
      <c r="L13" s="623"/>
      <c r="M13" s="623"/>
      <c r="N13" s="623"/>
      <c r="O13" s="623"/>
      <c r="P13" s="623"/>
      <c r="Q13" s="623"/>
      <c r="R13" s="17" t="str">
        <f>IF($G$13="","",VLOOKUP($G$13,RESUMO!$C:$F,3,FALSE))</f>
        <v>T</v>
      </c>
      <c r="S13" s="621">
        <f>IF($G$13="","",VLOOKUP($G$13,RESUMO!$C:$F,4,FALSE))</f>
        <v>308.74309915751502</v>
      </c>
      <c r="T13" s="622"/>
    </row>
    <row r="14" spans="2:23" ht="10.15" customHeight="1" thickTop="1" thickBot="1" x14ac:dyDescent="0.3"/>
    <row r="15" spans="2:23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350</v>
      </c>
      <c r="K15" s="9" t="s">
        <v>320</v>
      </c>
      <c r="L15" s="9" t="s">
        <v>321</v>
      </c>
      <c r="M15" s="9" t="s">
        <v>323</v>
      </c>
      <c r="N15" s="672" t="s">
        <v>332</v>
      </c>
      <c r="O15" s="627" t="s">
        <v>310</v>
      </c>
      <c r="P15" s="627" t="s">
        <v>311</v>
      </c>
      <c r="Q15" s="627" t="s">
        <v>312</v>
      </c>
      <c r="R15" s="627"/>
      <c r="S15" s="627"/>
      <c r="T15" s="629" t="s">
        <v>27</v>
      </c>
      <c r="V15" s="611" t="s">
        <v>313</v>
      </c>
      <c r="W15" s="611"/>
    </row>
    <row r="16" spans="2:23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333</v>
      </c>
      <c r="K16" s="10" t="s">
        <v>322</v>
      </c>
      <c r="L16" s="10" t="s">
        <v>322</v>
      </c>
      <c r="M16" s="10" t="s">
        <v>322</v>
      </c>
      <c r="N16" s="673"/>
      <c r="O16" s="628"/>
      <c r="P16" s="628"/>
      <c r="Q16" s="628"/>
      <c r="R16" s="628"/>
      <c r="S16" s="628"/>
      <c r="T16" s="630"/>
      <c r="V16" s="35" t="s">
        <v>269</v>
      </c>
      <c r="W16" s="35" t="s">
        <v>47</v>
      </c>
    </row>
    <row r="17" spans="2:25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23">
        <v>2173.2509</v>
      </c>
      <c r="K17" s="23"/>
      <c r="L17" s="23"/>
      <c r="M17" s="23">
        <v>7.4999999999999997E-2</v>
      </c>
      <c r="N17" s="23">
        <v>2.4279999999999999</v>
      </c>
      <c r="O17" s="23">
        <f>E4</f>
        <v>437.99</v>
      </c>
      <c r="P17" s="23">
        <f>IF(OR(B17="",O17=""),"",IF(AND(P16="",T17=""),P16,SUM(O17,P16)))</f>
        <v>437.99</v>
      </c>
      <c r="Q17" s="612" t="s">
        <v>348</v>
      </c>
      <c r="R17" s="612"/>
      <c r="S17" s="612"/>
      <c r="T17" s="24">
        <v>1</v>
      </c>
      <c r="V17" s="84" t="s">
        <v>115</v>
      </c>
      <c r="W17" s="83" t="str">
        <f>IF($V17="","",VLOOKUP($V17,RESUMO!$C:$D,2,FALSE))</f>
        <v>Preparo e melhoramento do subleito</v>
      </c>
      <c r="Y17" s="85" t="str">
        <f>HYPERLINK("#"&amp;"'"&amp;V17&amp;"'"&amp;"!A1","LINK")</f>
        <v>LINK</v>
      </c>
    </row>
    <row r="18" spans="2:25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">
        <f>2405.241-J17</f>
        <v>231.99009999999998</v>
      </c>
      <c r="K18" s="11"/>
      <c r="L18" s="11"/>
      <c r="M18" s="11">
        <v>7.4999999999999997E-2</v>
      </c>
      <c r="N18" s="11">
        <v>2.4279999999999999</v>
      </c>
      <c r="O18" s="11">
        <f>J18*M18*N18</f>
        <v>42.245397209999993</v>
      </c>
      <c r="P18" s="11">
        <f>IF(B18="","",IF(OR(P17="",T18=""),P17,SUM(O18,P17)))</f>
        <v>480.23539720999997</v>
      </c>
      <c r="Q18" s="612" t="s">
        <v>349</v>
      </c>
      <c r="R18" s="612"/>
      <c r="S18" s="612"/>
      <c r="T18" s="29">
        <v>1</v>
      </c>
      <c r="V18" s="84" t="s">
        <v>117</v>
      </c>
      <c r="W18" s="83" t="str">
        <f>IF($V18="","",VLOOKUP($V18,RESUMO!$C:$D,2,FALSE))</f>
        <v>Rachão ou pedra de mão</v>
      </c>
      <c r="Y18" s="85" t="str">
        <f t="shared" ref="Y18:Y22" si="1">HYPERLINK("#"&amp;"'"&amp;V18&amp;"'"&amp;"!A1","LINK")</f>
        <v>LINK</v>
      </c>
    </row>
    <row r="19" spans="2:25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11"/>
      <c r="O19" s="11" t="str">
        <f t="shared" ref="O19:O41" si="2">IF(K19="","",K19*L19*M19*N19)</f>
        <v/>
      </c>
      <c r="P19" s="11" t="str">
        <f t="shared" ref="P19:P40" si="3">IF(B19="","",IF(OR(P18="",T19=""),P18,SUM(O19,P18)))</f>
        <v/>
      </c>
      <c r="Q19" s="612"/>
      <c r="R19" s="612"/>
      <c r="S19" s="612"/>
      <c r="T19" s="29"/>
      <c r="V19" s="84" t="s">
        <v>119</v>
      </c>
      <c r="W19" s="83" t="str">
        <f>IF($V19="","",VLOOKUP($V19,RESUMO!$C:$D,2,FALSE))</f>
        <v>Sub-base ou base de brita graduada simples (BGS)</v>
      </c>
      <c r="Y19" s="85" t="str">
        <f t="shared" si="1"/>
        <v>LINK</v>
      </c>
    </row>
    <row r="20" spans="2:25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/>
      <c r="O20" s="11" t="str">
        <f t="shared" si="2"/>
        <v/>
      </c>
      <c r="P20" s="11" t="str">
        <f t="shared" si="3"/>
        <v/>
      </c>
      <c r="Q20" s="612"/>
      <c r="R20" s="612"/>
      <c r="S20" s="612"/>
      <c r="T20" s="29"/>
      <c r="V20" s="84" t="s">
        <v>121</v>
      </c>
      <c r="W20" s="83" t="str">
        <f>IF($V20="","",VLOOKUP($V20,RESUMO!$C:$D,2,FALSE))</f>
        <v>Imprimadura betuminosa impermeabilizante</v>
      </c>
      <c r="Y20" s="85" t="str">
        <f t="shared" si="1"/>
        <v>LINK</v>
      </c>
    </row>
    <row r="21" spans="2:25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/>
      <c r="O21" s="11" t="str">
        <f t="shared" si="2"/>
        <v/>
      </c>
      <c r="P21" s="11" t="str">
        <f t="shared" si="3"/>
        <v/>
      </c>
      <c r="Q21" s="612"/>
      <c r="R21" s="612"/>
      <c r="S21" s="612"/>
      <c r="T21" s="29"/>
      <c r="V21" s="84" t="s">
        <v>123</v>
      </c>
      <c r="W21" s="83" t="str">
        <f>IF($V21="","",VLOOKUP($V21,RESUMO!$C:$D,2,FALSE))</f>
        <v>Imprimadura betuminosa ligante</v>
      </c>
      <c r="Y21" s="85" t="str">
        <f t="shared" si="1"/>
        <v>LINK</v>
      </c>
    </row>
    <row r="22" spans="2:25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/>
      <c r="O22" s="11" t="str">
        <f t="shared" si="2"/>
        <v/>
      </c>
      <c r="P22" s="11" t="str">
        <f t="shared" si="3"/>
        <v/>
      </c>
      <c r="Q22" s="612"/>
      <c r="R22" s="612"/>
      <c r="S22" s="612"/>
      <c r="T22" s="29"/>
      <c r="V22" s="84" t="s">
        <v>125</v>
      </c>
      <c r="W22" s="83" t="str">
        <f>IF($V22="","",VLOOKUP($V22,RESUMO!$C:$D,2,FALSE))</f>
        <v>CBUQ  Faixa C/D c/ DOP ou polímero similar</v>
      </c>
      <c r="Y22" s="85" t="str">
        <f t="shared" si="1"/>
        <v>LINK</v>
      </c>
    </row>
    <row r="23" spans="2:25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/>
      <c r="N23" s="11"/>
      <c r="O23" s="11" t="str">
        <f t="shared" si="2"/>
        <v/>
      </c>
      <c r="P23" s="11" t="str">
        <f t="shared" si="3"/>
        <v/>
      </c>
      <c r="Q23" s="612"/>
      <c r="R23" s="612"/>
      <c r="S23" s="612"/>
      <c r="T23" s="29"/>
    </row>
    <row r="24" spans="2:25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/>
      <c r="N24" s="11"/>
      <c r="O24" s="11" t="str">
        <f t="shared" si="2"/>
        <v/>
      </c>
      <c r="P24" s="11" t="str">
        <f t="shared" si="3"/>
        <v/>
      </c>
      <c r="Q24" s="612"/>
      <c r="R24" s="612"/>
      <c r="S24" s="612"/>
      <c r="T24" s="29"/>
    </row>
    <row r="25" spans="2:25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/>
      <c r="N25" s="11"/>
      <c r="O25" s="11" t="str">
        <f t="shared" si="2"/>
        <v/>
      </c>
      <c r="P25" s="11" t="str">
        <f t="shared" si="3"/>
        <v/>
      </c>
      <c r="Q25" s="612"/>
      <c r="R25" s="612"/>
      <c r="S25" s="612"/>
      <c r="T25" s="29"/>
    </row>
    <row r="26" spans="2:25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/>
      <c r="N26" s="11"/>
      <c r="O26" s="11" t="str">
        <f t="shared" si="2"/>
        <v/>
      </c>
      <c r="P26" s="11" t="str">
        <f t="shared" si="3"/>
        <v/>
      </c>
      <c r="Q26" s="612"/>
      <c r="R26" s="612"/>
      <c r="S26" s="612"/>
      <c r="T26" s="29"/>
    </row>
    <row r="27" spans="2:25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/>
      <c r="N27" s="11"/>
      <c r="O27" s="11" t="str">
        <f t="shared" si="2"/>
        <v/>
      </c>
      <c r="P27" s="11" t="str">
        <f t="shared" si="3"/>
        <v/>
      </c>
      <c r="Q27" s="612"/>
      <c r="R27" s="612"/>
      <c r="S27" s="612"/>
      <c r="T27" s="29"/>
    </row>
    <row r="28" spans="2:25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/>
      <c r="N28" s="11"/>
      <c r="O28" s="11" t="str">
        <f t="shared" si="2"/>
        <v/>
      </c>
      <c r="P28" s="11" t="str">
        <f t="shared" si="3"/>
        <v/>
      </c>
      <c r="Q28" s="612"/>
      <c r="R28" s="612"/>
      <c r="S28" s="612"/>
      <c r="T28" s="29"/>
    </row>
    <row r="29" spans="2:25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/>
      <c r="N29" s="11"/>
      <c r="O29" s="11" t="str">
        <f t="shared" si="2"/>
        <v/>
      </c>
      <c r="P29" s="11" t="str">
        <f t="shared" si="3"/>
        <v/>
      </c>
      <c r="Q29" s="612"/>
      <c r="R29" s="612"/>
      <c r="S29" s="612"/>
      <c r="T29" s="29"/>
    </row>
    <row r="30" spans="2:25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/>
      <c r="N30" s="11"/>
      <c r="O30" s="11" t="str">
        <f t="shared" ref="O30:O31" si="4">IF(K30="","",K30*L30*M30*N30)</f>
        <v/>
      </c>
      <c r="P30" s="11" t="str">
        <f t="shared" si="3"/>
        <v/>
      </c>
      <c r="Q30" s="612"/>
      <c r="R30" s="612"/>
      <c r="S30" s="612"/>
      <c r="T30" s="29"/>
    </row>
    <row r="31" spans="2:25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/>
      <c r="N31" s="11"/>
      <c r="O31" s="11" t="str">
        <f t="shared" si="4"/>
        <v/>
      </c>
      <c r="P31" s="11" t="str">
        <f t="shared" si="3"/>
        <v/>
      </c>
      <c r="Q31" s="612"/>
      <c r="R31" s="612"/>
      <c r="S31" s="612"/>
      <c r="T31" s="29"/>
    </row>
    <row r="32" spans="2:25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/>
      <c r="N32" s="11"/>
      <c r="O32" s="11" t="str">
        <f t="shared" si="2"/>
        <v/>
      </c>
      <c r="P32" s="11" t="str">
        <f t="shared" si="3"/>
        <v/>
      </c>
      <c r="Q32" s="612"/>
      <c r="R32" s="612"/>
      <c r="S32" s="612"/>
      <c r="T32" s="29"/>
    </row>
    <row r="33" spans="2:20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/>
      <c r="N33" s="11"/>
      <c r="O33" s="11" t="str">
        <f t="shared" si="2"/>
        <v/>
      </c>
      <c r="P33" s="11" t="str">
        <f t="shared" si="3"/>
        <v/>
      </c>
      <c r="Q33" s="612"/>
      <c r="R33" s="612"/>
      <c r="S33" s="612"/>
      <c r="T33" s="29"/>
    </row>
    <row r="34" spans="2:20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/>
      <c r="N34" s="11"/>
      <c r="O34" s="11" t="str">
        <f t="shared" si="2"/>
        <v/>
      </c>
      <c r="P34" s="11" t="str">
        <f t="shared" si="3"/>
        <v/>
      </c>
      <c r="Q34" s="612"/>
      <c r="R34" s="612"/>
      <c r="S34" s="612"/>
      <c r="T34" s="29"/>
    </row>
    <row r="35" spans="2:20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/>
      <c r="N35" s="11"/>
      <c r="O35" s="11" t="str">
        <f t="shared" si="2"/>
        <v/>
      </c>
      <c r="P35" s="11" t="str">
        <f t="shared" si="3"/>
        <v/>
      </c>
      <c r="Q35" s="612"/>
      <c r="R35" s="612"/>
      <c r="S35" s="612"/>
      <c r="T35" s="29"/>
    </row>
    <row r="36" spans="2:20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/>
      <c r="N36" s="11"/>
      <c r="O36" s="11" t="str">
        <f t="shared" si="2"/>
        <v/>
      </c>
      <c r="P36" s="11" t="str">
        <f t="shared" si="3"/>
        <v/>
      </c>
      <c r="Q36" s="612"/>
      <c r="R36" s="612"/>
      <c r="S36" s="612"/>
      <c r="T36" s="29"/>
    </row>
    <row r="37" spans="2:20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/>
      <c r="N37" s="11"/>
      <c r="O37" s="11" t="str">
        <f t="shared" ref="O37" si="5">IF(K37="","",K37*L37*M37*N37)</f>
        <v/>
      </c>
      <c r="P37" s="11" t="str">
        <f t="shared" si="3"/>
        <v/>
      </c>
      <c r="Q37" s="612"/>
      <c r="R37" s="612"/>
      <c r="S37" s="612"/>
      <c r="T37" s="29"/>
    </row>
    <row r="38" spans="2:20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/>
      <c r="N38" s="11"/>
      <c r="O38" s="11" t="str">
        <f t="shared" si="2"/>
        <v/>
      </c>
      <c r="P38" s="11" t="str">
        <f t="shared" si="3"/>
        <v/>
      </c>
      <c r="Q38" s="612"/>
      <c r="R38" s="612"/>
      <c r="S38" s="612"/>
      <c r="T38" s="29"/>
    </row>
    <row r="39" spans="2:20" ht="19.899999999999999" customHeight="1" x14ac:dyDescent="0.25">
      <c r="B39" s="25"/>
      <c r="C39" s="26"/>
      <c r="D39" s="27"/>
      <c r="E39" s="28"/>
      <c r="F39" s="27"/>
      <c r="G39" s="28"/>
      <c r="H39" s="26"/>
      <c r="I39" s="11"/>
      <c r="J39" s="11"/>
      <c r="K39" s="11"/>
      <c r="L39" s="11"/>
      <c r="M39" s="11"/>
      <c r="N39" s="11"/>
      <c r="O39" s="11" t="str">
        <f t="shared" si="2"/>
        <v/>
      </c>
      <c r="P39" s="11" t="str">
        <f t="shared" si="3"/>
        <v/>
      </c>
      <c r="Q39" s="612"/>
      <c r="R39" s="612"/>
      <c r="S39" s="612"/>
      <c r="T39" s="29"/>
    </row>
    <row r="40" spans="2:20" ht="19.899999999999999" customHeight="1" x14ac:dyDescent="0.25">
      <c r="B40" s="25"/>
      <c r="C40" s="26"/>
      <c r="D40" s="27"/>
      <c r="E40" s="28"/>
      <c r="F40" s="27"/>
      <c r="G40" s="28"/>
      <c r="H40" s="26"/>
      <c r="I40" s="11"/>
      <c r="J40" s="11"/>
      <c r="K40" s="11"/>
      <c r="L40" s="11"/>
      <c r="M40" s="11"/>
      <c r="N40" s="11"/>
      <c r="O40" s="11" t="str">
        <f t="shared" si="2"/>
        <v/>
      </c>
      <c r="P40" s="11" t="str">
        <f t="shared" si="3"/>
        <v/>
      </c>
      <c r="Q40" s="612"/>
      <c r="R40" s="612"/>
      <c r="S40" s="612"/>
      <c r="T40" s="29"/>
    </row>
    <row r="41" spans="2:20" ht="19.899999999999999" customHeight="1" thickBot="1" x14ac:dyDescent="0.3">
      <c r="B41" s="30"/>
      <c r="C41" s="31"/>
      <c r="D41" s="32"/>
      <c r="E41" s="33"/>
      <c r="F41" s="32"/>
      <c r="G41" s="33"/>
      <c r="H41" s="31"/>
      <c r="I41" s="12"/>
      <c r="J41" s="12"/>
      <c r="K41" s="12"/>
      <c r="L41" s="12"/>
      <c r="M41" s="12"/>
      <c r="N41" s="12"/>
      <c r="O41" s="12" t="str">
        <f t="shared" si="2"/>
        <v/>
      </c>
      <c r="P41" s="12" t="str">
        <f t="shared" ref="P41" si="6">IF(B41="","",IF(OR(P40="",T41=""),P40,SUM(O41,P40)))</f>
        <v/>
      </c>
      <c r="Q41" s="634"/>
      <c r="R41" s="634"/>
      <c r="S41" s="634"/>
      <c r="T41" s="34"/>
    </row>
    <row r="42" spans="2:20" ht="19.899999999999999" customHeight="1" thickTop="1" x14ac:dyDescent="0.25"/>
  </sheetData>
  <mergeCells count="76">
    <mergeCell ref="Q39:S39"/>
    <mergeCell ref="Q40:S40"/>
    <mergeCell ref="Q41:S41"/>
    <mergeCell ref="N15:N16"/>
    <mergeCell ref="Q37:S37"/>
    <mergeCell ref="Q30:S30"/>
    <mergeCell ref="Q31:S31"/>
    <mergeCell ref="Q32:S32"/>
    <mergeCell ref="Q33:S33"/>
    <mergeCell ref="Q34:S34"/>
    <mergeCell ref="Q35:S35"/>
    <mergeCell ref="Q36:S36"/>
    <mergeCell ref="Q38:S38"/>
    <mergeCell ref="Q24:S24"/>
    <mergeCell ref="Q28:S28"/>
    <mergeCell ref="Q29:S29"/>
    <mergeCell ref="V15:W15"/>
    <mergeCell ref="Q27:S27"/>
    <mergeCell ref="Q17:S17"/>
    <mergeCell ref="J8:T8"/>
    <mergeCell ref="J9:T9"/>
    <mergeCell ref="Q18:S18"/>
    <mergeCell ref="Q19:S19"/>
    <mergeCell ref="Q20:S20"/>
    <mergeCell ref="Q21:S21"/>
    <mergeCell ref="Q22:S22"/>
    <mergeCell ref="Q23:S23"/>
    <mergeCell ref="Q25:S25"/>
    <mergeCell ref="Q26:S26"/>
    <mergeCell ref="B15:B16"/>
    <mergeCell ref="C15:C16"/>
    <mergeCell ref="D15:E15"/>
    <mergeCell ref="F15:G15"/>
    <mergeCell ref="H15:H16"/>
    <mergeCell ref="I15:I16"/>
    <mergeCell ref="O15:O16"/>
    <mergeCell ref="P15:P16"/>
    <mergeCell ref="Q15:S16"/>
    <mergeCell ref="C13:F13"/>
    <mergeCell ref="H13:Q13"/>
    <mergeCell ref="S13:T13"/>
    <mergeCell ref="T15:T16"/>
    <mergeCell ref="B8:D8"/>
    <mergeCell ref="E8:F8"/>
    <mergeCell ref="G8:H8"/>
    <mergeCell ref="B9:D9"/>
    <mergeCell ref="E9:F9"/>
    <mergeCell ref="G9:H9"/>
    <mergeCell ref="B11:F11"/>
    <mergeCell ref="G11:T11"/>
    <mergeCell ref="C12:F12"/>
    <mergeCell ref="H12:Q12"/>
    <mergeCell ref="S12:T12"/>
    <mergeCell ref="J6:T6"/>
    <mergeCell ref="J7:T7"/>
    <mergeCell ref="B4:D4"/>
    <mergeCell ref="E4:F4"/>
    <mergeCell ref="G4:H4"/>
    <mergeCell ref="B5:D5"/>
    <mergeCell ref="E5:F5"/>
    <mergeCell ref="G5:H5"/>
    <mergeCell ref="J4:T4"/>
    <mergeCell ref="J5:T5"/>
    <mergeCell ref="B6:D6"/>
    <mergeCell ref="E6:F6"/>
    <mergeCell ref="G6:H6"/>
    <mergeCell ref="B7:D7"/>
    <mergeCell ref="E7:F7"/>
    <mergeCell ref="G7:H7"/>
    <mergeCell ref="B2:D3"/>
    <mergeCell ref="E2:H2"/>
    <mergeCell ref="V2:W2"/>
    <mergeCell ref="E3:F3"/>
    <mergeCell ref="G3:H3"/>
    <mergeCell ref="J2:T2"/>
    <mergeCell ref="J3:T3"/>
  </mergeCells>
  <conditionalFormatting sqref="B17:Q41">
    <cfRule type="containsBlanks" dxfId="70" priority="1">
      <formula>LEN(TRIM(B17))=0</formula>
    </cfRule>
  </conditionalFormatting>
  <conditionalFormatting sqref="T17:T41">
    <cfRule type="containsBlanks" dxfId="69" priority="5">
      <formula>LEN(TRIM(T17))=0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66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26B4-96A7-4C71-8B9B-11D08AC1FC38}">
  <sheetPr>
    <pageSetUpPr fitToPage="1"/>
  </sheetPr>
  <dimension ref="B1:W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98" t="s">
        <v>351</v>
      </c>
      <c r="L2" s="87" t="s">
        <v>293</v>
      </c>
      <c r="M2" s="88"/>
      <c r="N2" s="88"/>
      <c r="O2" s="88"/>
      <c r="P2" s="88"/>
      <c r="Q2" s="88"/>
      <c r="R2" s="89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99" t="s">
        <v>352</v>
      </c>
      <c r="L3" s="90"/>
      <c r="M3" s="91"/>
      <c r="N3" s="91"/>
      <c r="O3" s="91"/>
      <c r="P3" s="91"/>
      <c r="Q3" s="91"/>
      <c r="R3" s="92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3.28</v>
      </c>
      <c r="F4" s="653"/>
      <c r="G4" s="640">
        <f t="shared" ref="G4:G9" si="0">E4*$Q$13</f>
        <v>10023.209999999999</v>
      </c>
      <c r="H4" s="641"/>
      <c r="J4" s="96">
        <v>1.3</v>
      </c>
      <c r="L4" s="90"/>
      <c r="M4" s="91"/>
      <c r="N4" s="91"/>
      <c r="O4" s="91"/>
      <c r="P4" s="91"/>
      <c r="Q4" s="91"/>
      <c r="R4" s="92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3.7632973599999997</v>
      </c>
      <c r="F5" s="654"/>
      <c r="G5" s="642">
        <f t="shared" si="0"/>
        <v>11500.097479184633</v>
      </c>
      <c r="H5" s="643"/>
      <c r="J5" s="99" t="s">
        <v>353</v>
      </c>
      <c r="L5" s="90"/>
      <c r="M5" s="91"/>
      <c r="N5" s="91"/>
      <c r="O5" s="91"/>
      <c r="P5" s="91"/>
      <c r="Q5" s="91"/>
      <c r="R5" s="92"/>
      <c r="T5" s="36"/>
      <c r="U5" s="36"/>
    </row>
    <row r="6" spans="2:21" ht="15" customHeight="1" thickBot="1" x14ac:dyDescent="0.3">
      <c r="B6" s="649" t="s">
        <v>298</v>
      </c>
      <c r="C6" s="650"/>
      <c r="D6" s="650"/>
      <c r="E6" s="654">
        <f>E5-E9</f>
        <v>3.7632973599999997</v>
      </c>
      <c r="F6" s="654"/>
      <c r="G6" s="642">
        <f t="shared" si="0"/>
        <v>11500.097479184633</v>
      </c>
      <c r="H6" s="643"/>
      <c r="J6" s="97">
        <f>1.05/1000</f>
        <v>1.0500000000000002E-3</v>
      </c>
      <c r="L6" s="90"/>
      <c r="M6" s="91"/>
      <c r="N6" s="91"/>
      <c r="O6" s="91"/>
      <c r="P6" s="91"/>
      <c r="Q6" s="91"/>
      <c r="R6" s="92"/>
    </row>
    <row r="7" spans="2:21" ht="15" customHeight="1" thickTop="1" x14ac:dyDescent="0.25">
      <c r="B7" s="649" t="s">
        <v>299</v>
      </c>
      <c r="C7" s="650"/>
      <c r="D7" s="650"/>
      <c r="E7" s="644">
        <f>E4-E5</f>
        <v>-0.4832973599999999</v>
      </c>
      <c r="F7" s="645"/>
      <c r="G7" s="642">
        <f t="shared" si="0"/>
        <v>-1476.8874791846338</v>
      </c>
      <c r="H7" s="643"/>
      <c r="L7" s="90"/>
      <c r="M7" s="91"/>
      <c r="N7" s="91"/>
      <c r="O7" s="91"/>
      <c r="P7" s="91"/>
      <c r="Q7" s="91"/>
      <c r="R7" s="92"/>
    </row>
    <row r="8" spans="2:21" ht="15" customHeight="1" x14ac:dyDescent="0.25">
      <c r="B8" s="655" t="s">
        <v>300</v>
      </c>
      <c r="C8" s="656"/>
      <c r="D8" s="656"/>
      <c r="E8" s="657">
        <f>SUM(M:M)-E5</f>
        <v>0</v>
      </c>
      <c r="F8" s="657"/>
      <c r="G8" s="658">
        <f t="shared" si="0"/>
        <v>0</v>
      </c>
      <c r="H8" s="659"/>
      <c r="L8" s="90"/>
      <c r="M8" s="91"/>
      <c r="N8" s="91"/>
      <c r="O8" s="91"/>
      <c r="P8" s="91"/>
      <c r="Q8" s="91"/>
      <c r="R8" s="92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0</v>
      </c>
      <c r="F9" s="646"/>
      <c r="G9" s="660">
        <f t="shared" si="0"/>
        <v>0</v>
      </c>
      <c r="H9" s="661"/>
      <c r="L9" s="93"/>
      <c r="M9" s="94"/>
      <c r="N9" s="94"/>
      <c r="O9" s="94"/>
      <c r="P9" s="94"/>
      <c r="Q9" s="94"/>
      <c r="R9" s="95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RESUMO!C50</f>
        <v>C.3</v>
      </c>
      <c r="C13" s="623" t="str">
        <f>IF($B$13="","",VLOOKUP($B$13,RESUMO!$C:$F,2,FALSE))</f>
        <v>Material Betuminoso e Transportes</v>
      </c>
      <c r="D13" s="623"/>
      <c r="E13" s="623"/>
      <c r="F13" s="662"/>
      <c r="G13" s="16" t="str">
        <f>RESUMO!C51</f>
        <v>C.3.1</v>
      </c>
      <c r="H13" s="623" t="str">
        <f>IF($G$13="","",VLOOKUP($G$13,RESUMO!$C:$F,2,FALSE))</f>
        <v>Fornecimento de emulsão asfáltica Imprimer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T</v>
      </c>
      <c r="Q13" s="621">
        <f>IF($G$13="","",VLOOKUP($G$13,RESUMO!$C:$F,4,FALSE))</f>
        <v>3055.856707317073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354</v>
      </c>
      <c r="K15" s="9" t="s">
        <v>352</v>
      </c>
      <c r="L15" s="9" t="s">
        <v>353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333</v>
      </c>
      <c r="K16" s="10" t="s">
        <v>355</v>
      </c>
      <c r="L16" s="10" t="s">
        <v>356</v>
      </c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23">
        <v>2051.1770000000001</v>
      </c>
      <c r="K17" s="23">
        <v>1.3</v>
      </c>
      <c r="L17" s="23">
        <v>1.0500000000000002E-3</v>
      </c>
      <c r="M17" s="23">
        <f>E4</f>
        <v>3.28</v>
      </c>
      <c r="N17" s="23">
        <f>IF(OR(B17="",M17=""),"",IF(AND(N16="",R17=""),N16,SUM(M17,N16)))</f>
        <v>3.28</v>
      </c>
      <c r="O17" s="612" t="s">
        <v>348</v>
      </c>
      <c r="P17" s="612"/>
      <c r="Q17" s="612"/>
      <c r="R17" s="24">
        <v>1</v>
      </c>
      <c r="T17" s="84" t="s">
        <v>121</v>
      </c>
      <c r="U17" s="83" t="str">
        <f>IF($T17="","",VLOOKUP($T17,RESUMO!$C:$D,2,FALSE))</f>
        <v>Imprimadura betuminosa impermeabilizante</v>
      </c>
      <c r="W17" s="85" t="str">
        <f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">
        <v>354.06399999999985</v>
      </c>
      <c r="K18" s="11">
        <v>1.3</v>
      </c>
      <c r="L18" s="11">
        <v>1.0500000000000002E-3</v>
      </c>
      <c r="M18" s="11">
        <f t="shared" ref="M18:M39" si="1">IF(J18="","",J18*K18*L18)</f>
        <v>0.48329735999999984</v>
      </c>
      <c r="N18" s="11">
        <f t="shared" ref="N18:N30" si="2">IF(B18="","",IF(OR(N17="",R18=""),N17,SUM(M18,N17)))</f>
        <v>3.7632973599999997</v>
      </c>
      <c r="O18" s="612" t="s">
        <v>349</v>
      </c>
      <c r="P18" s="612"/>
      <c r="Q18" s="612"/>
      <c r="R18" s="29">
        <v>1</v>
      </c>
      <c r="T18" s="84" t="s">
        <v>130</v>
      </c>
      <c r="U18" s="83" t="str">
        <f>IF($T18="","",VLOOKUP($T18,RESUMO!$C:$D,2,FALSE))</f>
        <v>Fornecimento de emulsão asfáltica Imprimer</v>
      </c>
      <c r="W18" s="85" t="str">
        <f t="shared" ref="W18" si="3">HYPERLINK("#"&amp;"'"&amp;T18&amp;"'"&amp;"!A1","LINK")</f>
        <v>LINK</v>
      </c>
    </row>
    <row r="19" spans="2:23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 t="str">
        <f t="shared" si="1"/>
        <v/>
      </c>
      <c r="N19" s="11" t="str">
        <f t="shared" si="2"/>
        <v/>
      </c>
      <c r="O19" s="612"/>
      <c r="P19" s="612"/>
      <c r="Q19" s="612"/>
      <c r="R19" s="29"/>
      <c r="T19" s="84" t="s">
        <v>132</v>
      </c>
      <c r="U19" s="83" t="str">
        <f>IF($T19="","",VLOOKUP($T19,RESUMO!$C:$D,2,FALSE))</f>
        <v>Fornecimento de emulsão asfáltica tipo RR-1C</v>
      </c>
      <c r="W19" s="85" t="str">
        <f t="shared" ref="W19:W23" si="4">HYPERLINK("#"&amp;"'"&amp;T19&amp;"'"&amp;"!A1","LINK")</f>
        <v>LINK</v>
      </c>
    </row>
    <row r="20" spans="2:23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 t="str">
        <f t="shared" si="1"/>
        <v/>
      </c>
      <c r="N20" s="11" t="str">
        <f t="shared" si="2"/>
        <v/>
      </c>
      <c r="O20" s="612"/>
      <c r="P20" s="612"/>
      <c r="Q20" s="612"/>
      <c r="R20" s="29"/>
      <c r="T20" s="84" t="s">
        <v>134</v>
      </c>
      <c r="U20" s="83" t="str">
        <f>IF($T20="","",VLOOKUP($T20,RESUMO!$C:$D,2,FALSE))</f>
        <v>Fornecimento de CAP modificado com adição de polímero</v>
      </c>
      <c r="W20" s="85" t="str">
        <f t="shared" si="4"/>
        <v>LINK</v>
      </c>
    </row>
    <row r="21" spans="2:23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 t="str">
        <f t="shared" si="1"/>
        <v/>
      </c>
      <c r="N21" s="11" t="str">
        <f t="shared" si="2"/>
        <v/>
      </c>
      <c r="O21" s="612"/>
      <c r="P21" s="612"/>
      <c r="Q21" s="612"/>
      <c r="R21" s="29"/>
      <c r="T21" s="84" t="s">
        <v>136</v>
      </c>
      <c r="U21" s="83" t="str">
        <f>IF($T21="","",VLOOKUP($T21,RESUMO!$C:$D,2,FALSE))</f>
        <v>Transporte com caminhão basculante de 14 m³ - rodovia pavimentada  - Agregados</v>
      </c>
      <c r="W21" s="85" t="str">
        <f t="shared" si="4"/>
        <v>LINK</v>
      </c>
    </row>
    <row r="22" spans="2:23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 t="str">
        <f t="shared" si="1"/>
        <v/>
      </c>
      <c r="N22" s="11" t="str">
        <f t="shared" si="2"/>
        <v/>
      </c>
      <c r="O22" s="612"/>
      <c r="P22" s="612"/>
      <c r="Q22" s="612"/>
      <c r="R22" s="29"/>
      <c r="T22" s="84" t="s">
        <v>138</v>
      </c>
      <c r="U22" s="83" t="str">
        <f>IF($T22="","",VLOOKUP($T22,RESUMO!$C:$D,2,FALSE))</f>
        <v>Transporte com caminhão basculante de 14 m³ - rodovia pavimentada  - Massa Asfaltica</v>
      </c>
      <c r="W22" s="85" t="str">
        <f t="shared" si="4"/>
        <v>LINK</v>
      </c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 t="shared" si="1"/>
        <v/>
      </c>
      <c r="N23" s="11" t="str">
        <f t="shared" si="2"/>
        <v/>
      </c>
      <c r="O23" s="612"/>
      <c r="P23" s="612"/>
      <c r="Q23" s="612"/>
      <c r="R23" s="29"/>
      <c r="T23" s="84" t="s">
        <v>140</v>
      </c>
      <c r="U23" s="83" t="str">
        <f>IF($T23="","",VLOOKUP($T23,RESUMO!$C:$D,2,FALSE))</f>
        <v>Transporte com caminhão basculante de 14 m³ - rodovia pavimentada  - Materiais Betuminosos</v>
      </c>
      <c r="W23" s="85" t="str">
        <f t="shared" si="4"/>
        <v>LINK</v>
      </c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 t="shared" si="1"/>
        <v/>
      </c>
      <c r="N24" s="11" t="str">
        <f t="shared" si="2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 t="shared" si="1"/>
        <v/>
      </c>
      <c r="N25" s="11" t="str">
        <f t="shared" si="2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 t="shared" si="1"/>
        <v/>
      </c>
      <c r="N26" s="11" t="str">
        <f t="shared" si="2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 t="shared" si="1"/>
        <v/>
      </c>
      <c r="N27" s="11" t="str">
        <f t="shared" si="2"/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 t="shared" si="1"/>
        <v/>
      </c>
      <c r="N28" s="11" t="str">
        <f t="shared" si="2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 t="shared" si="1"/>
        <v/>
      </c>
      <c r="N29" s="11" t="str">
        <f t="shared" si="2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 t="shared" si="1"/>
        <v/>
      </c>
      <c r="N30" s="11" t="str">
        <f t="shared" si="2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 t="shared" si="1"/>
        <v/>
      </c>
      <c r="N31" s="11" t="str">
        <f t="shared" ref="N31:N39" si="5">IF(B31="","",IF(OR(N30="",R31=""),N30,SUM(M31,N30)))</f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 t="shared" si="1"/>
        <v/>
      </c>
      <c r="N32" s="11" t="str">
        <f t="shared" si="5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 t="shared" si="1"/>
        <v/>
      </c>
      <c r="N33" s="11" t="str">
        <f t="shared" si="5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 t="shared" si="1"/>
        <v/>
      </c>
      <c r="N34" s="11" t="str">
        <f t="shared" si="5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 t="shared" si="1"/>
        <v/>
      </c>
      <c r="N35" s="11" t="str">
        <f t="shared" si="5"/>
        <v/>
      </c>
      <c r="O35" s="612"/>
      <c r="P35" s="612"/>
      <c r="Q35" s="612"/>
      <c r="R35" s="29"/>
    </row>
    <row r="36" spans="2:18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 t="str">
        <f t="shared" si="1"/>
        <v/>
      </c>
      <c r="N36" s="11" t="str">
        <f t="shared" si="5"/>
        <v/>
      </c>
      <c r="O36" s="612"/>
      <c r="P36" s="612"/>
      <c r="Q36" s="612"/>
      <c r="R36" s="29"/>
    </row>
    <row r="37" spans="2:18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 t="str">
        <f t="shared" si="1"/>
        <v/>
      </c>
      <c r="N37" s="11" t="str">
        <f t="shared" si="5"/>
        <v/>
      </c>
      <c r="O37" s="612"/>
      <c r="P37" s="612"/>
      <c r="Q37" s="612"/>
      <c r="R37" s="29"/>
    </row>
    <row r="38" spans="2:18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 t="str">
        <f t="shared" si="1"/>
        <v/>
      </c>
      <c r="N38" s="11" t="str">
        <f t="shared" si="5"/>
        <v/>
      </c>
      <c r="O38" s="612"/>
      <c r="P38" s="612"/>
      <c r="Q38" s="612"/>
      <c r="R38" s="29"/>
    </row>
    <row r="39" spans="2:18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 t="str">
        <f t="shared" si="1"/>
        <v/>
      </c>
      <c r="N39" s="12" t="str">
        <f t="shared" si="5"/>
        <v/>
      </c>
      <c r="O39" s="634"/>
      <c r="P39" s="634"/>
      <c r="Q39" s="634"/>
      <c r="R39" s="34"/>
    </row>
    <row r="40" spans="2:18" ht="19.899999999999999" customHeight="1" thickTop="1" x14ac:dyDescent="0.25"/>
  </sheetData>
  <mergeCells count="65">
    <mergeCell ref="O39:Q39"/>
    <mergeCell ref="O35:Q35"/>
    <mergeCell ref="O36:Q36"/>
    <mergeCell ref="O37:Q37"/>
    <mergeCell ref="O38:Q38"/>
    <mergeCell ref="O34:Q34"/>
    <mergeCell ref="O23:Q23"/>
    <mergeCell ref="O24:Q24"/>
    <mergeCell ref="O25:Q25"/>
    <mergeCell ref="O26:Q26"/>
    <mergeCell ref="O27:Q27"/>
    <mergeCell ref="O28:Q28"/>
    <mergeCell ref="O29:Q29"/>
    <mergeCell ref="O30:Q30"/>
    <mergeCell ref="O31:Q31"/>
    <mergeCell ref="O32:Q32"/>
    <mergeCell ref="O33:Q33"/>
    <mergeCell ref="O22:Q22"/>
    <mergeCell ref="M15:M16"/>
    <mergeCell ref="N15:N16"/>
    <mergeCell ref="O15:Q16"/>
    <mergeCell ref="R15:R16"/>
    <mergeCell ref="O17:Q17"/>
    <mergeCell ref="O18:Q18"/>
    <mergeCell ref="O19:Q19"/>
    <mergeCell ref="O20:Q20"/>
    <mergeCell ref="O21:Q21"/>
    <mergeCell ref="T15:U15"/>
    <mergeCell ref="B15:B16"/>
    <mergeCell ref="C15:C16"/>
    <mergeCell ref="D15:E15"/>
    <mergeCell ref="F15:G15"/>
    <mergeCell ref="H15:H16"/>
    <mergeCell ref="I15:I16"/>
    <mergeCell ref="C13:F13"/>
    <mergeCell ref="H13:O13"/>
    <mergeCell ref="Q13:R13"/>
    <mergeCell ref="B8:D8"/>
    <mergeCell ref="E8:F8"/>
    <mergeCell ref="G8:H8"/>
    <mergeCell ref="B9:D9"/>
    <mergeCell ref="E9:F9"/>
    <mergeCell ref="G9:H9"/>
    <mergeCell ref="B11:F11"/>
    <mergeCell ref="G11:R11"/>
    <mergeCell ref="C12:F12"/>
    <mergeCell ref="H12:O12"/>
    <mergeCell ref="Q12:R12"/>
    <mergeCell ref="B6:D6"/>
    <mergeCell ref="E6:F6"/>
    <mergeCell ref="G6:H6"/>
    <mergeCell ref="B7:D7"/>
    <mergeCell ref="E7:F7"/>
    <mergeCell ref="G7:H7"/>
    <mergeCell ref="B4:D4"/>
    <mergeCell ref="E4:F4"/>
    <mergeCell ref="G4:H4"/>
    <mergeCell ref="B5:D5"/>
    <mergeCell ref="E5:F5"/>
    <mergeCell ref="G5:H5"/>
    <mergeCell ref="B2:D3"/>
    <mergeCell ref="E2:H2"/>
    <mergeCell ref="T2:U2"/>
    <mergeCell ref="E3:F3"/>
    <mergeCell ref="G3:H3"/>
  </mergeCells>
  <phoneticPr fontId="16" type="noConversion"/>
  <conditionalFormatting sqref="B17:O39">
    <cfRule type="containsBlanks" dxfId="68" priority="1">
      <formula>LEN(TRIM(B17))=0</formula>
    </cfRule>
  </conditionalFormatting>
  <conditionalFormatting sqref="R17:R39">
    <cfRule type="containsBlanks" dxfId="67" priority="2">
      <formula>LEN(TRIM(R17))=0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E310-F8F9-4C8D-8361-4149ACCCF5E0}">
  <sheetPr>
    <pageSetUpPr fitToPage="1"/>
  </sheetPr>
  <dimension ref="B1:W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98" t="s">
        <v>351</v>
      </c>
      <c r="L2" s="87" t="s">
        <v>293</v>
      </c>
      <c r="M2" s="88"/>
      <c r="N2" s="88"/>
      <c r="O2" s="88"/>
      <c r="P2" s="88"/>
      <c r="Q2" s="88"/>
      <c r="R2" s="89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99" t="s">
        <v>352</v>
      </c>
      <c r="L3" s="90"/>
      <c r="M3" s="91"/>
      <c r="N3" s="91"/>
      <c r="O3" s="91"/>
      <c r="P3" s="91"/>
      <c r="Q3" s="91"/>
      <c r="R3" s="92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2.34</v>
      </c>
      <c r="F4" s="653"/>
      <c r="G4" s="640">
        <f t="shared" ref="G4:G9" si="0">E4*$Q$13</f>
        <v>8100.39</v>
      </c>
      <c r="H4" s="641"/>
      <c r="J4" s="96">
        <v>0.45549299999999998</v>
      </c>
      <c r="L4" s="90"/>
      <c r="M4" s="91"/>
      <c r="N4" s="91"/>
      <c r="O4" s="91"/>
      <c r="P4" s="91"/>
      <c r="Q4" s="91"/>
      <c r="R4" s="92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2.6298570517672797</v>
      </c>
      <c r="F5" s="654"/>
      <c r="G5" s="642">
        <f t="shared" si="0"/>
        <v>9103.7896425492127</v>
      </c>
      <c r="H5" s="643"/>
      <c r="J5" s="99" t="s">
        <v>353</v>
      </c>
      <c r="L5" s="90"/>
      <c r="M5" s="91"/>
      <c r="N5" s="91"/>
      <c r="O5" s="91"/>
      <c r="P5" s="91"/>
      <c r="Q5" s="91"/>
      <c r="R5" s="92"/>
      <c r="T5" s="36"/>
      <c r="U5" s="36"/>
    </row>
    <row r="6" spans="2:21" ht="15" customHeight="1" thickBot="1" x14ac:dyDescent="0.3">
      <c r="B6" s="649" t="s">
        <v>298</v>
      </c>
      <c r="C6" s="650"/>
      <c r="D6" s="650"/>
      <c r="E6" s="654">
        <f>E5-E9</f>
        <v>2.6298570517672797</v>
      </c>
      <c r="F6" s="654"/>
      <c r="G6" s="642">
        <f t="shared" si="0"/>
        <v>9103.7896425492127</v>
      </c>
      <c r="H6" s="643"/>
      <c r="J6" s="97">
        <f>1.07/1000</f>
        <v>1.07E-3</v>
      </c>
      <c r="L6" s="90"/>
      <c r="M6" s="91"/>
      <c r="N6" s="91"/>
      <c r="O6" s="91"/>
      <c r="P6" s="91"/>
      <c r="Q6" s="91"/>
      <c r="R6" s="92"/>
    </row>
    <row r="7" spans="2:21" ht="15" customHeight="1" thickTop="1" x14ac:dyDescent="0.25">
      <c r="B7" s="649" t="s">
        <v>299</v>
      </c>
      <c r="C7" s="650"/>
      <c r="D7" s="650"/>
      <c r="E7" s="644">
        <f>E4-E5</f>
        <v>-0.28985705176727983</v>
      </c>
      <c r="F7" s="645"/>
      <c r="G7" s="642">
        <f t="shared" si="0"/>
        <v>-1003.399642549212</v>
      </c>
      <c r="H7" s="643"/>
      <c r="L7" s="90"/>
      <c r="M7" s="91"/>
      <c r="N7" s="91"/>
      <c r="O7" s="91"/>
      <c r="P7" s="91"/>
      <c r="Q7" s="91"/>
      <c r="R7" s="92"/>
    </row>
    <row r="8" spans="2:21" ht="15" customHeight="1" x14ac:dyDescent="0.25">
      <c r="B8" s="655" t="s">
        <v>300</v>
      </c>
      <c r="C8" s="656"/>
      <c r="D8" s="656"/>
      <c r="E8" s="657">
        <f>SUM(M:M)-E5</f>
        <v>0</v>
      </c>
      <c r="F8" s="657"/>
      <c r="G8" s="658">
        <f t="shared" si="0"/>
        <v>0</v>
      </c>
      <c r="H8" s="659"/>
      <c r="L8" s="90"/>
      <c r="M8" s="91"/>
      <c r="N8" s="91"/>
      <c r="O8" s="91"/>
      <c r="P8" s="91"/>
      <c r="Q8" s="91"/>
      <c r="R8" s="92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0</v>
      </c>
      <c r="F9" s="646"/>
      <c r="G9" s="660">
        <f t="shared" si="0"/>
        <v>0</v>
      </c>
      <c r="H9" s="661"/>
      <c r="L9" s="93"/>
      <c r="M9" s="94"/>
      <c r="N9" s="94"/>
      <c r="O9" s="94"/>
      <c r="P9" s="94"/>
      <c r="Q9" s="94"/>
      <c r="R9" s="95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RESUMO!C50</f>
        <v>C.3</v>
      </c>
      <c r="C13" s="623" t="str">
        <f>IF($B$13="","",VLOOKUP($B$13,RESUMO!$C:$F,2,FALSE))</f>
        <v>Material Betuminoso e Transportes</v>
      </c>
      <c r="D13" s="623"/>
      <c r="E13" s="623"/>
      <c r="F13" s="662"/>
      <c r="G13" s="16" t="str">
        <f>RESUMO!C52</f>
        <v>C.3.2</v>
      </c>
      <c r="H13" s="623" t="str">
        <f>IF($G$13="","",VLOOKUP($G$13,RESUMO!$C:$F,2,FALSE))</f>
        <v>Fornecimento de emulsão asfáltica tipo RR-1C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T</v>
      </c>
      <c r="Q13" s="621">
        <f>IF($G$13="","",VLOOKUP($G$13,RESUMO!$C:$F,4,FALSE))</f>
        <v>3461.7051282051284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357</v>
      </c>
      <c r="K15" s="9" t="s">
        <v>352</v>
      </c>
      <c r="L15" s="9" t="s">
        <v>353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333</v>
      </c>
      <c r="K16" s="10" t="s">
        <v>355</v>
      </c>
      <c r="L16" s="10" t="s">
        <v>356</v>
      </c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23">
        <v>4215.7539999999999</v>
      </c>
      <c r="K17" s="118">
        <v>0.45549299999999998</v>
      </c>
      <c r="L17" s="118">
        <v>1.07E-3</v>
      </c>
      <c r="M17" s="23">
        <f>E4</f>
        <v>2.34</v>
      </c>
      <c r="N17" s="23">
        <f>IF(OR(B17="",M17=""),"",IF(AND(N16="",R17=""),N16,SUM(M17,N16)))</f>
        <v>2.34</v>
      </c>
      <c r="O17" s="612" t="s">
        <v>348</v>
      </c>
      <c r="P17" s="612"/>
      <c r="Q17" s="612"/>
      <c r="R17" s="24">
        <v>1</v>
      </c>
      <c r="T17" s="84" t="s">
        <v>123</v>
      </c>
      <c r="U17" s="83" t="str">
        <f>IF($T17="","",VLOOKUP($T17,RESUMO!$C:$D,2,FALSE))</f>
        <v>Imprimadura betuminosa ligante</v>
      </c>
      <c r="W17" s="85" t="str">
        <f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">
        <v>594.72800000000007</v>
      </c>
      <c r="K18" s="11">
        <v>0.45549299999999998</v>
      </c>
      <c r="L18" s="11">
        <v>1.07E-3</v>
      </c>
      <c r="M18" s="11">
        <f t="shared" ref="M18:M28" si="1">IF(J18="","",J18*K18*L18)</f>
        <v>0.28985705176727999</v>
      </c>
      <c r="N18" s="11">
        <f t="shared" ref="N18:N30" si="2">IF(B18="","",IF(OR(N17="",R18=""),N17,SUM(M18,N17)))</f>
        <v>2.6298570517672797</v>
      </c>
      <c r="O18" s="612" t="s">
        <v>349</v>
      </c>
      <c r="P18" s="612"/>
      <c r="Q18" s="612"/>
      <c r="R18" s="29">
        <v>1</v>
      </c>
      <c r="T18" s="84" t="s">
        <v>130</v>
      </c>
      <c r="U18" s="83" t="str">
        <f>IF($T18="","",VLOOKUP($T18,RESUMO!$C:$D,2,FALSE))</f>
        <v>Fornecimento de emulsão asfáltica Imprimer</v>
      </c>
      <c r="W18" s="85" t="str">
        <f t="shared" ref="W18:W23" si="3">HYPERLINK("#"&amp;"'"&amp;T18&amp;"'"&amp;"!A1","LINK")</f>
        <v>LINK</v>
      </c>
    </row>
    <row r="19" spans="2:23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 t="str">
        <f t="shared" si="1"/>
        <v/>
      </c>
      <c r="N19" s="11" t="str">
        <f t="shared" si="2"/>
        <v/>
      </c>
      <c r="O19" s="612"/>
      <c r="P19" s="612"/>
      <c r="Q19" s="612"/>
      <c r="R19" s="29"/>
      <c r="T19" s="84" t="s">
        <v>132</v>
      </c>
      <c r="U19" s="83" t="str">
        <f>IF($T19="","",VLOOKUP($T19,RESUMO!$C:$D,2,FALSE))</f>
        <v>Fornecimento de emulsão asfáltica tipo RR-1C</v>
      </c>
      <c r="W19" s="85" t="str">
        <f t="shared" si="3"/>
        <v>LINK</v>
      </c>
    </row>
    <row r="20" spans="2:23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 t="str">
        <f t="shared" si="1"/>
        <v/>
      </c>
      <c r="N20" s="11" t="str">
        <f t="shared" si="2"/>
        <v/>
      </c>
      <c r="O20" s="612"/>
      <c r="P20" s="612"/>
      <c r="Q20" s="612"/>
      <c r="R20" s="29"/>
      <c r="T20" s="84" t="s">
        <v>134</v>
      </c>
      <c r="U20" s="83" t="str">
        <f>IF($T20="","",VLOOKUP($T20,RESUMO!$C:$D,2,FALSE))</f>
        <v>Fornecimento de CAP modificado com adição de polímero</v>
      </c>
      <c r="W20" s="85" t="str">
        <f t="shared" si="3"/>
        <v>LINK</v>
      </c>
    </row>
    <row r="21" spans="2:23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 t="str">
        <f t="shared" si="1"/>
        <v/>
      </c>
      <c r="N21" s="11" t="str">
        <f t="shared" si="2"/>
        <v/>
      </c>
      <c r="O21" s="612"/>
      <c r="P21" s="612"/>
      <c r="Q21" s="612"/>
      <c r="R21" s="29"/>
      <c r="T21" s="84" t="s">
        <v>136</v>
      </c>
      <c r="U21" s="83" t="str">
        <f>IF($T21="","",VLOOKUP($T21,RESUMO!$C:$D,2,FALSE))</f>
        <v>Transporte com caminhão basculante de 14 m³ - rodovia pavimentada  - Agregados</v>
      </c>
      <c r="W21" s="85" t="str">
        <f t="shared" si="3"/>
        <v>LINK</v>
      </c>
    </row>
    <row r="22" spans="2:23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 t="str">
        <f t="shared" si="1"/>
        <v/>
      </c>
      <c r="N22" s="11" t="str">
        <f t="shared" si="2"/>
        <v/>
      </c>
      <c r="O22" s="612"/>
      <c r="P22" s="612"/>
      <c r="Q22" s="612"/>
      <c r="R22" s="29"/>
      <c r="T22" s="84" t="s">
        <v>138</v>
      </c>
      <c r="U22" s="83" t="str">
        <f>IF($T22="","",VLOOKUP($T22,RESUMO!$C:$D,2,FALSE))</f>
        <v>Transporte com caminhão basculante de 14 m³ - rodovia pavimentada  - Massa Asfaltica</v>
      </c>
      <c r="W22" s="85" t="str">
        <f t="shared" si="3"/>
        <v>LINK</v>
      </c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 t="shared" si="1"/>
        <v/>
      </c>
      <c r="N23" s="11" t="str">
        <f t="shared" si="2"/>
        <v/>
      </c>
      <c r="O23" s="612"/>
      <c r="P23" s="612"/>
      <c r="Q23" s="612"/>
      <c r="R23" s="29"/>
      <c r="T23" s="84" t="s">
        <v>140</v>
      </c>
      <c r="U23" s="83" t="str">
        <f>IF($T23="","",VLOOKUP($T23,RESUMO!$C:$D,2,FALSE))</f>
        <v>Transporte com caminhão basculante de 14 m³ - rodovia pavimentada  - Materiais Betuminosos</v>
      </c>
      <c r="W23" s="85" t="str">
        <f t="shared" si="3"/>
        <v>LINK</v>
      </c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 t="shared" si="1"/>
        <v/>
      </c>
      <c r="N24" s="11" t="str">
        <f t="shared" si="2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 t="shared" si="1"/>
        <v/>
      </c>
      <c r="N25" s="11" t="str">
        <f t="shared" si="2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 t="shared" si="1"/>
        <v/>
      </c>
      <c r="N26" s="11" t="str">
        <f t="shared" si="2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 t="shared" si="1"/>
        <v/>
      </c>
      <c r="N27" s="11" t="str">
        <f t="shared" si="2"/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 t="shared" si="1"/>
        <v/>
      </c>
      <c r="N28" s="11" t="str">
        <f t="shared" si="2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 t="shared" ref="M29:M39" si="4">IF(J29="","",J29*K29*L29)</f>
        <v/>
      </c>
      <c r="N29" s="11" t="str">
        <f t="shared" si="2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 t="shared" si="4"/>
        <v/>
      </c>
      <c r="N30" s="11" t="str">
        <f t="shared" si="2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 t="shared" si="4"/>
        <v/>
      </c>
      <c r="N31" s="11" t="str">
        <f t="shared" ref="N31:N39" si="5">IF(B31="","",IF(OR(N30="",R31=""),N30,SUM(M31,N30)))</f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 t="shared" si="4"/>
        <v/>
      </c>
      <c r="N32" s="11" t="str">
        <f t="shared" si="5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 t="shared" si="4"/>
        <v/>
      </c>
      <c r="N33" s="11" t="str">
        <f t="shared" si="5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 t="shared" si="4"/>
        <v/>
      </c>
      <c r="N34" s="11" t="str">
        <f t="shared" si="5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 t="shared" si="4"/>
        <v/>
      </c>
      <c r="N35" s="11" t="str">
        <f t="shared" si="5"/>
        <v/>
      </c>
      <c r="O35" s="612"/>
      <c r="P35" s="612"/>
      <c r="Q35" s="612"/>
      <c r="R35" s="29"/>
    </row>
    <row r="36" spans="2:18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 t="str">
        <f t="shared" si="4"/>
        <v/>
      </c>
      <c r="N36" s="11" t="str">
        <f t="shared" si="5"/>
        <v/>
      </c>
      <c r="O36" s="612"/>
      <c r="P36" s="612"/>
      <c r="Q36" s="612"/>
      <c r="R36" s="29"/>
    </row>
    <row r="37" spans="2:18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 t="str">
        <f t="shared" si="4"/>
        <v/>
      </c>
      <c r="N37" s="11" t="str">
        <f t="shared" si="5"/>
        <v/>
      </c>
      <c r="O37" s="612"/>
      <c r="P37" s="612"/>
      <c r="Q37" s="612"/>
      <c r="R37" s="29"/>
    </row>
    <row r="38" spans="2:18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 t="str">
        <f t="shared" si="4"/>
        <v/>
      </c>
      <c r="N38" s="11" t="str">
        <f t="shared" si="5"/>
        <v/>
      </c>
      <c r="O38" s="612"/>
      <c r="P38" s="612"/>
      <c r="Q38" s="612"/>
      <c r="R38" s="29"/>
    </row>
    <row r="39" spans="2:18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 t="str">
        <f t="shared" si="4"/>
        <v/>
      </c>
      <c r="N39" s="12" t="str">
        <f t="shared" si="5"/>
        <v/>
      </c>
      <c r="O39" s="634"/>
      <c r="P39" s="634"/>
      <c r="Q39" s="634"/>
      <c r="R39" s="34"/>
    </row>
    <row r="40" spans="2:18" ht="19.899999999999999" customHeight="1" thickTop="1" x14ac:dyDescent="0.25"/>
  </sheetData>
  <mergeCells count="65">
    <mergeCell ref="O37:Q37"/>
    <mergeCell ref="O38:Q38"/>
    <mergeCell ref="O39:Q39"/>
    <mergeCell ref="O31:Q31"/>
    <mergeCell ref="O32:Q32"/>
    <mergeCell ref="O33:Q33"/>
    <mergeCell ref="O34:Q34"/>
    <mergeCell ref="O35:Q35"/>
    <mergeCell ref="O36:Q36"/>
    <mergeCell ref="T15:U15"/>
    <mergeCell ref="O17:Q17"/>
    <mergeCell ref="O30:Q30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18:Q18"/>
    <mergeCell ref="C13:F13"/>
    <mergeCell ref="H13:O13"/>
    <mergeCell ref="Q13:R13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R15:R16"/>
    <mergeCell ref="Q12:R12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1:F11"/>
    <mergeCell ref="G11:R11"/>
    <mergeCell ref="B6:D6"/>
    <mergeCell ref="E6:F6"/>
    <mergeCell ref="G6:H6"/>
    <mergeCell ref="C12:F12"/>
    <mergeCell ref="H12:O12"/>
    <mergeCell ref="T2:U2"/>
    <mergeCell ref="E3:F3"/>
    <mergeCell ref="G3:H3"/>
    <mergeCell ref="B5:D5"/>
    <mergeCell ref="E5:F5"/>
    <mergeCell ref="G5:H5"/>
    <mergeCell ref="B4:D4"/>
    <mergeCell ref="E4:F4"/>
    <mergeCell ref="G4:H4"/>
    <mergeCell ref="B2:D3"/>
    <mergeCell ref="E2:H2"/>
  </mergeCells>
  <conditionalFormatting sqref="B17:J17">
    <cfRule type="containsBlanks" dxfId="66" priority="3">
      <formula>LEN(TRIM(B17))=0</formula>
    </cfRule>
  </conditionalFormatting>
  <conditionalFormatting sqref="B18:N18">
    <cfRule type="containsBlanks" dxfId="65" priority="6">
      <formula>LEN(TRIM(B18))=0</formula>
    </cfRule>
  </conditionalFormatting>
  <conditionalFormatting sqref="L17:N17 B19:O39">
    <cfRule type="containsBlanks" dxfId="64" priority="7">
      <formula>LEN(TRIM(B17))=0</formula>
    </cfRule>
  </conditionalFormatting>
  <conditionalFormatting sqref="O17:O18">
    <cfRule type="containsBlanks" dxfId="63" priority="1">
      <formula>LEN(TRIM(O17))=0</formula>
    </cfRule>
  </conditionalFormatting>
  <conditionalFormatting sqref="R17:R39">
    <cfRule type="containsBlanks" dxfId="62" priority="2">
      <formula>LEN(TRIM(R17))=0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73AB-D7D0-4736-B5DB-408C6C02088E}">
  <sheetPr>
    <pageSetUpPr fitToPage="1"/>
  </sheetPr>
  <dimension ref="B1:W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77" t="s">
        <v>358</v>
      </c>
      <c r="K2" s="678"/>
      <c r="L2" s="679"/>
      <c r="N2" s="631" t="s">
        <v>293</v>
      </c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100" t="s">
        <v>359</v>
      </c>
      <c r="K3" s="101" t="s">
        <v>360</v>
      </c>
      <c r="L3" s="102" t="s">
        <v>361</v>
      </c>
      <c r="N3" s="613">
        <v>4.4012018429476196</v>
      </c>
      <c r="O3" s="614"/>
      <c r="P3" s="614"/>
      <c r="Q3" s="614"/>
      <c r="R3" s="615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22.34</v>
      </c>
      <c r="F4" s="653"/>
      <c r="G4" s="640">
        <f t="shared" ref="G4:G9" si="0">E4*$Q$13</f>
        <v>135754.06</v>
      </c>
      <c r="H4" s="641"/>
      <c r="J4" s="107" t="s">
        <v>362</v>
      </c>
      <c r="K4" s="103">
        <v>45762</v>
      </c>
      <c r="L4" s="104">
        <v>5.0999999999999997E-2</v>
      </c>
      <c r="N4" s="613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24.395266198099101</v>
      </c>
      <c r="F5" s="654"/>
      <c r="G5" s="642">
        <f t="shared" si="0"/>
        <v>148243.34964962924</v>
      </c>
      <c r="H5" s="643"/>
      <c r="J5" s="107" t="s">
        <v>363</v>
      </c>
      <c r="K5" s="103">
        <v>45826</v>
      </c>
      <c r="L5" s="104">
        <v>4.53E-2</v>
      </c>
      <c r="N5" s="613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24.395266198099101</v>
      </c>
      <c r="F6" s="654"/>
      <c r="G6" s="642">
        <f t="shared" si="0"/>
        <v>148243.34964962924</v>
      </c>
      <c r="H6" s="643"/>
      <c r="J6" s="107" t="s">
        <v>364</v>
      </c>
      <c r="K6" s="103">
        <v>45807</v>
      </c>
      <c r="L6" s="104">
        <v>4.5999999999999999E-2</v>
      </c>
      <c r="N6" s="613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-2.0552661980991012</v>
      </c>
      <c r="F7" s="645"/>
      <c r="G7" s="642">
        <f t="shared" si="0"/>
        <v>-12489.289649629241</v>
      </c>
      <c r="H7" s="643"/>
      <c r="J7" s="107" t="s">
        <v>365</v>
      </c>
      <c r="K7" s="103">
        <v>45790</v>
      </c>
      <c r="L7" s="104">
        <v>4.7800000000000002E-2</v>
      </c>
      <c r="N7" s="613"/>
      <c r="O7" s="614"/>
      <c r="P7" s="614"/>
      <c r="Q7" s="614"/>
      <c r="R7" s="615"/>
    </row>
    <row r="8" spans="2:21" ht="15" customHeight="1" thickBot="1" x14ac:dyDescent="0.3">
      <c r="B8" s="655" t="s">
        <v>300</v>
      </c>
      <c r="C8" s="656"/>
      <c r="D8" s="656"/>
      <c r="E8" s="657">
        <f>SUM(M:M)-E5</f>
        <v>0</v>
      </c>
      <c r="F8" s="657"/>
      <c r="G8" s="658">
        <f t="shared" si="0"/>
        <v>0</v>
      </c>
      <c r="H8" s="659"/>
      <c r="J8" s="108" t="s">
        <v>366</v>
      </c>
      <c r="K8" s="105">
        <v>45799</v>
      </c>
      <c r="L8" s="106">
        <v>4.4999999999999998E-2</v>
      </c>
      <c r="N8" s="613"/>
      <c r="O8" s="614"/>
      <c r="P8" s="614"/>
      <c r="Q8" s="614"/>
      <c r="R8" s="615"/>
    </row>
    <row r="9" spans="2:21" ht="15" customHeight="1" thickTop="1" thickBot="1" x14ac:dyDescent="0.3">
      <c r="B9" s="651" t="s">
        <v>301</v>
      </c>
      <c r="C9" s="652"/>
      <c r="D9" s="652"/>
      <c r="E9" s="646">
        <f>SUMIF(R:R,CAPA!$I$2,M:M)</f>
        <v>0</v>
      </c>
      <c r="F9" s="646"/>
      <c r="G9" s="660">
        <f t="shared" si="0"/>
        <v>0</v>
      </c>
      <c r="H9" s="661"/>
      <c r="N9" s="616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RESUMO!C50</f>
        <v>C.3</v>
      </c>
      <c r="C13" s="623" t="str">
        <f>IF($B$13="","",VLOOKUP($B$13,RESUMO!$C:$F,2,FALSE))</f>
        <v>Material Betuminoso e Transportes</v>
      </c>
      <c r="D13" s="623"/>
      <c r="E13" s="623"/>
      <c r="F13" s="662"/>
      <c r="G13" s="16" t="str">
        <f>RESUMO!C53</f>
        <v>C.3.3</v>
      </c>
      <c r="H13" s="623" t="str">
        <f>IF($G$13="","",VLOOKUP($G$13,RESUMO!$C:$F,2,FALSE))</f>
        <v>Fornecimento de CAP modificado com adição de polímero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T</v>
      </c>
      <c r="Q13" s="621">
        <f>IF($G$13="","",VLOOKUP($G$13,RESUMO!$C:$F,4,FALSE))</f>
        <v>6076.7260519247984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672" t="s">
        <v>327</v>
      </c>
      <c r="K15" s="9" t="s">
        <v>367</v>
      </c>
      <c r="L15" s="9" t="s">
        <v>352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73"/>
      <c r="K16" s="10" t="s">
        <v>368</v>
      </c>
      <c r="L16" s="10" t="s">
        <v>369</v>
      </c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109" t="s">
        <v>362</v>
      </c>
      <c r="K17" s="23" cm="1">
        <f t="array" ref="K17:K18">'C.2.6'!O17:O18</f>
        <v>437.99</v>
      </c>
      <c r="L17" s="23">
        <v>4.8710000000000003E-2</v>
      </c>
      <c r="M17" s="23">
        <f>IF(K17="","",K17*L17)</f>
        <v>21.334492900000001</v>
      </c>
      <c r="N17" s="23">
        <f>IF(OR(B17="",M17=""),"",IF(AND(N16="",R17=""),N16,SUM(M17,N16)))</f>
        <v>21.334492900000001</v>
      </c>
      <c r="O17" s="612" t="s">
        <v>348</v>
      </c>
      <c r="P17" s="612"/>
      <c r="Q17" s="612"/>
      <c r="R17" s="24">
        <v>1</v>
      </c>
      <c r="T17" s="84" t="s">
        <v>125</v>
      </c>
      <c r="U17" s="83" t="str">
        <f>IF($T17="","",VLOOKUP($T17,RESUMO!$C:$D,2,FALSE))</f>
        <v>CBUQ  Faixa C/D c/ DOP ou polímero similar</v>
      </c>
      <c r="W17" s="85" t="str">
        <f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0" t="s">
        <v>362</v>
      </c>
      <c r="K18" s="11">
        <v>42.245397209999993</v>
      </c>
      <c r="L18" s="11">
        <v>4.8710000000000003E-2</v>
      </c>
      <c r="M18" s="11">
        <f t="shared" ref="M18:M39" si="1">IF(K18="","",K18*L18)</f>
        <v>2.0577732980990997</v>
      </c>
      <c r="N18" s="11">
        <f t="shared" ref="N18:N39" si="2">IF(B18="","",IF(OR(N17="",R18=""),N17,SUM(M18,N17)))</f>
        <v>23.392266198099101</v>
      </c>
      <c r="O18" s="612" t="s">
        <v>349</v>
      </c>
      <c r="P18" s="612"/>
      <c r="Q18" s="612"/>
      <c r="R18" s="29">
        <v>1</v>
      </c>
      <c r="T18" s="84" t="s">
        <v>130</v>
      </c>
      <c r="U18" s="83" t="str">
        <f>IF($T18="","",VLOOKUP($T18,RESUMO!$C:$D,2,FALSE))</f>
        <v>Fornecimento de emulsão asfáltica Imprimer</v>
      </c>
      <c r="W18" s="85" t="str">
        <f t="shared" ref="W18:W23" si="3">HYPERLINK("#"&amp;"'"&amp;T18&amp;"'"&amp;"!A1","LINK")</f>
        <v>LINK</v>
      </c>
    </row>
    <row r="19" spans="2:23" ht="19.899999999999999" customHeight="1" x14ac:dyDescent="0.25">
      <c r="B19" s="25" t="s">
        <v>316</v>
      </c>
      <c r="C19" s="26" t="s">
        <v>306</v>
      </c>
      <c r="D19" s="27">
        <v>303</v>
      </c>
      <c r="E19" s="28">
        <v>450</v>
      </c>
      <c r="F19" s="27"/>
      <c r="G19" s="28"/>
      <c r="H19" s="26" t="s">
        <v>306</v>
      </c>
      <c r="I19" s="11" t="s">
        <v>341</v>
      </c>
      <c r="J19" s="110" t="s">
        <v>362</v>
      </c>
      <c r="K19" s="11"/>
      <c r="L19" s="11"/>
      <c r="M19" s="11">
        <v>1.0029999999999999</v>
      </c>
      <c r="N19" s="11">
        <f t="shared" si="2"/>
        <v>24.395266198099101</v>
      </c>
      <c r="O19" s="612" t="s">
        <v>370</v>
      </c>
      <c r="P19" s="612"/>
      <c r="Q19" s="612"/>
      <c r="R19" s="29">
        <v>1</v>
      </c>
      <c r="T19" s="84" t="s">
        <v>132</v>
      </c>
      <c r="U19" s="83" t="str">
        <f>IF($T19="","",VLOOKUP($T19,RESUMO!$C:$D,2,FALSE))</f>
        <v>Fornecimento de emulsão asfáltica tipo RR-1C</v>
      </c>
      <c r="W19" s="85" t="str">
        <f t="shared" si="3"/>
        <v>LINK</v>
      </c>
    </row>
    <row r="20" spans="2:23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0"/>
      <c r="K20" s="11"/>
      <c r="L20" s="11"/>
      <c r="M20" s="11" t="str">
        <f t="shared" si="1"/>
        <v/>
      </c>
      <c r="N20" s="11" t="str">
        <f t="shared" si="2"/>
        <v/>
      </c>
      <c r="O20" s="612"/>
      <c r="P20" s="612"/>
      <c r="Q20" s="612"/>
      <c r="R20" s="29"/>
      <c r="T20" s="84" t="s">
        <v>134</v>
      </c>
      <c r="U20" s="83" t="str">
        <f>IF($T20="","",VLOOKUP($T20,RESUMO!$C:$D,2,FALSE))</f>
        <v>Fornecimento de CAP modificado com adição de polímero</v>
      </c>
      <c r="W20" s="85" t="str">
        <f t="shared" si="3"/>
        <v>LINK</v>
      </c>
    </row>
    <row r="21" spans="2:23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0"/>
      <c r="K21" s="11"/>
      <c r="L21" s="11"/>
      <c r="M21" s="11" t="str">
        <f t="shared" si="1"/>
        <v/>
      </c>
      <c r="N21" s="11" t="str">
        <f t="shared" si="2"/>
        <v/>
      </c>
      <c r="O21" s="612"/>
      <c r="P21" s="612"/>
      <c r="Q21" s="612"/>
      <c r="R21" s="29"/>
      <c r="T21" s="84" t="s">
        <v>136</v>
      </c>
      <c r="U21" s="83" t="str">
        <f>IF($T21="","",VLOOKUP($T21,RESUMO!$C:$D,2,FALSE))</f>
        <v>Transporte com caminhão basculante de 14 m³ - rodovia pavimentada  - Agregados</v>
      </c>
      <c r="W21" s="85" t="str">
        <f t="shared" si="3"/>
        <v>LINK</v>
      </c>
    </row>
    <row r="22" spans="2:23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0"/>
      <c r="K22" s="11"/>
      <c r="L22" s="11"/>
      <c r="M22" s="11" t="str">
        <f t="shared" si="1"/>
        <v/>
      </c>
      <c r="N22" s="11" t="str">
        <f t="shared" si="2"/>
        <v/>
      </c>
      <c r="O22" s="612"/>
      <c r="P22" s="612"/>
      <c r="Q22" s="612"/>
      <c r="R22" s="29"/>
      <c r="T22" s="84" t="s">
        <v>138</v>
      </c>
      <c r="U22" s="83" t="str">
        <f>IF($T22="","",VLOOKUP($T22,RESUMO!$C:$D,2,FALSE))</f>
        <v>Transporte com caminhão basculante de 14 m³ - rodovia pavimentada  - Massa Asfaltica</v>
      </c>
      <c r="W22" s="85" t="str">
        <f t="shared" si="3"/>
        <v>LINK</v>
      </c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0"/>
      <c r="K23" s="11"/>
      <c r="L23" s="11"/>
      <c r="M23" s="11" t="str">
        <f t="shared" si="1"/>
        <v/>
      </c>
      <c r="N23" s="11" t="str">
        <f t="shared" si="2"/>
        <v/>
      </c>
      <c r="O23" s="612"/>
      <c r="P23" s="612"/>
      <c r="Q23" s="612"/>
      <c r="R23" s="29"/>
      <c r="T23" s="84" t="s">
        <v>140</v>
      </c>
      <c r="U23" s="83" t="str">
        <f>IF($T23="","",VLOOKUP($T23,RESUMO!$C:$D,2,FALSE))</f>
        <v>Transporte com caminhão basculante de 14 m³ - rodovia pavimentada  - Materiais Betuminosos</v>
      </c>
      <c r="W23" s="85" t="str">
        <f t="shared" si="3"/>
        <v>LINK</v>
      </c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0"/>
      <c r="K24" s="11"/>
      <c r="L24" s="11"/>
      <c r="M24" s="11" t="str">
        <f t="shared" si="1"/>
        <v/>
      </c>
      <c r="N24" s="11" t="str">
        <f t="shared" si="2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0"/>
      <c r="K25" s="11"/>
      <c r="L25" s="11"/>
      <c r="M25" s="11" t="str">
        <f t="shared" si="1"/>
        <v/>
      </c>
      <c r="N25" s="11" t="str">
        <f t="shared" si="2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0"/>
      <c r="K26" s="11"/>
      <c r="L26" s="11"/>
      <c r="M26" s="11" t="str">
        <f t="shared" si="1"/>
        <v/>
      </c>
      <c r="N26" s="11" t="str">
        <f t="shared" si="2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0"/>
      <c r="K27" s="11"/>
      <c r="L27" s="11"/>
      <c r="M27" s="11" t="str">
        <f t="shared" si="1"/>
        <v/>
      </c>
      <c r="N27" s="11" t="str">
        <f t="shared" si="2"/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0"/>
      <c r="K28" s="11"/>
      <c r="L28" s="11"/>
      <c r="M28" s="11" t="str">
        <f t="shared" si="1"/>
        <v/>
      </c>
      <c r="N28" s="11" t="str">
        <f t="shared" si="2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0"/>
      <c r="K29" s="11"/>
      <c r="L29" s="11"/>
      <c r="M29" s="11" t="str">
        <f t="shared" si="1"/>
        <v/>
      </c>
      <c r="N29" s="11" t="str">
        <f t="shared" si="2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0"/>
      <c r="K30" s="11"/>
      <c r="L30" s="11"/>
      <c r="M30" s="11" t="str">
        <f t="shared" si="1"/>
        <v/>
      </c>
      <c r="N30" s="11" t="str">
        <f t="shared" si="2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0"/>
      <c r="K31" s="11"/>
      <c r="L31" s="11"/>
      <c r="M31" s="11" t="str">
        <f t="shared" si="1"/>
        <v/>
      </c>
      <c r="N31" s="11" t="str">
        <f t="shared" si="2"/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0"/>
      <c r="K32" s="11"/>
      <c r="L32" s="11"/>
      <c r="M32" s="11" t="str">
        <f t="shared" si="1"/>
        <v/>
      </c>
      <c r="N32" s="11" t="str">
        <f t="shared" si="2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0"/>
      <c r="K33" s="11"/>
      <c r="L33" s="11"/>
      <c r="M33" s="11" t="str">
        <f t="shared" si="1"/>
        <v/>
      </c>
      <c r="N33" s="11" t="str">
        <f t="shared" si="2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0"/>
      <c r="K34" s="11"/>
      <c r="L34" s="11"/>
      <c r="M34" s="11" t="str">
        <f t="shared" si="1"/>
        <v/>
      </c>
      <c r="N34" s="11" t="str">
        <f t="shared" si="2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0"/>
      <c r="K35" s="11"/>
      <c r="L35" s="11"/>
      <c r="M35" s="11" t="str">
        <f t="shared" si="1"/>
        <v/>
      </c>
      <c r="N35" s="11" t="str">
        <f t="shared" si="2"/>
        <v/>
      </c>
      <c r="O35" s="612"/>
      <c r="P35" s="612"/>
      <c r="Q35" s="612"/>
      <c r="R35" s="29"/>
    </row>
    <row r="36" spans="2:18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0"/>
      <c r="K36" s="11"/>
      <c r="L36" s="11"/>
      <c r="M36" s="11" t="str">
        <f t="shared" si="1"/>
        <v/>
      </c>
      <c r="N36" s="11" t="str">
        <f t="shared" si="2"/>
        <v/>
      </c>
      <c r="O36" s="612"/>
      <c r="P36" s="612"/>
      <c r="Q36" s="612"/>
      <c r="R36" s="29"/>
    </row>
    <row r="37" spans="2:18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0"/>
      <c r="K37" s="11"/>
      <c r="L37" s="11"/>
      <c r="M37" s="11" t="str">
        <f t="shared" si="1"/>
        <v/>
      </c>
      <c r="N37" s="11" t="str">
        <f t="shared" si="2"/>
        <v/>
      </c>
      <c r="O37" s="612"/>
      <c r="P37" s="612"/>
      <c r="Q37" s="612"/>
      <c r="R37" s="29"/>
    </row>
    <row r="38" spans="2:18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0"/>
      <c r="K38" s="11"/>
      <c r="L38" s="11"/>
      <c r="M38" s="11" t="str">
        <f t="shared" si="1"/>
        <v/>
      </c>
      <c r="N38" s="11" t="str">
        <f t="shared" si="2"/>
        <v/>
      </c>
      <c r="O38" s="612"/>
      <c r="P38" s="612"/>
      <c r="Q38" s="612"/>
      <c r="R38" s="29"/>
    </row>
    <row r="39" spans="2:18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11"/>
      <c r="K39" s="12"/>
      <c r="L39" s="12"/>
      <c r="M39" s="12" t="str">
        <f t="shared" si="1"/>
        <v/>
      </c>
      <c r="N39" s="12" t="str">
        <f t="shared" si="2"/>
        <v/>
      </c>
      <c r="O39" s="634"/>
      <c r="P39" s="634"/>
      <c r="Q39" s="634"/>
      <c r="R39" s="34"/>
    </row>
    <row r="40" spans="2:18" ht="19.899999999999999" customHeight="1" thickTop="1" x14ac:dyDescent="0.25"/>
  </sheetData>
  <mergeCells count="75">
    <mergeCell ref="O37:Q37"/>
    <mergeCell ref="O38:Q38"/>
    <mergeCell ref="O27:Q27"/>
    <mergeCell ref="O28:Q28"/>
    <mergeCell ref="O29:Q29"/>
    <mergeCell ref="O30:Q30"/>
    <mergeCell ref="O36:Q36"/>
    <mergeCell ref="O25:Q25"/>
    <mergeCell ref="O26:Q26"/>
    <mergeCell ref="N8:R8"/>
    <mergeCell ref="N9:R9"/>
    <mergeCell ref="O19:Q19"/>
    <mergeCell ref="O20:Q20"/>
    <mergeCell ref="O21:Q21"/>
    <mergeCell ref="O22:Q22"/>
    <mergeCell ref="O23:Q23"/>
    <mergeCell ref="O24:Q24"/>
    <mergeCell ref="N15:N16"/>
    <mergeCell ref="Q12:R12"/>
    <mergeCell ref="T15:U15"/>
    <mergeCell ref="O17:Q17"/>
    <mergeCell ref="O18:Q18"/>
    <mergeCell ref="O39:Q39"/>
    <mergeCell ref="J2:L2"/>
    <mergeCell ref="N2:R2"/>
    <mergeCell ref="N3:R3"/>
    <mergeCell ref="N4:R4"/>
    <mergeCell ref="N5:R5"/>
    <mergeCell ref="N6:R6"/>
    <mergeCell ref="N7:R7"/>
    <mergeCell ref="O31:Q31"/>
    <mergeCell ref="O32:Q32"/>
    <mergeCell ref="O33:Q33"/>
    <mergeCell ref="O34:Q34"/>
    <mergeCell ref="O35:Q35"/>
    <mergeCell ref="C13:F13"/>
    <mergeCell ref="H13:O13"/>
    <mergeCell ref="Q13:R13"/>
    <mergeCell ref="B15:B16"/>
    <mergeCell ref="C15:C16"/>
    <mergeCell ref="D15:E15"/>
    <mergeCell ref="F15:G15"/>
    <mergeCell ref="H15:H16"/>
    <mergeCell ref="I15:I16"/>
    <mergeCell ref="M15:M16"/>
    <mergeCell ref="O15:Q16"/>
    <mergeCell ref="R15:R16"/>
    <mergeCell ref="J15:J16"/>
    <mergeCell ref="B6:D6"/>
    <mergeCell ref="E6:F6"/>
    <mergeCell ref="G6:H6"/>
    <mergeCell ref="C12:F12"/>
    <mergeCell ref="H12:O12"/>
    <mergeCell ref="B9:D9"/>
    <mergeCell ref="E9:F9"/>
    <mergeCell ref="G9:H9"/>
    <mergeCell ref="B11:F11"/>
    <mergeCell ref="G11:R11"/>
    <mergeCell ref="B7:D7"/>
    <mergeCell ref="E7:F7"/>
    <mergeCell ref="G7:H7"/>
    <mergeCell ref="B8:D8"/>
    <mergeCell ref="E8:F8"/>
    <mergeCell ref="G8:H8"/>
    <mergeCell ref="T2:U2"/>
    <mergeCell ref="E3:F3"/>
    <mergeCell ref="G3:H3"/>
    <mergeCell ref="B5:D5"/>
    <mergeCell ref="E5:F5"/>
    <mergeCell ref="G5:H5"/>
    <mergeCell ref="B4:D4"/>
    <mergeCell ref="E4:F4"/>
    <mergeCell ref="G4:H4"/>
    <mergeCell ref="B2:D3"/>
    <mergeCell ref="E2:H2"/>
  </mergeCells>
  <conditionalFormatting sqref="B17:O39">
    <cfRule type="containsBlanks" dxfId="61" priority="1">
      <formula>LEN(TRIM(B17))=0</formula>
    </cfRule>
  </conditionalFormatting>
  <conditionalFormatting sqref="R17:R39">
    <cfRule type="containsBlanks" dxfId="60" priority="2">
      <formula>LEN(TRIM(R17))=0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46B2-F44B-4C3B-8292-A6466E31D4F6}">
  <sheetPr>
    <pageSetUpPr fitToPage="1"/>
  </sheetPr>
  <dimension ref="B1:AB48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9" width="12.7109375" style="3" customWidth="1"/>
    <col min="20" max="20" width="20.7109375" style="3" customWidth="1"/>
    <col min="21" max="22" width="10.7109375" style="3" customWidth="1"/>
    <col min="23" max="16384" width="10.7109375" style="3"/>
  </cols>
  <sheetData>
    <row r="1" spans="2:26" ht="19.899999999999999" customHeight="1" thickBot="1" x14ac:dyDescent="0.3"/>
    <row r="2" spans="2:26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77" t="s">
        <v>358</v>
      </c>
      <c r="K2" s="678"/>
      <c r="L2" s="679"/>
      <c r="N2" s="631" t="s">
        <v>293</v>
      </c>
      <c r="O2" s="632"/>
      <c r="P2" s="632"/>
      <c r="Q2" s="632"/>
      <c r="R2" s="632"/>
      <c r="S2" s="632"/>
      <c r="T2" s="632"/>
      <c r="U2" s="632"/>
      <c r="V2" s="632"/>
      <c r="W2" s="633"/>
      <c r="Y2" s="611" t="s">
        <v>294</v>
      </c>
      <c r="Z2" s="611"/>
    </row>
    <row r="3" spans="2:26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100" t="s">
        <v>359</v>
      </c>
      <c r="K3" s="101" t="s">
        <v>360</v>
      </c>
      <c r="L3" s="102" t="s">
        <v>361</v>
      </c>
      <c r="N3" s="613"/>
      <c r="O3" s="614"/>
      <c r="P3" s="614"/>
      <c r="Q3" s="614"/>
      <c r="R3" s="614"/>
      <c r="S3" s="614"/>
      <c r="T3" s="614"/>
      <c r="U3" s="614"/>
      <c r="V3" s="614"/>
      <c r="W3" s="615"/>
      <c r="Y3" s="36"/>
      <c r="Z3" s="36"/>
    </row>
    <row r="4" spans="2:26" ht="15" customHeight="1" x14ac:dyDescent="0.25">
      <c r="B4" s="647" t="s">
        <v>296</v>
      </c>
      <c r="C4" s="648"/>
      <c r="D4" s="648"/>
      <c r="E4" s="653">
        <f>IF($G$13="","",VLOOKUP($G$13,RESUMO!$C:$G,5,FALSE))</f>
        <v>119143.16</v>
      </c>
      <c r="F4" s="653"/>
      <c r="G4" s="640">
        <f t="shared" ref="G4:G9" si="0">E4*$V$13</f>
        <v>126291.75</v>
      </c>
      <c r="H4" s="641"/>
      <c r="J4" s="107" t="s">
        <v>362</v>
      </c>
      <c r="K4" s="103">
        <v>45762</v>
      </c>
      <c r="L4" s="104">
        <f>1-'C.3.3'!L4</f>
        <v>0.94899999999999995</v>
      </c>
      <c r="N4" s="613"/>
      <c r="O4" s="614"/>
      <c r="P4" s="614"/>
      <c r="Q4" s="614"/>
      <c r="R4" s="614"/>
      <c r="S4" s="614"/>
      <c r="T4" s="614"/>
      <c r="U4" s="614"/>
      <c r="V4" s="614"/>
      <c r="W4" s="615"/>
      <c r="Y4" s="36"/>
      <c r="Z4" s="36"/>
    </row>
    <row r="5" spans="2:26" ht="15" customHeight="1" x14ac:dyDescent="0.25">
      <c r="B5" s="649" t="s">
        <v>297</v>
      </c>
      <c r="C5" s="650"/>
      <c r="D5" s="650"/>
      <c r="E5" s="654">
        <f>SUMIFS(R:R,W:W,"&lt;&gt;")</f>
        <v>119183.24963395231</v>
      </c>
      <c r="F5" s="654"/>
      <c r="G5" s="642">
        <f t="shared" si="0"/>
        <v>126334.24501212404</v>
      </c>
      <c r="H5" s="643"/>
      <c r="J5" s="107" t="s">
        <v>363</v>
      </c>
      <c r="K5" s="103">
        <v>45826</v>
      </c>
      <c r="L5" s="104">
        <f>1-'C.3.3'!L5</f>
        <v>0.95469999999999999</v>
      </c>
      <c r="N5" s="613"/>
      <c r="O5" s="614"/>
      <c r="P5" s="614"/>
      <c r="Q5" s="614"/>
      <c r="R5" s="614"/>
      <c r="S5" s="614"/>
      <c r="T5" s="614"/>
      <c r="U5" s="614"/>
      <c r="V5" s="614"/>
      <c r="W5" s="615"/>
      <c r="Y5" s="36"/>
      <c r="Z5" s="36"/>
    </row>
    <row r="6" spans="2:26" ht="15" customHeight="1" x14ac:dyDescent="0.25">
      <c r="B6" s="649" t="s">
        <v>298</v>
      </c>
      <c r="C6" s="650"/>
      <c r="D6" s="650"/>
      <c r="E6" s="654">
        <f>E5-E9</f>
        <v>119183.24963395231</v>
      </c>
      <c r="F6" s="654"/>
      <c r="G6" s="642">
        <f t="shared" si="0"/>
        <v>126334.24501212404</v>
      </c>
      <c r="H6" s="643"/>
      <c r="J6" s="107" t="s">
        <v>364</v>
      </c>
      <c r="K6" s="103">
        <v>45807</v>
      </c>
      <c r="L6" s="104">
        <f>1-'C.3.3'!L6</f>
        <v>0.95399999999999996</v>
      </c>
      <c r="N6" s="613"/>
      <c r="O6" s="614"/>
      <c r="P6" s="614"/>
      <c r="Q6" s="614"/>
      <c r="R6" s="614"/>
      <c r="S6" s="614"/>
      <c r="T6" s="614"/>
      <c r="U6" s="614"/>
      <c r="V6" s="614"/>
      <c r="W6" s="615"/>
    </row>
    <row r="7" spans="2:26" ht="15" customHeight="1" x14ac:dyDescent="0.25">
      <c r="B7" s="649" t="s">
        <v>299</v>
      </c>
      <c r="C7" s="650"/>
      <c r="D7" s="650"/>
      <c r="E7" s="644">
        <f>E4-E5</f>
        <v>-40.089633952302393</v>
      </c>
      <c r="F7" s="645"/>
      <c r="G7" s="642">
        <f t="shared" si="0"/>
        <v>-42.495012124033686</v>
      </c>
      <c r="H7" s="643"/>
      <c r="J7" s="107" t="s">
        <v>365</v>
      </c>
      <c r="K7" s="103">
        <v>45790</v>
      </c>
      <c r="L7" s="104">
        <f>1-'C.3.3'!L7</f>
        <v>0.95220000000000005</v>
      </c>
      <c r="N7" s="613"/>
      <c r="O7" s="614"/>
      <c r="P7" s="614"/>
      <c r="Q7" s="614"/>
      <c r="R7" s="614"/>
      <c r="S7" s="614"/>
      <c r="T7" s="614"/>
      <c r="U7" s="614"/>
      <c r="V7" s="614"/>
      <c r="W7" s="615"/>
    </row>
    <row r="8" spans="2:26" ht="15" customHeight="1" thickBot="1" x14ac:dyDescent="0.3">
      <c r="B8" s="655" t="s">
        <v>300</v>
      </c>
      <c r="C8" s="656"/>
      <c r="D8" s="656"/>
      <c r="E8" s="657">
        <f>SUM(R:R)-E5</f>
        <v>0</v>
      </c>
      <c r="F8" s="657"/>
      <c r="G8" s="658">
        <f t="shared" si="0"/>
        <v>0</v>
      </c>
      <c r="H8" s="659"/>
      <c r="J8" s="108" t="s">
        <v>366</v>
      </c>
      <c r="K8" s="105">
        <v>45799</v>
      </c>
      <c r="L8" s="106">
        <f>1-'C.3.3'!L8</f>
        <v>0.95499999999999996</v>
      </c>
      <c r="N8" s="613"/>
      <c r="O8" s="614"/>
      <c r="P8" s="614"/>
      <c r="Q8" s="614"/>
      <c r="R8" s="614"/>
      <c r="S8" s="614"/>
      <c r="T8" s="614"/>
      <c r="U8" s="614"/>
      <c r="V8" s="614"/>
      <c r="W8" s="615"/>
    </row>
    <row r="9" spans="2:26" ht="15" customHeight="1" thickTop="1" thickBot="1" x14ac:dyDescent="0.3">
      <c r="B9" s="651" t="s">
        <v>301</v>
      </c>
      <c r="C9" s="652"/>
      <c r="D9" s="652"/>
      <c r="E9" s="646">
        <f>SUMIF(W:W,CAPA!$I$2,R:R)</f>
        <v>0</v>
      </c>
      <c r="F9" s="646"/>
      <c r="G9" s="660">
        <f t="shared" si="0"/>
        <v>0</v>
      </c>
      <c r="H9" s="661"/>
      <c r="N9" s="616"/>
      <c r="O9" s="617"/>
      <c r="P9" s="617"/>
      <c r="Q9" s="617"/>
      <c r="R9" s="617"/>
      <c r="S9" s="617"/>
      <c r="T9" s="617"/>
      <c r="U9" s="617"/>
      <c r="V9" s="617"/>
      <c r="W9" s="618"/>
    </row>
    <row r="10" spans="2:26" ht="10.15" customHeight="1" thickTop="1" thickBot="1" x14ac:dyDescent="0.3"/>
    <row r="11" spans="2:26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5"/>
      <c r="U11" s="625"/>
      <c r="V11" s="625"/>
      <c r="W11" s="626"/>
    </row>
    <row r="12" spans="2:26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619"/>
      <c r="R12" s="619"/>
      <c r="S12" s="619"/>
      <c r="T12" s="619"/>
      <c r="U12" s="14" t="s">
        <v>303</v>
      </c>
      <c r="V12" s="619" t="s">
        <v>304</v>
      </c>
      <c r="W12" s="620"/>
    </row>
    <row r="13" spans="2:26" s="8" customFormat="1" ht="30" customHeight="1" thickBot="1" x14ac:dyDescent="0.3">
      <c r="B13" s="15" t="str">
        <f>RESUMO!C50</f>
        <v>C.3</v>
      </c>
      <c r="C13" s="623" t="str">
        <f>IF($B$13="","",VLOOKUP($B$13,RESUMO!$C:$F,2,FALSE))</f>
        <v>Material Betuminoso e Transportes</v>
      </c>
      <c r="D13" s="623"/>
      <c r="E13" s="623"/>
      <c r="F13" s="662"/>
      <c r="G13" s="16" t="str">
        <f>RESUMO!C54</f>
        <v>C.3.4</v>
      </c>
      <c r="H13" s="623" t="str">
        <f>IF($G$13="","",VLOOKUP($G$13,RESUMO!$C:$F,2,FALSE))</f>
        <v>Transporte com caminhão basculante de 14 m³ - rodovia pavimentada  - Agregados</v>
      </c>
      <c r="I13" s="623"/>
      <c r="J13" s="623"/>
      <c r="K13" s="623"/>
      <c r="L13" s="623"/>
      <c r="M13" s="623"/>
      <c r="N13" s="623"/>
      <c r="O13" s="623"/>
      <c r="P13" s="623"/>
      <c r="Q13" s="623"/>
      <c r="R13" s="623"/>
      <c r="S13" s="623"/>
      <c r="T13" s="623"/>
      <c r="U13" s="17" t="str">
        <f>IF($G$13="","",VLOOKUP($G$13,RESUMO!$C:$F,3,FALSE))</f>
        <v>T x Km</v>
      </c>
      <c r="V13" s="621">
        <f>IF($G$13="","",VLOOKUP($G$13,RESUMO!$C:$F,4,FALSE))</f>
        <v>1.0600000033573056</v>
      </c>
      <c r="W13" s="622"/>
    </row>
    <row r="14" spans="2:26" ht="10.15" customHeight="1" thickTop="1" thickBot="1" x14ac:dyDescent="0.3"/>
    <row r="15" spans="2:26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672" t="s">
        <v>327</v>
      </c>
      <c r="K15" s="627" t="s">
        <v>328</v>
      </c>
      <c r="L15" s="627"/>
      <c r="M15" s="9" t="s">
        <v>371</v>
      </c>
      <c r="N15" s="9" t="s">
        <v>330</v>
      </c>
      <c r="O15" s="9" t="s">
        <v>352</v>
      </c>
      <c r="P15" s="672" t="s">
        <v>332</v>
      </c>
      <c r="Q15" s="9" t="s">
        <v>331</v>
      </c>
      <c r="R15" s="627" t="s">
        <v>310</v>
      </c>
      <c r="S15" s="627" t="s">
        <v>311</v>
      </c>
      <c r="T15" s="627" t="s">
        <v>312</v>
      </c>
      <c r="U15" s="627"/>
      <c r="V15" s="627"/>
      <c r="W15" s="629" t="s">
        <v>27</v>
      </c>
      <c r="Y15" s="611" t="s">
        <v>313</v>
      </c>
      <c r="Z15" s="611"/>
    </row>
    <row r="16" spans="2:26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73"/>
      <c r="K16" s="10" t="s">
        <v>314</v>
      </c>
      <c r="L16" s="10" t="s">
        <v>315</v>
      </c>
      <c r="M16" s="10" t="s">
        <v>368</v>
      </c>
      <c r="N16" s="10" t="s">
        <v>334</v>
      </c>
      <c r="O16" s="10" t="s">
        <v>369</v>
      </c>
      <c r="P16" s="673"/>
      <c r="Q16" s="10" t="s">
        <v>335</v>
      </c>
      <c r="R16" s="628"/>
      <c r="S16" s="628"/>
      <c r="T16" s="628"/>
      <c r="U16" s="628"/>
      <c r="V16" s="628"/>
      <c r="W16" s="630"/>
      <c r="Y16" s="35" t="s">
        <v>269</v>
      </c>
      <c r="Z16" s="35" t="s">
        <v>47</v>
      </c>
    </row>
    <row r="17" spans="2:28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109" t="s">
        <v>372</v>
      </c>
      <c r="K17" s="21"/>
      <c r="L17" s="22"/>
      <c r="M17" s="119"/>
      <c r="N17" s="119">
        <f>'C.2.2'!N17</f>
        <v>1186.51</v>
      </c>
      <c r="O17" s="23"/>
      <c r="P17" s="23">
        <v>1.6</v>
      </c>
      <c r="Q17" s="23">
        <v>43.300000000000004</v>
      </c>
      <c r="R17" s="23">
        <f>IF(N17="","",N17*P17*Q17)</f>
        <v>82201.41280000002</v>
      </c>
      <c r="S17" s="23">
        <f>IF(OR(B17="",R17=""),"",IF(AND(S16="",W17=""),S16,SUM(R17,S16)))</f>
        <v>82201.41280000002</v>
      </c>
      <c r="T17" s="635" t="s">
        <v>373</v>
      </c>
      <c r="U17" s="635"/>
      <c r="V17" s="635"/>
      <c r="W17" s="24">
        <v>1</v>
      </c>
      <c r="Y17" s="3" t="s">
        <v>117</v>
      </c>
      <c r="Z17" s="83" t="str">
        <f>IF($Y17="","",VLOOKUP($Y17,RESUMO!$C:$D,2,FALSE))</f>
        <v>Rachão ou pedra de mão</v>
      </c>
      <c r="AB17" s="85" t="str">
        <f>HYPERLINK("#"&amp;"'"&amp;Y17&amp;"'"&amp;"!A1","LINK")</f>
        <v>LINK</v>
      </c>
    </row>
    <row r="18" spans="2:28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0" t="s">
        <v>372</v>
      </c>
      <c r="K18" s="27"/>
      <c r="L18" s="28"/>
      <c r="M18" s="120"/>
      <c r="N18" s="120">
        <f>'C.2.2'!N18</f>
        <v>16.110500000000002</v>
      </c>
      <c r="O18" s="11"/>
      <c r="P18" s="11">
        <v>1.6</v>
      </c>
      <c r="Q18" s="11">
        <v>43.3</v>
      </c>
      <c r="R18" s="11">
        <f>IF(N18="","",N18*P18*Q18)</f>
        <v>1116.1354400000002</v>
      </c>
      <c r="S18" s="11">
        <f t="shared" ref="S18:S47" si="1">IF(B18="","",IF(OR(S17="",W18=""),S17,SUM(R18,S17)))</f>
        <v>83317.548240000018</v>
      </c>
      <c r="T18" s="612" t="s">
        <v>373</v>
      </c>
      <c r="U18" s="612"/>
      <c r="V18" s="612"/>
      <c r="W18" s="29">
        <v>1</v>
      </c>
      <c r="Y18" s="3" t="s">
        <v>119</v>
      </c>
      <c r="Z18" s="83" t="str">
        <f>IF($Y18="","",VLOOKUP($Y18,RESUMO!$C:$D,2,FALSE))</f>
        <v>Sub-base ou base de brita graduada simples (BGS)</v>
      </c>
      <c r="AB18" s="85" t="str">
        <f>HYPERLINK("#"&amp;"'"&amp;Y18&amp;"'"&amp;"!A1","LINK")</f>
        <v>LINK</v>
      </c>
    </row>
    <row r="19" spans="2:28" ht="19.899999999999999" customHeight="1" x14ac:dyDescent="0.25">
      <c r="B19" s="25" t="s">
        <v>316</v>
      </c>
      <c r="C19" s="26" t="s">
        <v>306</v>
      </c>
      <c r="D19" s="27">
        <v>303</v>
      </c>
      <c r="E19" s="28">
        <v>450</v>
      </c>
      <c r="F19" s="27"/>
      <c r="G19" s="28"/>
      <c r="H19" s="26" t="s">
        <v>306</v>
      </c>
      <c r="I19" s="11" t="s">
        <v>341</v>
      </c>
      <c r="J19" s="110" t="s">
        <v>372</v>
      </c>
      <c r="K19" s="27"/>
      <c r="L19" s="28"/>
      <c r="M19" s="120"/>
      <c r="N19" s="120">
        <v>73.440724901507764</v>
      </c>
      <c r="O19" s="11"/>
      <c r="P19" s="11">
        <v>1.7</v>
      </c>
      <c r="Q19" s="11">
        <v>43.3</v>
      </c>
      <c r="R19" s="11">
        <f>IF(N19="","",N19*P19*Q19)</f>
        <v>5405.9717599999858</v>
      </c>
      <c r="S19" s="11">
        <f t="shared" si="1"/>
        <v>88723.520000000004</v>
      </c>
      <c r="T19" s="612" t="s">
        <v>374</v>
      </c>
      <c r="U19" s="612"/>
      <c r="V19" s="612"/>
      <c r="W19" s="29">
        <v>1</v>
      </c>
      <c r="Y19" s="84" t="s">
        <v>125</v>
      </c>
      <c r="Z19" s="83" t="str">
        <f>IF($Y19="","",VLOOKUP($Y19,RESUMO!$C:$D,2,FALSE))</f>
        <v>CBUQ  Faixa C/D c/ DOP ou polímero similar</v>
      </c>
      <c r="AB19" s="85" t="str">
        <f>HYPERLINK("#"&amp;"'"&amp;Y19&amp;"'"&amp;"!A1","LINK")</f>
        <v>LINK</v>
      </c>
    </row>
    <row r="20" spans="2:28" ht="19.899999999999999" customHeight="1" x14ac:dyDescent="0.25">
      <c r="B20" s="25" t="s">
        <v>316</v>
      </c>
      <c r="C20" s="26" t="s">
        <v>306</v>
      </c>
      <c r="D20" s="27">
        <v>303</v>
      </c>
      <c r="E20" s="28">
        <v>450</v>
      </c>
      <c r="F20" s="27"/>
      <c r="G20" s="28"/>
      <c r="H20" s="26" t="s">
        <v>306</v>
      </c>
      <c r="I20" s="11" t="s">
        <v>341</v>
      </c>
      <c r="J20" s="110" t="s">
        <v>372</v>
      </c>
      <c r="K20" s="27"/>
      <c r="L20" s="28"/>
      <c r="M20" s="120"/>
      <c r="N20" s="120">
        <f>'C.2.3'!N17-N19</f>
        <v>357.30647509849223</v>
      </c>
      <c r="O20" s="11"/>
      <c r="P20" s="11">
        <v>1.7</v>
      </c>
      <c r="Q20" s="11">
        <v>43.3</v>
      </c>
      <c r="R20" s="11">
        <f>IF(N20="","",N20*P20*Q20)</f>
        <v>26301.329632000012</v>
      </c>
      <c r="S20" s="11">
        <f t="shared" si="1"/>
        <v>115024.84963200001</v>
      </c>
      <c r="T20" s="612" t="s">
        <v>375</v>
      </c>
      <c r="U20" s="612"/>
      <c r="V20" s="612"/>
      <c r="W20" s="29">
        <v>1</v>
      </c>
      <c r="Y20" s="84" t="s">
        <v>130</v>
      </c>
      <c r="Z20" s="83" t="str">
        <f>IF($Y20="","",VLOOKUP($Y20,RESUMO!$C:$D,2,FALSE))</f>
        <v>Fornecimento de emulsão asfáltica Imprimer</v>
      </c>
      <c r="AB20" s="85" t="str">
        <f t="shared" ref="AB20:AB25" si="2">HYPERLINK("#"&amp;"'"&amp;Y20&amp;"'"&amp;"!A1","LINK")</f>
        <v>LINK</v>
      </c>
    </row>
    <row r="21" spans="2:28" ht="19.899999999999999" customHeight="1" x14ac:dyDescent="0.25">
      <c r="B21" s="25" t="s">
        <v>316</v>
      </c>
      <c r="C21" s="26" t="s">
        <v>306</v>
      </c>
      <c r="D21" s="27">
        <v>303</v>
      </c>
      <c r="E21" s="28">
        <v>450</v>
      </c>
      <c r="F21" s="27"/>
      <c r="G21" s="28"/>
      <c r="H21" s="26" t="s">
        <v>306</v>
      </c>
      <c r="I21" s="11" t="s">
        <v>341</v>
      </c>
      <c r="J21" s="110" t="s">
        <v>372</v>
      </c>
      <c r="K21" s="27"/>
      <c r="L21" s="28"/>
      <c r="M21" s="120"/>
      <c r="N21" s="120">
        <f>'C.2.3'!N18</f>
        <v>50.301000000000023</v>
      </c>
      <c r="O21" s="11"/>
      <c r="P21" s="11">
        <v>1.7</v>
      </c>
      <c r="Q21" s="11">
        <v>43.3</v>
      </c>
      <c r="R21" s="11">
        <f>IF(N21="","",N21*P21*Q21)</f>
        <v>3702.6566100000014</v>
      </c>
      <c r="S21" s="11">
        <f t="shared" si="1"/>
        <v>118727.50624200002</v>
      </c>
      <c r="T21" s="612" t="s">
        <v>375</v>
      </c>
      <c r="U21" s="612"/>
      <c r="V21" s="612"/>
      <c r="W21" s="29">
        <v>1</v>
      </c>
      <c r="Y21" s="84" t="s">
        <v>132</v>
      </c>
      <c r="Z21" s="83" t="str">
        <f>IF($Y21="","",VLOOKUP($Y21,RESUMO!$C:$D,2,FALSE))</f>
        <v>Fornecimento de emulsão asfáltica tipo RR-1C</v>
      </c>
      <c r="AB21" s="85" t="str">
        <f t="shared" si="2"/>
        <v>LINK</v>
      </c>
    </row>
    <row r="22" spans="2:28" ht="19.899999999999999" customHeight="1" x14ac:dyDescent="0.25">
      <c r="B22" s="25" t="s">
        <v>316</v>
      </c>
      <c r="C22" s="26" t="s">
        <v>306</v>
      </c>
      <c r="D22" s="27">
        <v>303</v>
      </c>
      <c r="E22" s="28">
        <v>450</v>
      </c>
      <c r="F22" s="27"/>
      <c r="G22" s="28"/>
      <c r="H22" s="26" t="s">
        <v>306</v>
      </c>
      <c r="I22" s="11" t="s">
        <v>341</v>
      </c>
      <c r="J22" s="110" t="s">
        <v>362</v>
      </c>
      <c r="K22" s="27"/>
      <c r="L22" s="28"/>
      <c r="M22" s="120">
        <f>'C.2.6'!O17</f>
        <v>437.99</v>
      </c>
      <c r="N22" s="120"/>
      <c r="O22" s="11">
        <v>0.94899999999999995</v>
      </c>
      <c r="P22" s="11"/>
      <c r="Q22" s="11">
        <v>0.6</v>
      </c>
      <c r="R22" s="11">
        <f>M22*O22</f>
        <v>415.65251000000001</v>
      </c>
      <c r="S22" s="11">
        <f t="shared" si="1"/>
        <v>119143.15875200002</v>
      </c>
      <c r="T22" s="612" t="s">
        <v>376</v>
      </c>
      <c r="U22" s="612"/>
      <c r="V22" s="612"/>
      <c r="W22" s="29">
        <v>1</v>
      </c>
      <c r="Y22" s="84" t="s">
        <v>134</v>
      </c>
      <c r="Z22" s="83" t="str">
        <f>IF($Y22="","",VLOOKUP($Y22,RESUMO!$C:$D,2,FALSE))</f>
        <v>Fornecimento de CAP modificado com adição de polímero</v>
      </c>
      <c r="AB22" s="85" t="str">
        <f t="shared" si="2"/>
        <v>LINK</v>
      </c>
    </row>
    <row r="23" spans="2:28" ht="19.899999999999999" customHeight="1" x14ac:dyDescent="0.25">
      <c r="B23" s="25" t="s">
        <v>316</v>
      </c>
      <c r="C23" s="26" t="s">
        <v>306</v>
      </c>
      <c r="D23" s="27">
        <v>303</v>
      </c>
      <c r="E23" s="28">
        <v>450</v>
      </c>
      <c r="F23" s="27"/>
      <c r="G23" s="28"/>
      <c r="H23" s="26" t="s">
        <v>306</v>
      </c>
      <c r="I23" s="11" t="s">
        <v>341</v>
      </c>
      <c r="J23" s="110" t="s">
        <v>362</v>
      </c>
      <c r="K23" s="27"/>
      <c r="L23" s="28"/>
      <c r="M23" s="120">
        <f>'C.2.6'!O18</f>
        <v>42.245397209999993</v>
      </c>
      <c r="N23" s="120"/>
      <c r="O23" s="11">
        <v>0.94899999999999995</v>
      </c>
      <c r="P23" s="11"/>
      <c r="Q23" s="11">
        <v>0.6</v>
      </c>
      <c r="R23" s="11">
        <f>M23*O23</f>
        <v>40.09088195228999</v>
      </c>
      <c r="S23" s="11">
        <f t="shared" si="1"/>
        <v>119183.24963395231</v>
      </c>
      <c r="T23" s="612" t="s">
        <v>376</v>
      </c>
      <c r="U23" s="612"/>
      <c r="V23" s="612"/>
      <c r="W23" s="29">
        <v>1</v>
      </c>
      <c r="Y23" s="84" t="s">
        <v>136</v>
      </c>
      <c r="Z23" s="83" t="str">
        <f>IF($Y23="","",VLOOKUP($Y23,RESUMO!$C:$D,2,FALSE))</f>
        <v>Transporte com caminhão basculante de 14 m³ - rodovia pavimentada  - Agregados</v>
      </c>
      <c r="AB23" s="85" t="str">
        <f t="shared" si="2"/>
        <v>LINK</v>
      </c>
    </row>
    <row r="24" spans="2:28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0"/>
      <c r="K24" s="27"/>
      <c r="L24" s="28"/>
      <c r="M24" s="120"/>
      <c r="N24" s="120"/>
      <c r="O24" s="11"/>
      <c r="P24" s="11"/>
      <c r="Q24" s="11"/>
      <c r="R24" s="11" t="str">
        <f t="shared" ref="R24:R47" si="3">IF(K24="","",K24*L24*Q24)</f>
        <v/>
      </c>
      <c r="S24" s="11" t="str">
        <f t="shared" si="1"/>
        <v/>
      </c>
      <c r="T24" s="612"/>
      <c r="U24" s="612"/>
      <c r="V24" s="612"/>
      <c r="W24" s="29"/>
      <c r="Y24" s="84" t="s">
        <v>138</v>
      </c>
      <c r="Z24" s="83" t="str">
        <f>IF($Y24="","",VLOOKUP($Y24,RESUMO!$C:$D,2,FALSE))</f>
        <v>Transporte com caminhão basculante de 14 m³ - rodovia pavimentada  - Massa Asfaltica</v>
      </c>
      <c r="AB24" s="85" t="str">
        <f t="shared" si="2"/>
        <v>LINK</v>
      </c>
    </row>
    <row r="25" spans="2:28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0"/>
      <c r="K25" s="27"/>
      <c r="L25" s="28"/>
      <c r="M25" s="120"/>
      <c r="N25" s="120"/>
      <c r="O25" s="11"/>
      <c r="P25" s="11"/>
      <c r="Q25" s="11"/>
      <c r="R25" s="11" t="str">
        <f t="shared" si="3"/>
        <v/>
      </c>
      <c r="S25" s="11" t="str">
        <f t="shared" si="1"/>
        <v/>
      </c>
      <c r="T25" s="612"/>
      <c r="U25" s="612"/>
      <c r="V25" s="612"/>
      <c r="W25" s="29"/>
      <c r="Y25" s="84" t="s">
        <v>140</v>
      </c>
      <c r="Z25" s="83" t="str">
        <f>IF($Y25="","",VLOOKUP($Y25,RESUMO!$C:$D,2,FALSE))</f>
        <v>Transporte com caminhão basculante de 14 m³ - rodovia pavimentada  - Materiais Betuminosos</v>
      </c>
      <c r="AB25" s="85" t="str">
        <f t="shared" si="2"/>
        <v>LINK</v>
      </c>
    </row>
    <row r="26" spans="2:28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0"/>
      <c r="K26" s="27"/>
      <c r="L26" s="28"/>
      <c r="M26" s="120"/>
      <c r="N26" s="120"/>
      <c r="O26" s="11"/>
      <c r="P26" s="11"/>
      <c r="Q26" s="11"/>
      <c r="R26" s="11" t="str">
        <f t="shared" si="3"/>
        <v/>
      </c>
      <c r="S26" s="11" t="str">
        <f t="shared" si="1"/>
        <v/>
      </c>
      <c r="T26" s="612"/>
      <c r="U26" s="612"/>
      <c r="V26" s="612"/>
      <c r="W26" s="29"/>
    </row>
    <row r="27" spans="2:28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0"/>
      <c r="K27" s="27"/>
      <c r="L27" s="28"/>
      <c r="M27" s="120"/>
      <c r="N27" s="120"/>
      <c r="O27" s="11"/>
      <c r="P27" s="11"/>
      <c r="Q27" s="11"/>
      <c r="R27" s="11" t="str">
        <f t="shared" si="3"/>
        <v/>
      </c>
      <c r="S27" s="11" t="str">
        <f t="shared" si="1"/>
        <v/>
      </c>
      <c r="T27" s="612"/>
      <c r="U27" s="612"/>
      <c r="V27" s="612"/>
      <c r="W27" s="29"/>
    </row>
    <row r="28" spans="2:28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0"/>
      <c r="K28" s="27"/>
      <c r="L28" s="28"/>
      <c r="M28" s="120"/>
      <c r="N28" s="120"/>
      <c r="O28" s="11"/>
      <c r="P28" s="11"/>
      <c r="Q28" s="11"/>
      <c r="R28" s="11" t="str">
        <f t="shared" si="3"/>
        <v/>
      </c>
      <c r="S28" s="11" t="str">
        <f t="shared" si="1"/>
        <v/>
      </c>
      <c r="T28" s="612"/>
      <c r="U28" s="612"/>
      <c r="V28" s="612"/>
      <c r="W28" s="29"/>
    </row>
    <row r="29" spans="2:28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0"/>
      <c r="K29" s="27"/>
      <c r="L29" s="28"/>
      <c r="M29" s="120"/>
      <c r="N29" s="120"/>
      <c r="O29" s="11"/>
      <c r="P29" s="11"/>
      <c r="Q29" s="11"/>
      <c r="R29" s="11" t="str">
        <f t="shared" si="3"/>
        <v/>
      </c>
      <c r="S29" s="11" t="str">
        <f t="shared" si="1"/>
        <v/>
      </c>
      <c r="T29" s="612"/>
      <c r="U29" s="612"/>
      <c r="V29" s="612"/>
      <c r="W29" s="29"/>
    </row>
    <row r="30" spans="2:28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0"/>
      <c r="K30" s="27"/>
      <c r="L30" s="28"/>
      <c r="M30" s="120"/>
      <c r="N30" s="120"/>
      <c r="O30" s="11"/>
      <c r="P30" s="11"/>
      <c r="Q30" s="11"/>
      <c r="R30" s="11" t="str">
        <f t="shared" si="3"/>
        <v/>
      </c>
      <c r="S30" s="11" t="str">
        <f t="shared" si="1"/>
        <v/>
      </c>
      <c r="T30" s="612"/>
      <c r="U30" s="612"/>
      <c r="V30" s="612"/>
      <c r="W30" s="29"/>
    </row>
    <row r="31" spans="2:28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0"/>
      <c r="K31" s="27"/>
      <c r="L31" s="28"/>
      <c r="M31" s="120"/>
      <c r="N31" s="120"/>
      <c r="O31" s="11"/>
      <c r="P31" s="11"/>
      <c r="Q31" s="11"/>
      <c r="R31" s="11" t="str">
        <f t="shared" si="3"/>
        <v/>
      </c>
      <c r="S31" s="11" t="str">
        <f t="shared" si="1"/>
        <v/>
      </c>
      <c r="T31" s="612"/>
      <c r="U31" s="612"/>
      <c r="V31" s="612"/>
      <c r="W31" s="29"/>
    </row>
    <row r="32" spans="2:28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0"/>
      <c r="K32" s="27"/>
      <c r="L32" s="28"/>
      <c r="M32" s="120"/>
      <c r="N32" s="120"/>
      <c r="O32" s="11"/>
      <c r="P32" s="11"/>
      <c r="Q32" s="11"/>
      <c r="R32" s="11" t="str">
        <f t="shared" si="3"/>
        <v/>
      </c>
      <c r="S32" s="11" t="str">
        <f t="shared" si="1"/>
        <v/>
      </c>
      <c r="T32" s="612"/>
      <c r="U32" s="612"/>
      <c r="V32" s="612"/>
      <c r="W32" s="29"/>
    </row>
    <row r="33" spans="2:23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0"/>
      <c r="K33" s="27"/>
      <c r="L33" s="28"/>
      <c r="M33" s="120"/>
      <c r="N33" s="120"/>
      <c r="O33" s="11"/>
      <c r="P33" s="11"/>
      <c r="Q33" s="11"/>
      <c r="R33" s="11" t="str">
        <f t="shared" si="3"/>
        <v/>
      </c>
      <c r="S33" s="11" t="str">
        <f t="shared" si="1"/>
        <v/>
      </c>
      <c r="T33" s="612"/>
      <c r="U33" s="612"/>
      <c r="V33" s="612"/>
      <c r="W33" s="29"/>
    </row>
    <row r="34" spans="2:23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0"/>
      <c r="K34" s="27"/>
      <c r="L34" s="28"/>
      <c r="M34" s="120"/>
      <c r="N34" s="120"/>
      <c r="O34" s="11"/>
      <c r="P34" s="11"/>
      <c r="Q34" s="11"/>
      <c r="R34" s="11" t="str">
        <f t="shared" si="3"/>
        <v/>
      </c>
      <c r="S34" s="11" t="str">
        <f t="shared" si="1"/>
        <v/>
      </c>
      <c r="T34" s="612"/>
      <c r="U34" s="612"/>
      <c r="V34" s="612"/>
      <c r="W34" s="29"/>
    </row>
    <row r="35" spans="2:23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0"/>
      <c r="K35" s="27"/>
      <c r="L35" s="28"/>
      <c r="M35" s="120"/>
      <c r="N35" s="120"/>
      <c r="O35" s="11"/>
      <c r="P35" s="11"/>
      <c r="Q35" s="11"/>
      <c r="R35" s="11" t="str">
        <f t="shared" si="3"/>
        <v/>
      </c>
      <c r="S35" s="11" t="str">
        <f t="shared" si="1"/>
        <v/>
      </c>
      <c r="T35" s="612"/>
      <c r="U35" s="612"/>
      <c r="V35" s="612"/>
      <c r="W35" s="29"/>
    </row>
    <row r="36" spans="2:23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0"/>
      <c r="K36" s="27"/>
      <c r="L36" s="28"/>
      <c r="M36" s="120"/>
      <c r="N36" s="120"/>
      <c r="O36" s="11"/>
      <c r="P36" s="11"/>
      <c r="Q36" s="11"/>
      <c r="R36" s="11" t="str">
        <f t="shared" si="3"/>
        <v/>
      </c>
      <c r="S36" s="11" t="str">
        <f t="shared" si="1"/>
        <v/>
      </c>
      <c r="T36" s="612"/>
      <c r="U36" s="612"/>
      <c r="V36" s="612"/>
      <c r="W36" s="29"/>
    </row>
    <row r="37" spans="2:23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0"/>
      <c r="K37" s="27"/>
      <c r="L37" s="28"/>
      <c r="M37" s="120"/>
      <c r="N37" s="120"/>
      <c r="O37" s="11"/>
      <c r="P37" s="11"/>
      <c r="Q37" s="11"/>
      <c r="R37" s="11" t="str">
        <f t="shared" si="3"/>
        <v/>
      </c>
      <c r="S37" s="11" t="str">
        <f t="shared" si="1"/>
        <v/>
      </c>
      <c r="T37" s="612"/>
      <c r="U37" s="612"/>
      <c r="V37" s="612"/>
      <c r="W37" s="29"/>
    </row>
    <row r="38" spans="2:23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0"/>
      <c r="K38" s="27"/>
      <c r="L38" s="28"/>
      <c r="M38" s="120"/>
      <c r="N38" s="120"/>
      <c r="O38" s="11"/>
      <c r="P38" s="11"/>
      <c r="Q38" s="11"/>
      <c r="R38" s="11" t="str">
        <f t="shared" si="3"/>
        <v/>
      </c>
      <c r="S38" s="11" t="str">
        <f t="shared" si="1"/>
        <v/>
      </c>
      <c r="T38" s="612"/>
      <c r="U38" s="612"/>
      <c r="V38" s="612"/>
      <c r="W38" s="29"/>
    </row>
    <row r="39" spans="2:23" ht="19.899999999999999" customHeight="1" x14ac:dyDescent="0.25">
      <c r="B39" s="25"/>
      <c r="C39" s="26"/>
      <c r="D39" s="27"/>
      <c r="E39" s="28"/>
      <c r="F39" s="27"/>
      <c r="G39" s="28"/>
      <c r="H39" s="26"/>
      <c r="I39" s="11"/>
      <c r="J39" s="110"/>
      <c r="K39" s="27"/>
      <c r="L39" s="28"/>
      <c r="M39" s="120"/>
      <c r="N39" s="120"/>
      <c r="O39" s="11"/>
      <c r="P39" s="11"/>
      <c r="Q39" s="11"/>
      <c r="R39" s="11" t="str">
        <f t="shared" si="3"/>
        <v/>
      </c>
      <c r="S39" s="11" t="str">
        <f t="shared" si="1"/>
        <v/>
      </c>
      <c r="T39" s="612"/>
      <c r="U39" s="612"/>
      <c r="V39" s="612"/>
      <c r="W39" s="29"/>
    </row>
    <row r="40" spans="2:23" ht="19.899999999999999" customHeight="1" x14ac:dyDescent="0.25">
      <c r="B40" s="25"/>
      <c r="C40" s="26"/>
      <c r="D40" s="27"/>
      <c r="E40" s="28"/>
      <c r="F40" s="27"/>
      <c r="G40" s="28"/>
      <c r="H40" s="26"/>
      <c r="I40" s="11"/>
      <c r="J40" s="110"/>
      <c r="K40" s="27"/>
      <c r="L40" s="28"/>
      <c r="M40" s="120"/>
      <c r="N40" s="120"/>
      <c r="O40" s="11"/>
      <c r="P40" s="11"/>
      <c r="Q40" s="11"/>
      <c r="R40" s="11" t="str">
        <f t="shared" si="3"/>
        <v/>
      </c>
      <c r="S40" s="11" t="str">
        <f t="shared" si="1"/>
        <v/>
      </c>
      <c r="T40" s="612"/>
      <c r="U40" s="612"/>
      <c r="V40" s="612"/>
      <c r="W40" s="29"/>
    </row>
    <row r="41" spans="2:23" ht="19.899999999999999" customHeight="1" x14ac:dyDescent="0.25">
      <c r="B41" s="25"/>
      <c r="C41" s="26"/>
      <c r="D41" s="27"/>
      <c r="E41" s="28"/>
      <c r="F41" s="27"/>
      <c r="G41" s="28"/>
      <c r="H41" s="26"/>
      <c r="I41" s="11"/>
      <c r="J41" s="110"/>
      <c r="K41" s="27"/>
      <c r="L41" s="28"/>
      <c r="M41" s="120"/>
      <c r="N41" s="120"/>
      <c r="O41" s="11"/>
      <c r="P41" s="11"/>
      <c r="Q41" s="11"/>
      <c r="R41" s="11" t="str">
        <f t="shared" si="3"/>
        <v/>
      </c>
      <c r="S41" s="11" t="str">
        <f t="shared" si="1"/>
        <v/>
      </c>
      <c r="T41" s="612"/>
      <c r="U41" s="612"/>
      <c r="V41" s="612"/>
      <c r="W41" s="29"/>
    </row>
    <row r="42" spans="2:23" ht="19.899999999999999" customHeight="1" x14ac:dyDescent="0.25">
      <c r="B42" s="25"/>
      <c r="C42" s="26"/>
      <c r="D42" s="27"/>
      <c r="E42" s="28"/>
      <c r="F42" s="27"/>
      <c r="G42" s="28"/>
      <c r="H42" s="26"/>
      <c r="I42" s="11"/>
      <c r="J42" s="110"/>
      <c r="K42" s="27"/>
      <c r="L42" s="28"/>
      <c r="M42" s="120"/>
      <c r="N42" s="120"/>
      <c r="O42" s="11"/>
      <c r="P42" s="11"/>
      <c r="Q42" s="11"/>
      <c r="R42" s="11" t="str">
        <f t="shared" si="3"/>
        <v/>
      </c>
      <c r="S42" s="11" t="str">
        <f t="shared" si="1"/>
        <v/>
      </c>
      <c r="T42" s="612"/>
      <c r="U42" s="612"/>
      <c r="V42" s="612"/>
      <c r="W42" s="29"/>
    </row>
    <row r="43" spans="2:23" ht="19.899999999999999" customHeight="1" x14ac:dyDescent="0.25">
      <c r="B43" s="25"/>
      <c r="C43" s="26"/>
      <c r="D43" s="27"/>
      <c r="E43" s="28"/>
      <c r="F43" s="27"/>
      <c r="G43" s="28"/>
      <c r="H43" s="26"/>
      <c r="I43" s="11"/>
      <c r="J43" s="110"/>
      <c r="K43" s="27"/>
      <c r="L43" s="28"/>
      <c r="M43" s="120"/>
      <c r="N43" s="120"/>
      <c r="O43" s="11"/>
      <c r="P43" s="11"/>
      <c r="Q43" s="11"/>
      <c r="R43" s="11" t="str">
        <f t="shared" si="3"/>
        <v/>
      </c>
      <c r="S43" s="11" t="str">
        <f t="shared" si="1"/>
        <v/>
      </c>
      <c r="T43" s="612"/>
      <c r="U43" s="612"/>
      <c r="V43" s="612"/>
      <c r="W43" s="29"/>
    </row>
    <row r="44" spans="2:23" ht="19.899999999999999" customHeight="1" x14ac:dyDescent="0.25">
      <c r="B44" s="25"/>
      <c r="C44" s="26"/>
      <c r="D44" s="27"/>
      <c r="E44" s="28"/>
      <c r="F44" s="27"/>
      <c r="G44" s="28"/>
      <c r="H44" s="26"/>
      <c r="I44" s="11"/>
      <c r="J44" s="110"/>
      <c r="K44" s="27"/>
      <c r="L44" s="28"/>
      <c r="M44" s="120"/>
      <c r="N44" s="120"/>
      <c r="O44" s="11"/>
      <c r="P44" s="11"/>
      <c r="Q44" s="11"/>
      <c r="R44" s="11" t="str">
        <f t="shared" si="3"/>
        <v/>
      </c>
      <c r="S44" s="11" t="str">
        <f t="shared" si="1"/>
        <v/>
      </c>
      <c r="T44" s="612"/>
      <c r="U44" s="612"/>
      <c r="V44" s="612"/>
      <c r="W44" s="29"/>
    </row>
    <row r="45" spans="2:23" ht="19.899999999999999" customHeight="1" x14ac:dyDescent="0.25">
      <c r="B45" s="25"/>
      <c r="C45" s="26"/>
      <c r="D45" s="27"/>
      <c r="E45" s="28"/>
      <c r="F45" s="27"/>
      <c r="G45" s="28"/>
      <c r="H45" s="26"/>
      <c r="I45" s="11"/>
      <c r="J45" s="110"/>
      <c r="K45" s="27"/>
      <c r="L45" s="28"/>
      <c r="M45" s="120"/>
      <c r="N45" s="120"/>
      <c r="O45" s="11"/>
      <c r="P45" s="11"/>
      <c r="Q45" s="11"/>
      <c r="R45" s="11" t="str">
        <f t="shared" si="3"/>
        <v/>
      </c>
      <c r="S45" s="11" t="str">
        <f t="shared" si="1"/>
        <v/>
      </c>
      <c r="T45" s="612"/>
      <c r="U45" s="612"/>
      <c r="V45" s="612"/>
      <c r="W45" s="29"/>
    </row>
    <row r="46" spans="2:23" ht="19.899999999999999" customHeight="1" x14ac:dyDescent="0.25">
      <c r="B46" s="25"/>
      <c r="C46" s="26"/>
      <c r="D46" s="27"/>
      <c r="E46" s="28"/>
      <c r="F46" s="27"/>
      <c r="G46" s="28"/>
      <c r="H46" s="26"/>
      <c r="I46" s="11"/>
      <c r="J46" s="110"/>
      <c r="K46" s="27"/>
      <c r="L46" s="28"/>
      <c r="M46" s="120"/>
      <c r="N46" s="120"/>
      <c r="O46" s="11"/>
      <c r="P46" s="11"/>
      <c r="Q46" s="11"/>
      <c r="R46" s="11" t="str">
        <f t="shared" si="3"/>
        <v/>
      </c>
      <c r="S46" s="11" t="str">
        <f t="shared" si="1"/>
        <v/>
      </c>
      <c r="T46" s="612"/>
      <c r="U46" s="612"/>
      <c r="V46" s="612"/>
      <c r="W46" s="29"/>
    </row>
    <row r="47" spans="2:23" ht="19.899999999999999" customHeight="1" thickBot="1" x14ac:dyDescent="0.3">
      <c r="B47" s="30"/>
      <c r="C47" s="31"/>
      <c r="D47" s="32"/>
      <c r="E47" s="33"/>
      <c r="F47" s="32"/>
      <c r="G47" s="33"/>
      <c r="H47" s="31"/>
      <c r="I47" s="12"/>
      <c r="J47" s="111"/>
      <c r="K47" s="32"/>
      <c r="L47" s="33"/>
      <c r="M47" s="121"/>
      <c r="N47" s="121"/>
      <c r="O47" s="12"/>
      <c r="P47" s="12"/>
      <c r="Q47" s="12"/>
      <c r="R47" s="12" t="str">
        <f t="shared" si="3"/>
        <v/>
      </c>
      <c r="S47" s="12" t="str">
        <f t="shared" si="1"/>
        <v/>
      </c>
      <c r="T47" s="634"/>
      <c r="U47" s="634"/>
      <c r="V47" s="634"/>
      <c r="W47" s="34"/>
    </row>
    <row r="48" spans="2:23" ht="19.899999999999999" customHeight="1" thickTop="1" x14ac:dyDescent="0.25"/>
  </sheetData>
  <mergeCells count="85">
    <mergeCell ref="N4:W4"/>
    <mergeCell ref="N5:W5"/>
    <mergeCell ref="N6:W6"/>
    <mergeCell ref="N7:W7"/>
    <mergeCell ref="N8:W8"/>
    <mergeCell ref="T22:V22"/>
    <mergeCell ref="T17:V17"/>
    <mergeCell ref="T18:V18"/>
    <mergeCell ref="T19:V19"/>
    <mergeCell ref="T20:V20"/>
    <mergeCell ref="T21:V21"/>
    <mergeCell ref="T47:V47"/>
    <mergeCell ref="T27:V27"/>
    <mergeCell ref="T28:V28"/>
    <mergeCell ref="T29:V29"/>
    <mergeCell ref="T40:V40"/>
    <mergeCell ref="T41:V41"/>
    <mergeCell ref="T42:V42"/>
    <mergeCell ref="T43:V43"/>
    <mergeCell ref="T44:V44"/>
    <mergeCell ref="T45:V45"/>
    <mergeCell ref="T46:V46"/>
    <mergeCell ref="T32:V32"/>
    <mergeCell ref="T33:V33"/>
    <mergeCell ref="T34:V34"/>
    <mergeCell ref="T35:V35"/>
    <mergeCell ref="T36:V36"/>
    <mergeCell ref="T23:V23"/>
    <mergeCell ref="T24:V24"/>
    <mergeCell ref="T25:V25"/>
    <mergeCell ref="T26:V26"/>
    <mergeCell ref="T39:V39"/>
    <mergeCell ref="T30:V30"/>
    <mergeCell ref="T31:V31"/>
    <mergeCell ref="T37:V37"/>
    <mergeCell ref="T38:V38"/>
    <mergeCell ref="Y15:Z15"/>
    <mergeCell ref="B15:B16"/>
    <mergeCell ref="C15:C16"/>
    <mergeCell ref="D15:E15"/>
    <mergeCell ref="F15:G15"/>
    <mergeCell ref="H15:H16"/>
    <mergeCell ref="I15:I16"/>
    <mergeCell ref="J15:J16"/>
    <mergeCell ref="R15:R16"/>
    <mergeCell ref="S15:S16"/>
    <mergeCell ref="T15:V16"/>
    <mergeCell ref="W15:W16"/>
    <mergeCell ref="K15:L15"/>
    <mergeCell ref="P15:P16"/>
    <mergeCell ref="C13:F13"/>
    <mergeCell ref="H13:T13"/>
    <mergeCell ref="V13:W13"/>
    <mergeCell ref="B8:D8"/>
    <mergeCell ref="E8:F8"/>
    <mergeCell ref="G8:H8"/>
    <mergeCell ref="B9:D9"/>
    <mergeCell ref="E9:F9"/>
    <mergeCell ref="G9:H9"/>
    <mergeCell ref="B11:F11"/>
    <mergeCell ref="G11:W11"/>
    <mergeCell ref="C12:F12"/>
    <mergeCell ref="H12:T12"/>
    <mergeCell ref="V12:W12"/>
    <mergeCell ref="N9:W9"/>
    <mergeCell ref="B6:D6"/>
    <mergeCell ref="E6:F6"/>
    <mergeCell ref="G6:H6"/>
    <mergeCell ref="B7:D7"/>
    <mergeCell ref="E7:F7"/>
    <mergeCell ref="G7:H7"/>
    <mergeCell ref="B4:D4"/>
    <mergeCell ref="E4:F4"/>
    <mergeCell ref="G4:H4"/>
    <mergeCell ref="B5:D5"/>
    <mergeCell ref="E5:F5"/>
    <mergeCell ref="G5:H5"/>
    <mergeCell ref="B2:D3"/>
    <mergeCell ref="E2:H2"/>
    <mergeCell ref="J2:L2"/>
    <mergeCell ref="Y2:Z2"/>
    <mergeCell ref="E3:F3"/>
    <mergeCell ref="G3:H3"/>
    <mergeCell ref="N2:W2"/>
    <mergeCell ref="N3:W3"/>
  </mergeCells>
  <phoneticPr fontId="16" type="noConversion"/>
  <conditionalFormatting sqref="B17:T47">
    <cfRule type="containsBlanks" dxfId="59" priority="1">
      <formula>LEN(TRIM(B17))=0</formula>
    </cfRule>
  </conditionalFormatting>
  <conditionalFormatting sqref="W17:W47">
    <cfRule type="containsBlanks" dxfId="58" priority="17">
      <formula>LEN(TRIM(W17))=0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56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7967-B816-4F4E-96C9-01852EB3FEC2}">
  <sheetPr>
    <pageSetUpPr fitToPage="1"/>
  </sheetPr>
  <dimension ref="B1:Z46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7" width="12.7109375" style="3" customWidth="1"/>
    <col min="18" max="18" width="20.7109375" style="3" customWidth="1"/>
    <col min="19" max="20" width="10.7109375" style="3" customWidth="1"/>
    <col min="21" max="16384" width="10.7109375" style="3"/>
  </cols>
  <sheetData>
    <row r="1" spans="2:24" ht="19.899999999999999" customHeight="1" thickBot="1" x14ac:dyDescent="0.3"/>
    <row r="2" spans="2:24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3"/>
      <c r="W2" s="611" t="s">
        <v>294</v>
      </c>
      <c r="X2" s="611"/>
    </row>
    <row r="3" spans="2:24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80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5"/>
      <c r="W3" s="36"/>
      <c r="X3" s="36"/>
    </row>
    <row r="4" spans="2:24" ht="15" customHeight="1" x14ac:dyDescent="0.25">
      <c r="B4" s="647" t="s">
        <v>296</v>
      </c>
      <c r="C4" s="648"/>
      <c r="D4" s="648"/>
      <c r="E4" s="653">
        <f>IF($G$13="","",VLOOKUP($G$13,RESUMO!$C:$G,5,FALSE))</f>
        <v>24878.080000000002</v>
      </c>
      <c r="F4" s="653"/>
      <c r="G4" s="640">
        <f t="shared" ref="G4:G9" si="0">E4*$T$13</f>
        <v>19653.68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5"/>
      <c r="W4" s="36"/>
      <c r="X4" s="36"/>
    </row>
    <row r="5" spans="2:24" ht="15" customHeight="1" x14ac:dyDescent="0.25">
      <c r="B5" s="649" t="s">
        <v>297</v>
      </c>
      <c r="C5" s="650"/>
      <c r="D5" s="650"/>
      <c r="E5" s="654">
        <f>SUMIFS(P:P,U:U,"&lt;&gt;")</f>
        <v>24878.081193528</v>
      </c>
      <c r="F5" s="654"/>
      <c r="G5" s="642">
        <f t="shared" si="0"/>
        <v>19653.680942886967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5"/>
      <c r="W5" s="36"/>
      <c r="X5" s="36"/>
    </row>
    <row r="6" spans="2:24" ht="15" customHeight="1" x14ac:dyDescent="0.25">
      <c r="B6" s="649" t="s">
        <v>298</v>
      </c>
      <c r="C6" s="650"/>
      <c r="D6" s="650"/>
      <c r="E6" s="654">
        <f>E5-E9</f>
        <v>24878.081193528</v>
      </c>
      <c r="F6" s="654"/>
      <c r="G6" s="642">
        <f t="shared" si="0"/>
        <v>19653.680942886967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4"/>
      <c r="T6" s="614"/>
      <c r="U6" s="615"/>
    </row>
    <row r="7" spans="2:24" ht="15" customHeight="1" x14ac:dyDescent="0.25">
      <c r="B7" s="649" t="s">
        <v>299</v>
      </c>
      <c r="C7" s="650"/>
      <c r="D7" s="650"/>
      <c r="E7" s="644">
        <f>E4-E5</f>
        <v>-1.1935279981116764E-3</v>
      </c>
      <c r="F7" s="645"/>
      <c r="G7" s="642">
        <f t="shared" si="0"/>
        <v>-9.4288696498795292E-4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4"/>
      <c r="T7" s="614"/>
      <c r="U7" s="615"/>
    </row>
    <row r="8" spans="2:24" ht="15" customHeight="1" x14ac:dyDescent="0.25">
      <c r="B8" s="655" t="s">
        <v>300</v>
      </c>
      <c r="C8" s="656"/>
      <c r="D8" s="656"/>
      <c r="E8" s="657">
        <f>SUM(P:P)-E5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4"/>
      <c r="T8" s="614"/>
      <c r="U8" s="615"/>
    </row>
    <row r="9" spans="2:24" ht="15" customHeight="1" thickBot="1" x14ac:dyDescent="0.3">
      <c r="B9" s="651" t="s">
        <v>301</v>
      </c>
      <c r="C9" s="652"/>
      <c r="D9" s="652"/>
      <c r="E9" s="646">
        <f>SUMIF(U:U,CAPA!$I$2,P:P)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7"/>
      <c r="T9" s="617"/>
      <c r="U9" s="618"/>
    </row>
    <row r="10" spans="2:24" ht="10.15" customHeight="1" thickTop="1" thickBot="1" x14ac:dyDescent="0.3"/>
    <row r="11" spans="2:24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5"/>
      <c r="U11" s="626"/>
    </row>
    <row r="12" spans="2:24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619"/>
      <c r="R12" s="619"/>
      <c r="S12" s="14" t="s">
        <v>303</v>
      </c>
      <c r="T12" s="619" t="s">
        <v>304</v>
      </c>
      <c r="U12" s="620"/>
    </row>
    <row r="13" spans="2:24" s="8" customFormat="1" ht="30" customHeight="1" thickBot="1" x14ac:dyDescent="0.3">
      <c r="B13" s="15" t="str">
        <f>RESUMO!C50</f>
        <v>C.3</v>
      </c>
      <c r="C13" s="623" t="str">
        <f>IF($B$13="","",VLOOKUP($B$13,RESUMO!$C:$F,2,FALSE))</f>
        <v>Material Betuminoso e Transportes</v>
      </c>
      <c r="D13" s="623"/>
      <c r="E13" s="623"/>
      <c r="F13" s="662"/>
      <c r="G13" s="16" t="str">
        <f>RESUMO!C55</f>
        <v>C.3.5</v>
      </c>
      <c r="H13" s="623" t="str">
        <f>IF($G$13="","",VLOOKUP($G$13,RESUMO!$C:$F,2,FALSE))</f>
        <v>Transporte com caminhão basculante de 14 m³ - rodovia pavimentada  - Massa Asfaltica</v>
      </c>
      <c r="I13" s="623"/>
      <c r="J13" s="623"/>
      <c r="K13" s="623"/>
      <c r="L13" s="623"/>
      <c r="M13" s="623"/>
      <c r="N13" s="623"/>
      <c r="O13" s="623"/>
      <c r="P13" s="623"/>
      <c r="Q13" s="623"/>
      <c r="R13" s="623"/>
      <c r="S13" s="17" t="str">
        <f>IF($G$13="","",VLOOKUP($G$13,RESUMO!$C:$F,3,FALSE))</f>
        <v>T x Km</v>
      </c>
      <c r="T13" s="621">
        <f>IF($G$13="","",VLOOKUP($G$13,RESUMO!$C:$F,4,FALSE))</f>
        <v>0.78999987137271044</v>
      </c>
      <c r="U13" s="622"/>
    </row>
    <row r="14" spans="2:24" ht="10.15" customHeight="1" thickTop="1" thickBot="1" x14ac:dyDescent="0.3"/>
    <row r="15" spans="2:24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672" t="s">
        <v>327</v>
      </c>
      <c r="K15" s="9" t="s">
        <v>367</v>
      </c>
      <c r="L15" s="627" t="s">
        <v>327</v>
      </c>
      <c r="M15" s="627" t="s">
        <v>328</v>
      </c>
      <c r="N15" s="627"/>
      <c r="O15" s="9" t="s">
        <v>331</v>
      </c>
      <c r="P15" s="627" t="s">
        <v>310</v>
      </c>
      <c r="Q15" s="627" t="s">
        <v>311</v>
      </c>
      <c r="R15" s="627" t="s">
        <v>312</v>
      </c>
      <c r="S15" s="627"/>
      <c r="T15" s="627"/>
      <c r="U15" s="629" t="s">
        <v>27</v>
      </c>
      <c r="W15" s="611" t="s">
        <v>313</v>
      </c>
      <c r="X15" s="611"/>
    </row>
    <row r="16" spans="2:24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73"/>
      <c r="K16" s="10" t="s">
        <v>368</v>
      </c>
      <c r="L16" s="628"/>
      <c r="M16" s="10" t="s">
        <v>314</v>
      </c>
      <c r="N16" s="10" t="s">
        <v>315</v>
      </c>
      <c r="O16" s="10" t="s">
        <v>335</v>
      </c>
      <c r="P16" s="628"/>
      <c r="Q16" s="628"/>
      <c r="R16" s="628"/>
      <c r="S16" s="628"/>
      <c r="T16" s="628"/>
      <c r="U16" s="630"/>
      <c r="W16" s="35" t="s">
        <v>269</v>
      </c>
      <c r="X16" s="35" t="s">
        <v>47</v>
      </c>
    </row>
    <row r="17" spans="2:26" ht="19.899999999999999" customHeight="1" thickTop="1" x14ac:dyDescent="0.25">
      <c r="B17" s="25" t="s">
        <v>316</v>
      </c>
      <c r="C17" s="26" t="s">
        <v>306</v>
      </c>
      <c r="D17" s="27">
        <v>303</v>
      </c>
      <c r="E17" s="28">
        <v>450</v>
      </c>
      <c r="F17" s="27"/>
      <c r="G17" s="28"/>
      <c r="H17" s="26" t="s">
        <v>306</v>
      </c>
      <c r="I17" s="11" t="s">
        <v>341</v>
      </c>
      <c r="J17" s="110" t="s">
        <v>362</v>
      </c>
      <c r="K17" s="23">
        <v>334.435766197183</v>
      </c>
      <c r="L17" s="23" t="s">
        <v>362</v>
      </c>
      <c r="M17" s="21"/>
      <c r="N17" s="22"/>
      <c r="O17" s="23">
        <v>56.8</v>
      </c>
      <c r="P17" s="23">
        <f>IF(K17="","",K17*O17)</f>
        <v>18995.951519999995</v>
      </c>
      <c r="Q17" s="23">
        <f>IF(OR(B17="",P17=""),"",IF(AND(Q16="",U17=""),Q16,SUM(P17,Q16)))</f>
        <v>18995.951519999995</v>
      </c>
      <c r="R17" s="635" t="s">
        <v>377</v>
      </c>
      <c r="S17" s="635"/>
      <c r="T17" s="635"/>
      <c r="U17" s="24">
        <v>1</v>
      </c>
      <c r="W17" s="84" t="s">
        <v>125</v>
      </c>
      <c r="X17" s="83" t="str">
        <f>IF($W17="","",VLOOKUP($W17,RESUMO!$C:$D,2,FALSE))</f>
        <v>CBUQ  Faixa C/D c/ DOP ou polímero similar</v>
      </c>
      <c r="Z17" s="85" t="str">
        <f>HYPERLINK("#"&amp;"'"&amp;W17&amp;"'"&amp;"!A1","LINK")</f>
        <v>LINK</v>
      </c>
    </row>
    <row r="18" spans="2:26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0" t="s">
        <v>362</v>
      </c>
      <c r="K18" s="11">
        <v>103.55862101281701</v>
      </c>
      <c r="L18" s="11" t="s">
        <v>362</v>
      </c>
      <c r="M18" s="27"/>
      <c r="N18" s="28"/>
      <c r="O18" s="11">
        <v>56.8</v>
      </c>
      <c r="P18" s="11">
        <f t="shared" ref="P18:P45" si="1">IF(K18="","",K18*O18)</f>
        <v>5882.1296735280057</v>
      </c>
      <c r="Q18" s="11">
        <f>IF(B18="","",IF(OR(Q17="",U18=""),Q17,SUM(P18,Q17)))</f>
        <v>24878.081193528</v>
      </c>
      <c r="R18" s="612" t="s">
        <v>376</v>
      </c>
      <c r="S18" s="612"/>
      <c r="T18" s="612"/>
      <c r="U18" s="29">
        <v>1</v>
      </c>
      <c r="W18" s="84" t="s">
        <v>130</v>
      </c>
      <c r="X18" s="83" t="str">
        <f>IF($W18="","",VLOOKUP($W18,RESUMO!$C:$D,2,FALSE))</f>
        <v>Fornecimento de emulsão asfáltica Imprimer</v>
      </c>
      <c r="Z18" s="85" t="str">
        <f t="shared" ref="Z18:Z23" si="2">HYPERLINK("#"&amp;"'"&amp;W18&amp;"'"&amp;"!A1","LINK")</f>
        <v>LINK</v>
      </c>
    </row>
    <row r="19" spans="2:26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0"/>
      <c r="K19" s="11"/>
      <c r="L19" s="11"/>
      <c r="M19" s="27"/>
      <c r="N19" s="28"/>
      <c r="O19" s="11"/>
      <c r="P19" s="11" t="str">
        <f t="shared" si="1"/>
        <v/>
      </c>
      <c r="Q19" s="11" t="str">
        <f t="shared" ref="Q19:Q45" si="3">IF(B19="","",IF(OR(Q18="",U19=""),Q18,SUM(P19,Q18)))</f>
        <v/>
      </c>
      <c r="R19" s="612"/>
      <c r="S19" s="612"/>
      <c r="T19" s="612"/>
      <c r="U19" s="29"/>
      <c r="W19" s="84" t="s">
        <v>132</v>
      </c>
      <c r="X19" s="83" t="str">
        <f>IF($W19="","",VLOOKUP($W19,RESUMO!$C:$D,2,FALSE))</f>
        <v>Fornecimento de emulsão asfáltica tipo RR-1C</v>
      </c>
      <c r="Z19" s="85" t="str">
        <f t="shared" si="2"/>
        <v>LINK</v>
      </c>
    </row>
    <row r="20" spans="2:26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0"/>
      <c r="K20" s="11"/>
      <c r="L20" s="11"/>
      <c r="M20" s="27"/>
      <c r="N20" s="28"/>
      <c r="O20" s="11"/>
      <c r="P20" s="11" t="str">
        <f t="shared" si="1"/>
        <v/>
      </c>
      <c r="Q20" s="11" t="str">
        <f t="shared" si="3"/>
        <v/>
      </c>
      <c r="R20" s="612"/>
      <c r="S20" s="612"/>
      <c r="T20" s="612"/>
      <c r="U20" s="29"/>
      <c r="W20" s="84" t="s">
        <v>134</v>
      </c>
      <c r="X20" s="83" t="str">
        <f>IF($W20="","",VLOOKUP($W20,RESUMO!$C:$D,2,FALSE))</f>
        <v>Fornecimento de CAP modificado com adição de polímero</v>
      </c>
      <c r="Z20" s="85" t="str">
        <f t="shared" si="2"/>
        <v>LINK</v>
      </c>
    </row>
    <row r="21" spans="2:26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0"/>
      <c r="K21" s="11"/>
      <c r="L21" s="11"/>
      <c r="M21" s="27"/>
      <c r="N21" s="28"/>
      <c r="O21" s="11"/>
      <c r="P21" s="11" t="str">
        <f t="shared" si="1"/>
        <v/>
      </c>
      <c r="Q21" s="11" t="str">
        <f t="shared" si="3"/>
        <v/>
      </c>
      <c r="R21" s="612"/>
      <c r="S21" s="612"/>
      <c r="T21" s="612"/>
      <c r="U21" s="29"/>
      <c r="W21" s="84" t="s">
        <v>136</v>
      </c>
      <c r="X21" s="83" t="str">
        <f>IF($W21="","",VLOOKUP($W21,RESUMO!$C:$D,2,FALSE))</f>
        <v>Transporte com caminhão basculante de 14 m³ - rodovia pavimentada  - Agregados</v>
      </c>
      <c r="Z21" s="85" t="str">
        <f t="shared" si="2"/>
        <v>LINK</v>
      </c>
    </row>
    <row r="22" spans="2:26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0"/>
      <c r="K22" s="11"/>
      <c r="L22" s="11"/>
      <c r="M22" s="27"/>
      <c r="N22" s="28"/>
      <c r="O22" s="11"/>
      <c r="P22" s="11" t="str">
        <f t="shared" si="1"/>
        <v/>
      </c>
      <c r="Q22" s="11" t="str">
        <f t="shared" si="3"/>
        <v/>
      </c>
      <c r="R22" s="612"/>
      <c r="S22" s="612"/>
      <c r="T22" s="612"/>
      <c r="U22" s="29"/>
      <c r="W22" s="84" t="s">
        <v>138</v>
      </c>
      <c r="X22" s="83" t="str">
        <f>IF($W22="","",VLOOKUP($W22,RESUMO!$C:$D,2,FALSE))</f>
        <v>Transporte com caminhão basculante de 14 m³ - rodovia pavimentada  - Massa Asfaltica</v>
      </c>
      <c r="Z22" s="85" t="str">
        <f t="shared" si="2"/>
        <v>LINK</v>
      </c>
    </row>
    <row r="23" spans="2:26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0"/>
      <c r="K23" s="11"/>
      <c r="L23" s="11"/>
      <c r="M23" s="27"/>
      <c r="N23" s="28"/>
      <c r="O23" s="11"/>
      <c r="P23" s="11" t="str">
        <f t="shared" si="1"/>
        <v/>
      </c>
      <c r="Q23" s="11" t="str">
        <f t="shared" si="3"/>
        <v/>
      </c>
      <c r="R23" s="612"/>
      <c r="S23" s="612"/>
      <c r="T23" s="612"/>
      <c r="U23" s="29"/>
      <c r="W23" s="84" t="s">
        <v>140</v>
      </c>
      <c r="X23" s="83" t="str">
        <f>IF($W23="","",VLOOKUP($W23,RESUMO!$C:$D,2,FALSE))</f>
        <v>Transporte com caminhão basculante de 14 m³ - rodovia pavimentada  - Materiais Betuminosos</v>
      </c>
      <c r="Z23" s="85" t="str">
        <f t="shared" si="2"/>
        <v>LINK</v>
      </c>
    </row>
    <row r="24" spans="2:26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0"/>
      <c r="K24" s="11"/>
      <c r="L24" s="11"/>
      <c r="M24" s="27"/>
      <c r="N24" s="28"/>
      <c r="O24" s="11"/>
      <c r="P24" s="11" t="str">
        <f t="shared" si="1"/>
        <v/>
      </c>
      <c r="Q24" s="11" t="str">
        <f t="shared" si="3"/>
        <v/>
      </c>
      <c r="R24" s="612"/>
      <c r="S24" s="612"/>
      <c r="T24" s="612"/>
      <c r="U24" s="29"/>
    </row>
    <row r="25" spans="2:26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0"/>
      <c r="K25" s="11"/>
      <c r="L25" s="11"/>
      <c r="M25" s="27"/>
      <c r="N25" s="28"/>
      <c r="O25" s="11"/>
      <c r="P25" s="11" t="str">
        <f t="shared" si="1"/>
        <v/>
      </c>
      <c r="Q25" s="11" t="str">
        <f t="shared" si="3"/>
        <v/>
      </c>
      <c r="R25" s="612"/>
      <c r="S25" s="612"/>
      <c r="T25" s="612"/>
      <c r="U25" s="29"/>
    </row>
    <row r="26" spans="2:26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0"/>
      <c r="K26" s="11"/>
      <c r="L26" s="11"/>
      <c r="M26" s="27"/>
      <c r="N26" s="28"/>
      <c r="O26" s="11"/>
      <c r="P26" s="11" t="str">
        <f t="shared" si="1"/>
        <v/>
      </c>
      <c r="Q26" s="11" t="str">
        <f t="shared" si="3"/>
        <v/>
      </c>
      <c r="R26" s="612"/>
      <c r="S26" s="612"/>
      <c r="T26" s="612"/>
      <c r="U26" s="29"/>
    </row>
    <row r="27" spans="2:26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0"/>
      <c r="K27" s="11"/>
      <c r="L27" s="11"/>
      <c r="M27" s="27"/>
      <c r="N27" s="28"/>
      <c r="O27" s="11"/>
      <c r="P27" s="11" t="str">
        <f t="shared" si="1"/>
        <v/>
      </c>
      <c r="Q27" s="11" t="str">
        <f t="shared" si="3"/>
        <v/>
      </c>
      <c r="R27" s="612"/>
      <c r="S27" s="612"/>
      <c r="T27" s="612"/>
      <c r="U27" s="29"/>
    </row>
    <row r="28" spans="2:26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0"/>
      <c r="K28" s="11"/>
      <c r="L28" s="11"/>
      <c r="M28" s="27"/>
      <c r="N28" s="28"/>
      <c r="O28" s="11"/>
      <c r="P28" s="11" t="str">
        <f t="shared" si="1"/>
        <v/>
      </c>
      <c r="Q28" s="11" t="str">
        <f t="shared" si="3"/>
        <v/>
      </c>
      <c r="R28" s="612"/>
      <c r="S28" s="612"/>
      <c r="T28" s="612"/>
      <c r="U28" s="29"/>
    </row>
    <row r="29" spans="2:26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0"/>
      <c r="K29" s="11"/>
      <c r="L29" s="11"/>
      <c r="M29" s="27"/>
      <c r="N29" s="28"/>
      <c r="O29" s="11"/>
      <c r="P29" s="11" t="str">
        <f t="shared" si="1"/>
        <v/>
      </c>
      <c r="Q29" s="11" t="str">
        <f t="shared" si="3"/>
        <v/>
      </c>
      <c r="R29" s="612"/>
      <c r="S29" s="612"/>
      <c r="T29" s="612"/>
      <c r="U29" s="29"/>
    </row>
    <row r="30" spans="2:26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0"/>
      <c r="K30" s="11"/>
      <c r="L30" s="11"/>
      <c r="M30" s="27"/>
      <c r="N30" s="28"/>
      <c r="O30" s="11"/>
      <c r="P30" s="11" t="str">
        <f t="shared" si="1"/>
        <v/>
      </c>
      <c r="Q30" s="11" t="str">
        <f t="shared" si="3"/>
        <v/>
      </c>
      <c r="R30" s="612"/>
      <c r="S30" s="612"/>
      <c r="T30" s="612"/>
      <c r="U30" s="29"/>
    </row>
    <row r="31" spans="2:26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0"/>
      <c r="K31" s="11"/>
      <c r="L31" s="11"/>
      <c r="M31" s="27"/>
      <c r="N31" s="28"/>
      <c r="O31" s="11"/>
      <c r="P31" s="11" t="str">
        <f t="shared" si="1"/>
        <v/>
      </c>
      <c r="Q31" s="11" t="str">
        <f t="shared" si="3"/>
        <v/>
      </c>
      <c r="R31" s="612"/>
      <c r="S31" s="612"/>
      <c r="T31" s="612"/>
      <c r="U31" s="29"/>
    </row>
    <row r="32" spans="2:26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0"/>
      <c r="K32" s="11"/>
      <c r="L32" s="11"/>
      <c r="M32" s="27"/>
      <c r="N32" s="28"/>
      <c r="O32" s="11"/>
      <c r="P32" s="11" t="str">
        <f t="shared" si="1"/>
        <v/>
      </c>
      <c r="Q32" s="11" t="str">
        <f t="shared" si="3"/>
        <v/>
      </c>
      <c r="R32" s="612"/>
      <c r="S32" s="612"/>
      <c r="T32" s="612"/>
      <c r="U32" s="29"/>
    </row>
    <row r="33" spans="2:21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0"/>
      <c r="K33" s="11"/>
      <c r="L33" s="11"/>
      <c r="M33" s="27"/>
      <c r="N33" s="28"/>
      <c r="O33" s="11"/>
      <c r="P33" s="11" t="str">
        <f t="shared" si="1"/>
        <v/>
      </c>
      <c r="Q33" s="11" t="str">
        <f t="shared" si="3"/>
        <v/>
      </c>
      <c r="R33" s="612"/>
      <c r="S33" s="612"/>
      <c r="T33" s="612"/>
      <c r="U33" s="29"/>
    </row>
    <row r="34" spans="2:21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0"/>
      <c r="K34" s="11"/>
      <c r="L34" s="11"/>
      <c r="M34" s="27"/>
      <c r="N34" s="28"/>
      <c r="O34" s="11"/>
      <c r="P34" s="11" t="str">
        <f t="shared" si="1"/>
        <v/>
      </c>
      <c r="Q34" s="11" t="str">
        <f t="shared" si="3"/>
        <v/>
      </c>
      <c r="R34" s="612"/>
      <c r="S34" s="612"/>
      <c r="T34" s="612"/>
      <c r="U34" s="29"/>
    </row>
    <row r="35" spans="2:21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0"/>
      <c r="K35" s="11"/>
      <c r="L35" s="11"/>
      <c r="M35" s="27"/>
      <c r="N35" s="28"/>
      <c r="O35" s="11"/>
      <c r="P35" s="11" t="str">
        <f t="shared" si="1"/>
        <v/>
      </c>
      <c r="Q35" s="11" t="str">
        <f t="shared" si="3"/>
        <v/>
      </c>
      <c r="R35" s="612"/>
      <c r="S35" s="612"/>
      <c r="T35" s="612"/>
      <c r="U35" s="29"/>
    </row>
    <row r="36" spans="2:21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0"/>
      <c r="K36" s="11"/>
      <c r="L36" s="11"/>
      <c r="M36" s="27"/>
      <c r="N36" s="28"/>
      <c r="O36" s="11"/>
      <c r="P36" s="11" t="str">
        <f t="shared" si="1"/>
        <v/>
      </c>
      <c r="Q36" s="11" t="str">
        <f t="shared" si="3"/>
        <v/>
      </c>
      <c r="R36" s="612"/>
      <c r="S36" s="612"/>
      <c r="T36" s="612"/>
      <c r="U36" s="29"/>
    </row>
    <row r="37" spans="2:21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0"/>
      <c r="K37" s="11"/>
      <c r="L37" s="11"/>
      <c r="M37" s="27"/>
      <c r="N37" s="28"/>
      <c r="O37" s="11"/>
      <c r="P37" s="11" t="str">
        <f t="shared" si="1"/>
        <v/>
      </c>
      <c r="Q37" s="11" t="str">
        <f t="shared" si="3"/>
        <v/>
      </c>
      <c r="R37" s="612"/>
      <c r="S37" s="612"/>
      <c r="T37" s="612"/>
      <c r="U37" s="29"/>
    </row>
    <row r="38" spans="2:21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0"/>
      <c r="K38" s="11"/>
      <c r="L38" s="11"/>
      <c r="M38" s="27"/>
      <c r="N38" s="28"/>
      <c r="O38" s="11"/>
      <c r="P38" s="11" t="str">
        <f t="shared" si="1"/>
        <v/>
      </c>
      <c r="Q38" s="11" t="str">
        <f t="shared" si="3"/>
        <v/>
      </c>
      <c r="R38" s="612"/>
      <c r="S38" s="612"/>
      <c r="T38" s="612"/>
      <c r="U38" s="29"/>
    </row>
    <row r="39" spans="2:21" ht="19.899999999999999" customHeight="1" x14ac:dyDescent="0.25">
      <c r="B39" s="25"/>
      <c r="C39" s="26"/>
      <c r="D39" s="27"/>
      <c r="E39" s="28"/>
      <c r="F39" s="27"/>
      <c r="G39" s="28"/>
      <c r="H39" s="26"/>
      <c r="I39" s="11"/>
      <c r="J39" s="110"/>
      <c r="K39" s="11"/>
      <c r="L39" s="11"/>
      <c r="M39" s="27"/>
      <c r="N39" s="28"/>
      <c r="O39" s="11"/>
      <c r="P39" s="11" t="str">
        <f t="shared" si="1"/>
        <v/>
      </c>
      <c r="Q39" s="11" t="str">
        <f t="shared" si="3"/>
        <v/>
      </c>
      <c r="R39" s="612"/>
      <c r="S39" s="612"/>
      <c r="T39" s="612"/>
      <c r="U39" s="29"/>
    </row>
    <row r="40" spans="2:21" ht="19.899999999999999" customHeight="1" x14ac:dyDescent="0.25">
      <c r="B40" s="25"/>
      <c r="C40" s="26"/>
      <c r="D40" s="27"/>
      <c r="E40" s="28"/>
      <c r="F40" s="27"/>
      <c r="G40" s="28"/>
      <c r="H40" s="26"/>
      <c r="I40" s="11"/>
      <c r="J40" s="110"/>
      <c r="K40" s="11"/>
      <c r="L40" s="11"/>
      <c r="M40" s="27"/>
      <c r="N40" s="28"/>
      <c r="O40" s="11"/>
      <c r="P40" s="11" t="str">
        <f t="shared" si="1"/>
        <v/>
      </c>
      <c r="Q40" s="11" t="str">
        <f t="shared" si="3"/>
        <v/>
      </c>
      <c r="R40" s="612"/>
      <c r="S40" s="612"/>
      <c r="T40" s="612"/>
      <c r="U40" s="29"/>
    </row>
    <row r="41" spans="2:21" ht="19.899999999999999" customHeight="1" x14ac:dyDescent="0.25">
      <c r="B41" s="25"/>
      <c r="C41" s="26"/>
      <c r="D41" s="27"/>
      <c r="E41" s="28"/>
      <c r="F41" s="27"/>
      <c r="G41" s="28"/>
      <c r="H41" s="26"/>
      <c r="I41" s="11"/>
      <c r="J41" s="110"/>
      <c r="K41" s="11"/>
      <c r="L41" s="11"/>
      <c r="M41" s="27"/>
      <c r="N41" s="28"/>
      <c r="O41" s="11"/>
      <c r="P41" s="11" t="str">
        <f t="shared" si="1"/>
        <v/>
      </c>
      <c r="Q41" s="11" t="str">
        <f t="shared" si="3"/>
        <v/>
      </c>
      <c r="R41" s="612"/>
      <c r="S41" s="612"/>
      <c r="T41" s="612"/>
      <c r="U41" s="29"/>
    </row>
    <row r="42" spans="2:21" ht="19.899999999999999" customHeight="1" x14ac:dyDescent="0.25">
      <c r="B42" s="25"/>
      <c r="C42" s="26"/>
      <c r="D42" s="27"/>
      <c r="E42" s="28"/>
      <c r="F42" s="27"/>
      <c r="G42" s="28"/>
      <c r="H42" s="26"/>
      <c r="I42" s="11"/>
      <c r="J42" s="110"/>
      <c r="K42" s="11"/>
      <c r="L42" s="11"/>
      <c r="M42" s="27"/>
      <c r="N42" s="28"/>
      <c r="O42" s="11"/>
      <c r="P42" s="11" t="str">
        <f t="shared" si="1"/>
        <v/>
      </c>
      <c r="Q42" s="11" t="str">
        <f t="shared" si="3"/>
        <v/>
      </c>
      <c r="R42" s="612"/>
      <c r="S42" s="612"/>
      <c r="T42" s="612"/>
      <c r="U42" s="29"/>
    </row>
    <row r="43" spans="2:21" ht="19.899999999999999" customHeight="1" x14ac:dyDescent="0.25">
      <c r="B43" s="25"/>
      <c r="C43" s="26"/>
      <c r="D43" s="27"/>
      <c r="E43" s="28"/>
      <c r="F43" s="27"/>
      <c r="G43" s="28"/>
      <c r="H43" s="26"/>
      <c r="I43" s="11"/>
      <c r="J43" s="110"/>
      <c r="K43" s="11"/>
      <c r="L43" s="11"/>
      <c r="M43" s="27"/>
      <c r="N43" s="28"/>
      <c r="O43" s="11"/>
      <c r="P43" s="11" t="str">
        <f t="shared" si="1"/>
        <v/>
      </c>
      <c r="Q43" s="11" t="str">
        <f t="shared" si="3"/>
        <v/>
      </c>
      <c r="R43" s="612"/>
      <c r="S43" s="612"/>
      <c r="T43" s="612"/>
      <c r="U43" s="29"/>
    </row>
    <row r="44" spans="2:21" ht="19.899999999999999" customHeight="1" x14ac:dyDescent="0.25">
      <c r="B44" s="25"/>
      <c r="C44" s="26"/>
      <c r="D44" s="27"/>
      <c r="E44" s="28"/>
      <c r="F44" s="27"/>
      <c r="G44" s="28"/>
      <c r="H44" s="26"/>
      <c r="I44" s="11"/>
      <c r="J44" s="110"/>
      <c r="K44" s="11"/>
      <c r="L44" s="11"/>
      <c r="M44" s="27"/>
      <c r="N44" s="28"/>
      <c r="O44" s="11"/>
      <c r="P44" s="11" t="str">
        <f t="shared" si="1"/>
        <v/>
      </c>
      <c r="Q44" s="11" t="str">
        <f t="shared" si="3"/>
        <v/>
      </c>
      <c r="R44" s="612"/>
      <c r="S44" s="612"/>
      <c r="T44" s="612"/>
      <c r="U44" s="29"/>
    </row>
    <row r="45" spans="2:21" ht="19.899999999999999" customHeight="1" thickBot="1" x14ac:dyDescent="0.3">
      <c r="B45" s="30"/>
      <c r="C45" s="31"/>
      <c r="D45" s="32"/>
      <c r="E45" s="33"/>
      <c r="F45" s="32"/>
      <c r="G45" s="33"/>
      <c r="H45" s="31"/>
      <c r="I45" s="12"/>
      <c r="J45" s="111"/>
      <c r="K45" s="12"/>
      <c r="L45" s="12"/>
      <c r="M45" s="32"/>
      <c r="N45" s="33"/>
      <c r="O45" s="12"/>
      <c r="P45" s="12" t="str">
        <f t="shared" si="1"/>
        <v/>
      </c>
      <c r="Q45" s="12" t="str">
        <f t="shared" si="3"/>
        <v/>
      </c>
      <c r="R45" s="634"/>
      <c r="S45" s="634"/>
      <c r="T45" s="634"/>
      <c r="U45" s="34"/>
    </row>
    <row r="46" spans="2:21" ht="19.899999999999999" customHeight="1" thickTop="1" x14ac:dyDescent="0.25"/>
  </sheetData>
  <mergeCells count="82">
    <mergeCell ref="R43:T43"/>
    <mergeCell ref="R44:T44"/>
    <mergeCell ref="R45:T45"/>
    <mergeCell ref="J2:U2"/>
    <mergeCell ref="J3:U3"/>
    <mergeCell ref="J4:U4"/>
    <mergeCell ref="J5:U5"/>
    <mergeCell ref="J6:U6"/>
    <mergeCell ref="J7:U7"/>
    <mergeCell ref="J8:U8"/>
    <mergeCell ref="R39:T39"/>
    <mergeCell ref="R40:T40"/>
    <mergeCell ref="R41:T41"/>
    <mergeCell ref="R42:T42"/>
    <mergeCell ref="R33:T33"/>
    <mergeCell ref="R34:T34"/>
    <mergeCell ref="R35:T35"/>
    <mergeCell ref="R36:T36"/>
    <mergeCell ref="R37:T37"/>
    <mergeCell ref="R38:T38"/>
    <mergeCell ref="R27:T27"/>
    <mergeCell ref="R28:T28"/>
    <mergeCell ref="R29:T29"/>
    <mergeCell ref="R30:T30"/>
    <mergeCell ref="R31:T31"/>
    <mergeCell ref="R32:T32"/>
    <mergeCell ref="W15:X15"/>
    <mergeCell ref="R17:T17"/>
    <mergeCell ref="R18:T18"/>
    <mergeCell ref="R19:T19"/>
    <mergeCell ref="R20:T20"/>
    <mergeCell ref="R15:T16"/>
    <mergeCell ref="M15:N15"/>
    <mergeCell ref="P15:P16"/>
    <mergeCell ref="Q15:Q16"/>
    <mergeCell ref="R26:T26"/>
    <mergeCell ref="U15:U16"/>
    <mergeCell ref="R21:T21"/>
    <mergeCell ref="R22:T22"/>
    <mergeCell ref="R23:T23"/>
    <mergeCell ref="R24:T24"/>
    <mergeCell ref="R25:T25"/>
    <mergeCell ref="I15:I16"/>
    <mergeCell ref="B11:F11"/>
    <mergeCell ref="G11:U11"/>
    <mergeCell ref="C12:F12"/>
    <mergeCell ref="H12:R12"/>
    <mergeCell ref="T12:U12"/>
    <mergeCell ref="C13:F13"/>
    <mergeCell ref="H13:R13"/>
    <mergeCell ref="T13:U13"/>
    <mergeCell ref="B15:B16"/>
    <mergeCell ref="C15:C16"/>
    <mergeCell ref="D15:E15"/>
    <mergeCell ref="F15:G15"/>
    <mergeCell ref="H15:H16"/>
    <mergeCell ref="J15:J16"/>
    <mergeCell ref="L15:L16"/>
    <mergeCell ref="J9:U9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4:D4"/>
    <mergeCell ref="E4:F4"/>
    <mergeCell ref="G4:H4"/>
    <mergeCell ref="B5:D5"/>
    <mergeCell ref="E5:F5"/>
    <mergeCell ref="G5:H5"/>
    <mergeCell ref="B2:D3"/>
    <mergeCell ref="E2:H2"/>
    <mergeCell ref="W2:X2"/>
    <mergeCell ref="E3:F3"/>
    <mergeCell ref="G3:H3"/>
  </mergeCells>
  <conditionalFormatting sqref="B17:R45">
    <cfRule type="containsBlanks" dxfId="57" priority="1">
      <formula>LEN(TRIM(B17))=0</formula>
    </cfRule>
  </conditionalFormatting>
  <conditionalFormatting sqref="U17:U45">
    <cfRule type="containsBlanks" dxfId="56" priority="4">
      <formula>LEN(TRIM(U17))=0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59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7F91-65FD-4B0F-B5F4-0760BB33FA80}">
  <sheetPr>
    <pageSetUpPr fitToPage="1"/>
  </sheetPr>
  <dimension ref="B1:AB51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9" width="12.7109375" style="3" customWidth="1"/>
    <col min="20" max="20" width="20.7109375" style="3" customWidth="1"/>
    <col min="21" max="22" width="10.7109375" style="3" customWidth="1"/>
    <col min="23" max="16384" width="10.7109375" style="3"/>
  </cols>
  <sheetData>
    <row r="1" spans="2:26" ht="19.899999999999999" customHeight="1" thickBot="1" x14ac:dyDescent="0.3"/>
    <row r="2" spans="2:26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3"/>
      <c r="Y2" s="611" t="s">
        <v>294</v>
      </c>
      <c r="Z2" s="611"/>
    </row>
    <row r="3" spans="2:26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>
        <f>E4/Q17</f>
        <v>27.965635593220341</v>
      </c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5"/>
      <c r="Y3" s="36"/>
      <c r="Z3" s="36"/>
    </row>
    <row r="4" spans="2:26" ht="15" customHeight="1" x14ac:dyDescent="0.25">
      <c r="B4" s="647" t="s">
        <v>296</v>
      </c>
      <c r="C4" s="648"/>
      <c r="D4" s="648"/>
      <c r="E4" s="653">
        <f>IF($G$13="","",VLOOKUP($G$13,RESUMO!$C:$G,5,FALSE))</f>
        <v>6599.89</v>
      </c>
      <c r="F4" s="653"/>
      <c r="G4" s="640">
        <f t="shared" ref="G4:G9" si="0">E4*$V$13</f>
        <v>5213.91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5"/>
      <c r="Y4" s="36"/>
      <c r="Z4" s="36"/>
    </row>
    <row r="5" spans="2:26" ht="15" customHeight="1" x14ac:dyDescent="0.25">
      <c r="B5" s="649" t="s">
        <v>297</v>
      </c>
      <c r="C5" s="650"/>
      <c r="D5" s="650"/>
      <c r="E5" s="654">
        <f>SUMIFS(R:R,W:W,"&lt;&gt;")</f>
        <v>6599.8866696516998</v>
      </c>
      <c r="F5" s="654"/>
      <c r="G5" s="642">
        <f t="shared" si="0"/>
        <v>5213.9073690264067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  <c r="V5" s="614"/>
      <c r="W5" s="615"/>
      <c r="Y5" s="36"/>
      <c r="Z5" s="36"/>
    </row>
    <row r="6" spans="2:26" ht="15" customHeight="1" x14ac:dyDescent="0.25">
      <c r="B6" s="649" t="s">
        <v>298</v>
      </c>
      <c r="C6" s="650"/>
      <c r="D6" s="650"/>
      <c r="E6" s="654">
        <f>E5-E9</f>
        <v>6599.8866696516998</v>
      </c>
      <c r="F6" s="654"/>
      <c r="G6" s="642">
        <f t="shared" si="0"/>
        <v>5213.9073690264067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4"/>
      <c r="T6" s="614"/>
      <c r="U6" s="614"/>
      <c r="V6" s="614"/>
      <c r="W6" s="615"/>
    </row>
    <row r="7" spans="2:26" ht="15" customHeight="1" x14ac:dyDescent="0.25">
      <c r="B7" s="649" t="s">
        <v>299</v>
      </c>
      <c r="C7" s="650"/>
      <c r="D7" s="650"/>
      <c r="E7" s="644">
        <f>E4-E5</f>
        <v>3.3303483005511225E-3</v>
      </c>
      <c r="F7" s="645"/>
      <c r="G7" s="642">
        <f t="shared" si="0"/>
        <v>2.6309735931548104E-3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4"/>
      <c r="T7" s="614"/>
      <c r="U7" s="614"/>
      <c r="V7" s="614"/>
      <c r="W7" s="615"/>
    </row>
    <row r="8" spans="2:26" ht="15" customHeight="1" x14ac:dyDescent="0.25">
      <c r="B8" s="655" t="s">
        <v>300</v>
      </c>
      <c r="C8" s="656"/>
      <c r="D8" s="656"/>
      <c r="E8" s="657">
        <f>SUM(R:R)-E5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4"/>
      <c r="T8" s="614"/>
      <c r="U8" s="614"/>
      <c r="V8" s="614"/>
      <c r="W8" s="615"/>
    </row>
    <row r="9" spans="2:26" ht="15" customHeight="1" thickBot="1" x14ac:dyDescent="0.3">
      <c r="B9" s="651" t="s">
        <v>301</v>
      </c>
      <c r="C9" s="652"/>
      <c r="D9" s="652"/>
      <c r="E9" s="646">
        <f>SUMIF(W:W,CAPA!$I$2,R:R)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7"/>
      <c r="T9" s="617"/>
      <c r="U9" s="617"/>
      <c r="V9" s="617"/>
      <c r="W9" s="618"/>
    </row>
    <row r="10" spans="2:26" ht="10.15" customHeight="1" thickTop="1" thickBot="1" x14ac:dyDescent="0.3"/>
    <row r="11" spans="2:26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5"/>
      <c r="U11" s="625"/>
      <c r="V11" s="625"/>
      <c r="W11" s="626"/>
    </row>
    <row r="12" spans="2:26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619"/>
      <c r="R12" s="619"/>
      <c r="S12" s="619"/>
      <c r="T12" s="619"/>
      <c r="U12" s="14" t="s">
        <v>303</v>
      </c>
      <c r="V12" s="619" t="s">
        <v>304</v>
      </c>
      <c r="W12" s="620"/>
    </row>
    <row r="13" spans="2:26" s="8" customFormat="1" ht="30" customHeight="1" thickBot="1" x14ac:dyDescent="0.3">
      <c r="B13" s="15" t="str">
        <f>RESUMO!C56</f>
        <v>C.3.6</v>
      </c>
      <c r="C13" s="623" t="str">
        <f>IF($B$13="","",VLOOKUP($B$13,RESUMO!$C:$F,2,FALSE))</f>
        <v>Transporte com caminhão basculante de 14 m³ - rodovia pavimentada  - Materiais Betuminosos</v>
      </c>
      <c r="D13" s="623"/>
      <c r="E13" s="623"/>
      <c r="F13" s="662"/>
      <c r="G13" s="16" t="str">
        <f>RESUMO!C56</f>
        <v>C.3.6</v>
      </c>
      <c r="H13" s="623" t="str">
        <f>IF($G$13="","",VLOOKUP($G$13,RESUMO!$C:$F,2,FALSE))</f>
        <v>Transporte com caminhão basculante de 14 m³ - rodovia pavimentada  - Materiais Betuminosos</v>
      </c>
      <c r="I13" s="623"/>
      <c r="J13" s="623"/>
      <c r="K13" s="623"/>
      <c r="L13" s="623"/>
      <c r="M13" s="623"/>
      <c r="N13" s="623"/>
      <c r="O13" s="623"/>
      <c r="P13" s="623"/>
      <c r="Q13" s="623"/>
      <c r="R13" s="623"/>
      <c r="S13" s="623"/>
      <c r="T13" s="623"/>
      <c r="U13" s="17" t="str">
        <f>IF($G$13="","",VLOOKUP($G$13,RESUMO!$C:$F,3,FALSE))</f>
        <v>T x Km</v>
      </c>
      <c r="V13" s="621">
        <f>IF($G$13="","",VLOOKUP($G$13,RESUMO!$C:$F,4,FALSE))</f>
        <v>0.78999953029520187</v>
      </c>
      <c r="W13" s="622"/>
    </row>
    <row r="14" spans="2:26" ht="10.15" customHeight="1" thickTop="1" thickBot="1" x14ac:dyDescent="0.3"/>
    <row r="15" spans="2:26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672" t="s">
        <v>327</v>
      </c>
      <c r="K15" s="9" t="s">
        <v>354</v>
      </c>
      <c r="L15" s="9" t="s">
        <v>378</v>
      </c>
      <c r="M15" s="9" t="s">
        <v>379</v>
      </c>
      <c r="N15" s="627" t="s">
        <v>380</v>
      </c>
      <c r="O15" s="627" t="s">
        <v>328</v>
      </c>
      <c r="P15" s="627"/>
      <c r="Q15" s="9" t="s">
        <v>331</v>
      </c>
      <c r="R15" s="627" t="s">
        <v>310</v>
      </c>
      <c r="S15" s="627" t="s">
        <v>311</v>
      </c>
      <c r="T15" s="627" t="s">
        <v>312</v>
      </c>
      <c r="U15" s="627"/>
      <c r="V15" s="627"/>
      <c r="W15" s="629" t="s">
        <v>27</v>
      </c>
      <c r="Y15" s="611" t="s">
        <v>313</v>
      </c>
      <c r="Z15" s="611"/>
    </row>
    <row r="16" spans="2:26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73"/>
      <c r="K16" s="10" t="s">
        <v>368</v>
      </c>
      <c r="L16" s="10" t="s">
        <v>368</v>
      </c>
      <c r="M16" s="10" t="s">
        <v>368</v>
      </c>
      <c r="N16" s="628"/>
      <c r="O16" s="10" t="s">
        <v>314</v>
      </c>
      <c r="P16" s="10" t="s">
        <v>315</v>
      </c>
      <c r="Q16" s="10" t="s">
        <v>335</v>
      </c>
      <c r="R16" s="628"/>
      <c r="S16" s="628"/>
      <c r="T16" s="628"/>
      <c r="U16" s="628"/>
      <c r="V16" s="628"/>
      <c r="W16" s="630"/>
      <c r="Y16" s="35" t="s">
        <v>269</v>
      </c>
      <c r="Z16" s="35" t="s">
        <v>47</v>
      </c>
    </row>
    <row r="17" spans="2:28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306</v>
      </c>
      <c r="I17" s="23" t="s">
        <v>341</v>
      </c>
      <c r="J17" s="109" t="s">
        <v>381</v>
      </c>
      <c r="K17" s="23"/>
      <c r="L17" s="23">
        <v>0.45768817867499934</v>
      </c>
      <c r="M17" s="23">
        <v>19.276933302900002</v>
      </c>
      <c r="N17" s="23" t="s">
        <v>362</v>
      </c>
      <c r="O17" s="21"/>
      <c r="P17" s="22"/>
      <c r="Q17" s="23">
        <v>236</v>
      </c>
      <c r="R17" s="23">
        <f>SUM(K17:M17)*Q17</f>
        <v>4657.3706696517002</v>
      </c>
      <c r="S17" s="23">
        <f>IF(OR(B17="",R17=""),"",IF(AND(S16="",W17=""),S16,SUM(R17,S16)))</f>
        <v>4657.3706696517002</v>
      </c>
      <c r="T17" s="635" t="s">
        <v>382</v>
      </c>
      <c r="U17" s="635"/>
      <c r="V17" s="635"/>
      <c r="W17" s="29">
        <v>1</v>
      </c>
      <c r="Y17" s="84" t="s">
        <v>125</v>
      </c>
      <c r="Z17" s="83" t="str">
        <f>IF($Y17="","",VLOOKUP($Y17,RESUMO!$C:$D,2,FALSE))</f>
        <v>CBUQ  Faixa C/D c/ DOP ou polímero similar</v>
      </c>
      <c r="AB17" s="85" t="str">
        <f>HYPERLINK("#"&amp;"'"&amp;Y17&amp;"'"&amp;"!A1","LINK")</f>
        <v>LINK</v>
      </c>
    </row>
    <row r="18" spans="2:28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341</v>
      </c>
      <c r="J18" s="110" t="s">
        <v>381</v>
      </c>
      <c r="K18" s="11">
        <v>3.2829999999999999</v>
      </c>
      <c r="L18" s="11">
        <v>1.887</v>
      </c>
      <c r="M18" s="11">
        <v>3.0609999999999999</v>
      </c>
      <c r="N18" s="11" t="s">
        <v>362</v>
      </c>
      <c r="O18" s="27"/>
      <c r="P18" s="28"/>
      <c r="Q18" s="11">
        <v>236</v>
      </c>
      <c r="R18" s="11">
        <f>SUM(K18:M18)*Q18</f>
        <v>1942.5160000000001</v>
      </c>
      <c r="S18" s="11">
        <f>IF(D18="","",IF(OR(S17="",W18=""),S17,SUM(R18,S17)))</f>
        <v>6599.8866696516998</v>
      </c>
      <c r="T18" s="612" t="s">
        <v>383</v>
      </c>
      <c r="U18" s="612"/>
      <c r="V18" s="612"/>
      <c r="W18" s="29">
        <v>1</v>
      </c>
      <c r="Y18" s="84" t="s">
        <v>132</v>
      </c>
      <c r="Z18" s="83" t="str">
        <f>IF($Y18="","",VLOOKUP($Y18,RESUMO!$C:$D,2,FALSE))</f>
        <v>Fornecimento de emulsão asfáltica tipo RR-1C</v>
      </c>
      <c r="AB18" s="85" t="str">
        <f t="shared" ref="AB18:AB22" si="1">HYPERLINK("#"&amp;"'"&amp;Y18&amp;"'"&amp;"!A1","LINK")</f>
        <v>LINK</v>
      </c>
    </row>
    <row r="19" spans="2:28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0"/>
      <c r="K19" s="11"/>
      <c r="L19" s="11"/>
      <c r="M19" s="11"/>
      <c r="N19" s="11"/>
      <c r="O19" s="27"/>
      <c r="P19" s="28"/>
      <c r="Q19" s="11"/>
      <c r="R19" s="11" t="str">
        <f t="shared" ref="R19:R50" si="2">IF(K19="","",SUM(K19,L19,M19)*Q19)</f>
        <v/>
      </c>
      <c r="S19" s="11" t="str">
        <f t="shared" ref="S19:S50" si="3">IF(D19="","",IF(OR(S18="",W19=""),S18,SUM(R19,S18)))</f>
        <v/>
      </c>
      <c r="T19" s="669"/>
      <c r="U19" s="670"/>
      <c r="V19" s="671"/>
      <c r="W19" s="29"/>
      <c r="Y19" s="84" t="s">
        <v>134</v>
      </c>
      <c r="Z19" s="83" t="str">
        <f>IF($Y19="","",VLOOKUP($Y19,RESUMO!$C:$D,2,FALSE))</f>
        <v>Fornecimento de CAP modificado com adição de polímero</v>
      </c>
      <c r="AB19" s="85" t="str">
        <f t="shared" si="1"/>
        <v>LINK</v>
      </c>
    </row>
    <row r="20" spans="2:28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0"/>
      <c r="K20" s="11"/>
      <c r="L20" s="11"/>
      <c r="M20" s="11"/>
      <c r="N20" s="11"/>
      <c r="O20" s="27"/>
      <c r="P20" s="28"/>
      <c r="Q20" s="11"/>
      <c r="R20" s="11" t="str">
        <f t="shared" si="2"/>
        <v/>
      </c>
      <c r="S20" s="11" t="str">
        <f t="shared" si="3"/>
        <v/>
      </c>
      <c r="T20" s="669"/>
      <c r="U20" s="670"/>
      <c r="V20" s="671"/>
      <c r="W20" s="29"/>
      <c r="Y20" s="84" t="s">
        <v>136</v>
      </c>
      <c r="Z20" s="83" t="str">
        <f>IF($Y20="","",VLOOKUP($Y20,RESUMO!$C:$D,2,FALSE))</f>
        <v>Transporte com caminhão basculante de 14 m³ - rodovia pavimentada  - Agregados</v>
      </c>
      <c r="AB20" s="85" t="str">
        <f t="shared" si="1"/>
        <v>LINK</v>
      </c>
    </row>
    <row r="21" spans="2:28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0"/>
      <c r="K21" s="11"/>
      <c r="L21" s="11"/>
      <c r="M21" s="11"/>
      <c r="N21" s="11"/>
      <c r="O21" s="27"/>
      <c r="P21" s="28"/>
      <c r="Q21" s="11"/>
      <c r="R21" s="11" t="str">
        <f t="shared" si="2"/>
        <v/>
      </c>
      <c r="S21" s="11" t="str">
        <f t="shared" si="3"/>
        <v/>
      </c>
      <c r="T21" s="669"/>
      <c r="U21" s="670"/>
      <c r="V21" s="671"/>
      <c r="W21" s="29"/>
      <c r="Y21" s="84" t="s">
        <v>138</v>
      </c>
      <c r="Z21" s="83" t="str">
        <f>IF($Y21="","",VLOOKUP($Y21,RESUMO!$C:$D,2,FALSE))</f>
        <v>Transporte com caminhão basculante de 14 m³ - rodovia pavimentada  - Massa Asfaltica</v>
      </c>
      <c r="AB21" s="85" t="str">
        <f t="shared" si="1"/>
        <v>LINK</v>
      </c>
    </row>
    <row r="22" spans="2:28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0"/>
      <c r="K22" s="11"/>
      <c r="L22" s="11"/>
      <c r="M22" s="11"/>
      <c r="N22" s="11"/>
      <c r="O22" s="27"/>
      <c r="P22" s="28"/>
      <c r="Q22" s="11"/>
      <c r="R22" s="11" t="str">
        <f t="shared" si="2"/>
        <v/>
      </c>
      <c r="S22" s="11" t="str">
        <f t="shared" si="3"/>
        <v/>
      </c>
      <c r="T22" s="669"/>
      <c r="U22" s="670"/>
      <c r="V22" s="671"/>
      <c r="W22" s="29"/>
      <c r="Y22" s="84" t="s">
        <v>140</v>
      </c>
      <c r="Z22" s="83" t="str">
        <f>IF($Y22="","",VLOOKUP($Y22,RESUMO!$C:$D,2,FALSE))</f>
        <v>Transporte com caminhão basculante de 14 m³ - rodovia pavimentada  - Materiais Betuminosos</v>
      </c>
      <c r="AB22" s="85" t="str">
        <f t="shared" si="1"/>
        <v>LINK</v>
      </c>
    </row>
    <row r="23" spans="2:28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0"/>
      <c r="K23" s="11"/>
      <c r="L23" s="11"/>
      <c r="M23" s="11"/>
      <c r="N23" s="11"/>
      <c r="O23" s="27"/>
      <c r="P23" s="28"/>
      <c r="Q23" s="11"/>
      <c r="R23" s="11" t="str">
        <f t="shared" si="2"/>
        <v/>
      </c>
      <c r="S23" s="11" t="str">
        <f t="shared" si="3"/>
        <v/>
      </c>
      <c r="T23" s="612"/>
      <c r="U23" s="612"/>
      <c r="V23" s="612"/>
      <c r="W23" s="29"/>
    </row>
    <row r="24" spans="2:28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0"/>
      <c r="K24" s="11"/>
      <c r="L24" s="11"/>
      <c r="M24" s="11"/>
      <c r="N24" s="11"/>
      <c r="O24" s="27"/>
      <c r="P24" s="28"/>
      <c r="Q24" s="11"/>
      <c r="R24" s="11" t="str">
        <f t="shared" si="2"/>
        <v/>
      </c>
      <c r="S24" s="11" t="str">
        <f t="shared" si="3"/>
        <v/>
      </c>
      <c r="T24" s="612"/>
      <c r="U24" s="612"/>
      <c r="V24" s="612"/>
      <c r="W24" s="29"/>
    </row>
    <row r="25" spans="2:28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0"/>
      <c r="K25" s="11"/>
      <c r="L25" s="11"/>
      <c r="M25" s="11"/>
      <c r="N25" s="11"/>
      <c r="O25" s="27"/>
      <c r="P25" s="28"/>
      <c r="Q25" s="11"/>
      <c r="R25" s="11" t="str">
        <f t="shared" si="2"/>
        <v/>
      </c>
      <c r="S25" s="11" t="str">
        <f t="shared" si="3"/>
        <v/>
      </c>
      <c r="T25" s="612"/>
      <c r="U25" s="612"/>
      <c r="V25" s="612"/>
      <c r="W25" s="29"/>
    </row>
    <row r="26" spans="2:28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0"/>
      <c r="K26" s="11"/>
      <c r="L26" s="11"/>
      <c r="M26" s="11"/>
      <c r="N26" s="11"/>
      <c r="O26" s="27"/>
      <c r="P26" s="28"/>
      <c r="Q26" s="11"/>
      <c r="R26" s="11" t="str">
        <f t="shared" si="2"/>
        <v/>
      </c>
      <c r="S26" s="11" t="str">
        <f t="shared" si="3"/>
        <v/>
      </c>
      <c r="T26" s="612"/>
      <c r="U26" s="612"/>
      <c r="V26" s="612"/>
      <c r="W26" s="29"/>
    </row>
    <row r="27" spans="2:28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0"/>
      <c r="K27" s="11"/>
      <c r="L27" s="11"/>
      <c r="M27" s="11"/>
      <c r="N27" s="11"/>
      <c r="O27" s="27"/>
      <c r="P27" s="28"/>
      <c r="Q27" s="11"/>
      <c r="R27" s="11" t="str">
        <f t="shared" si="2"/>
        <v/>
      </c>
      <c r="S27" s="11" t="str">
        <f t="shared" si="3"/>
        <v/>
      </c>
      <c r="T27" s="612"/>
      <c r="U27" s="612"/>
      <c r="V27" s="612"/>
      <c r="W27" s="29"/>
    </row>
    <row r="28" spans="2:28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0"/>
      <c r="K28" s="11"/>
      <c r="L28" s="11"/>
      <c r="M28" s="11"/>
      <c r="N28" s="11"/>
      <c r="O28" s="27"/>
      <c r="P28" s="28"/>
      <c r="Q28" s="11"/>
      <c r="R28" s="11" t="str">
        <f t="shared" si="2"/>
        <v/>
      </c>
      <c r="S28" s="11" t="str">
        <f t="shared" si="3"/>
        <v/>
      </c>
      <c r="T28" s="612"/>
      <c r="U28" s="612"/>
      <c r="V28" s="612"/>
      <c r="W28" s="29"/>
    </row>
    <row r="29" spans="2:28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0"/>
      <c r="K29" s="11"/>
      <c r="L29" s="11"/>
      <c r="M29" s="11"/>
      <c r="N29" s="11"/>
      <c r="O29" s="27"/>
      <c r="P29" s="28"/>
      <c r="Q29" s="11"/>
      <c r="R29" s="11" t="str">
        <f t="shared" si="2"/>
        <v/>
      </c>
      <c r="S29" s="11" t="str">
        <f t="shared" si="3"/>
        <v/>
      </c>
      <c r="T29" s="612"/>
      <c r="U29" s="612"/>
      <c r="V29" s="612"/>
      <c r="W29" s="29"/>
    </row>
    <row r="30" spans="2:28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0"/>
      <c r="K30" s="11"/>
      <c r="L30" s="11"/>
      <c r="M30" s="11"/>
      <c r="N30" s="11"/>
      <c r="O30" s="27"/>
      <c r="P30" s="28"/>
      <c r="Q30" s="11"/>
      <c r="R30" s="11" t="str">
        <f t="shared" si="2"/>
        <v/>
      </c>
      <c r="S30" s="11" t="str">
        <f t="shared" si="3"/>
        <v/>
      </c>
      <c r="T30" s="612"/>
      <c r="U30" s="612"/>
      <c r="V30" s="612"/>
      <c r="W30" s="29"/>
    </row>
    <row r="31" spans="2:28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0"/>
      <c r="K31" s="11"/>
      <c r="L31" s="11"/>
      <c r="M31" s="11"/>
      <c r="N31" s="11"/>
      <c r="O31" s="27"/>
      <c r="P31" s="28"/>
      <c r="Q31" s="11"/>
      <c r="R31" s="11" t="str">
        <f t="shared" ref="R31:R40" si="4">IF(K31="","",SUM(K31,L31,M31)*Q31)</f>
        <v/>
      </c>
      <c r="S31" s="11" t="str">
        <f t="shared" si="3"/>
        <v/>
      </c>
      <c r="T31" s="612"/>
      <c r="U31" s="612"/>
      <c r="V31" s="612"/>
      <c r="W31" s="29"/>
    </row>
    <row r="32" spans="2:28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0"/>
      <c r="K32" s="11"/>
      <c r="L32" s="11"/>
      <c r="M32" s="11"/>
      <c r="N32" s="11"/>
      <c r="O32" s="27"/>
      <c r="P32" s="28"/>
      <c r="Q32" s="11"/>
      <c r="R32" s="11" t="str">
        <f t="shared" si="4"/>
        <v/>
      </c>
      <c r="S32" s="11" t="str">
        <f t="shared" si="3"/>
        <v/>
      </c>
      <c r="T32" s="612"/>
      <c r="U32" s="612"/>
      <c r="V32" s="612"/>
      <c r="W32" s="29"/>
    </row>
    <row r="33" spans="2:23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0"/>
      <c r="K33" s="11"/>
      <c r="L33" s="11"/>
      <c r="M33" s="11"/>
      <c r="N33" s="11"/>
      <c r="O33" s="27"/>
      <c r="P33" s="28"/>
      <c r="Q33" s="11"/>
      <c r="R33" s="11" t="str">
        <f t="shared" si="4"/>
        <v/>
      </c>
      <c r="S33" s="11" t="str">
        <f t="shared" si="3"/>
        <v/>
      </c>
      <c r="T33" s="612"/>
      <c r="U33" s="612"/>
      <c r="V33" s="612"/>
      <c r="W33" s="29"/>
    </row>
    <row r="34" spans="2:23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0"/>
      <c r="K34" s="11"/>
      <c r="L34" s="11"/>
      <c r="M34" s="11"/>
      <c r="N34" s="11"/>
      <c r="O34" s="27"/>
      <c r="P34" s="28"/>
      <c r="Q34" s="11"/>
      <c r="R34" s="11" t="str">
        <f t="shared" si="4"/>
        <v/>
      </c>
      <c r="S34" s="11" t="str">
        <f t="shared" si="3"/>
        <v/>
      </c>
      <c r="T34" s="612"/>
      <c r="U34" s="612"/>
      <c r="V34" s="612"/>
      <c r="W34" s="29"/>
    </row>
    <row r="35" spans="2:23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0"/>
      <c r="K35" s="11"/>
      <c r="L35" s="11"/>
      <c r="M35" s="11"/>
      <c r="N35" s="11"/>
      <c r="O35" s="27"/>
      <c r="P35" s="28"/>
      <c r="Q35" s="11"/>
      <c r="R35" s="11" t="str">
        <f t="shared" si="4"/>
        <v/>
      </c>
      <c r="S35" s="11" t="str">
        <f t="shared" si="3"/>
        <v/>
      </c>
      <c r="T35" s="612"/>
      <c r="U35" s="612"/>
      <c r="V35" s="612"/>
      <c r="W35" s="29"/>
    </row>
    <row r="36" spans="2:23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0"/>
      <c r="K36" s="11"/>
      <c r="L36" s="11"/>
      <c r="M36" s="11"/>
      <c r="N36" s="11"/>
      <c r="O36" s="27"/>
      <c r="P36" s="28"/>
      <c r="Q36" s="11"/>
      <c r="R36" s="11" t="str">
        <f t="shared" si="4"/>
        <v/>
      </c>
      <c r="S36" s="11" t="str">
        <f t="shared" si="3"/>
        <v/>
      </c>
      <c r="T36" s="612"/>
      <c r="U36" s="612"/>
      <c r="V36" s="612"/>
      <c r="W36" s="29"/>
    </row>
    <row r="37" spans="2:23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0"/>
      <c r="K37" s="11"/>
      <c r="L37" s="11"/>
      <c r="M37" s="11"/>
      <c r="N37" s="11"/>
      <c r="O37" s="27"/>
      <c r="P37" s="28"/>
      <c r="Q37" s="11"/>
      <c r="R37" s="11" t="str">
        <f t="shared" si="4"/>
        <v/>
      </c>
      <c r="S37" s="11" t="str">
        <f t="shared" si="3"/>
        <v/>
      </c>
      <c r="T37" s="612"/>
      <c r="U37" s="612"/>
      <c r="V37" s="612"/>
      <c r="W37" s="29"/>
    </row>
    <row r="38" spans="2:23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0"/>
      <c r="K38" s="11"/>
      <c r="L38" s="11"/>
      <c r="M38" s="11"/>
      <c r="N38" s="11"/>
      <c r="O38" s="27"/>
      <c r="P38" s="28"/>
      <c r="Q38" s="11"/>
      <c r="R38" s="11" t="str">
        <f t="shared" si="4"/>
        <v/>
      </c>
      <c r="S38" s="11" t="str">
        <f t="shared" si="3"/>
        <v/>
      </c>
      <c r="T38" s="612"/>
      <c r="U38" s="612"/>
      <c r="V38" s="612"/>
      <c r="W38" s="29"/>
    </row>
    <row r="39" spans="2:23" ht="19.899999999999999" customHeight="1" x14ac:dyDescent="0.25">
      <c r="B39" s="25"/>
      <c r="C39" s="26"/>
      <c r="D39" s="27"/>
      <c r="E39" s="28"/>
      <c r="F39" s="27"/>
      <c r="G39" s="28"/>
      <c r="H39" s="26"/>
      <c r="I39" s="11"/>
      <c r="J39" s="110"/>
      <c r="K39" s="11"/>
      <c r="L39" s="11"/>
      <c r="M39" s="11"/>
      <c r="N39" s="11"/>
      <c r="O39" s="27"/>
      <c r="P39" s="28"/>
      <c r="Q39" s="11"/>
      <c r="R39" s="11" t="str">
        <f t="shared" si="4"/>
        <v/>
      </c>
      <c r="S39" s="11" t="str">
        <f t="shared" si="3"/>
        <v/>
      </c>
      <c r="T39" s="612"/>
      <c r="U39" s="612"/>
      <c r="V39" s="612"/>
      <c r="W39" s="29"/>
    </row>
    <row r="40" spans="2:23" ht="19.899999999999999" customHeight="1" x14ac:dyDescent="0.25">
      <c r="B40" s="25"/>
      <c r="C40" s="26"/>
      <c r="D40" s="27"/>
      <c r="E40" s="28"/>
      <c r="F40" s="27"/>
      <c r="G40" s="28"/>
      <c r="H40" s="26"/>
      <c r="I40" s="11"/>
      <c r="J40" s="110"/>
      <c r="K40" s="11"/>
      <c r="L40" s="11"/>
      <c r="M40" s="11"/>
      <c r="N40" s="11"/>
      <c r="O40" s="27"/>
      <c r="P40" s="28"/>
      <c r="Q40" s="11"/>
      <c r="R40" s="11" t="str">
        <f t="shared" si="4"/>
        <v/>
      </c>
      <c r="S40" s="11" t="str">
        <f t="shared" si="3"/>
        <v/>
      </c>
      <c r="T40" s="612"/>
      <c r="U40" s="612"/>
      <c r="V40" s="612"/>
      <c r="W40" s="29"/>
    </row>
    <row r="41" spans="2:23" ht="19.899999999999999" customHeight="1" x14ac:dyDescent="0.25">
      <c r="B41" s="25"/>
      <c r="C41" s="26"/>
      <c r="D41" s="27"/>
      <c r="E41" s="28"/>
      <c r="F41" s="27"/>
      <c r="G41" s="28"/>
      <c r="H41" s="26"/>
      <c r="I41" s="11"/>
      <c r="J41" s="110"/>
      <c r="K41" s="11"/>
      <c r="L41" s="11"/>
      <c r="M41" s="11"/>
      <c r="N41" s="11"/>
      <c r="O41" s="27"/>
      <c r="P41" s="28"/>
      <c r="Q41" s="11"/>
      <c r="R41" s="11" t="str">
        <f t="shared" si="2"/>
        <v/>
      </c>
      <c r="S41" s="11" t="str">
        <f t="shared" si="3"/>
        <v/>
      </c>
      <c r="T41" s="612"/>
      <c r="U41" s="612"/>
      <c r="V41" s="612"/>
      <c r="W41" s="29"/>
    </row>
    <row r="42" spans="2:23" ht="19.899999999999999" customHeight="1" x14ac:dyDescent="0.25">
      <c r="B42" s="25"/>
      <c r="C42" s="26"/>
      <c r="D42" s="27"/>
      <c r="E42" s="28"/>
      <c r="F42" s="27"/>
      <c r="G42" s="28"/>
      <c r="H42" s="26"/>
      <c r="I42" s="11"/>
      <c r="J42" s="110"/>
      <c r="K42" s="11"/>
      <c r="L42" s="11"/>
      <c r="M42" s="11"/>
      <c r="N42" s="11"/>
      <c r="O42" s="27"/>
      <c r="P42" s="28"/>
      <c r="Q42" s="11"/>
      <c r="R42" s="11" t="str">
        <f t="shared" si="2"/>
        <v/>
      </c>
      <c r="S42" s="11" t="str">
        <f t="shared" si="3"/>
        <v/>
      </c>
      <c r="T42" s="612"/>
      <c r="U42" s="612"/>
      <c r="V42" s="612"/>
      <c r="W42" s="29"/>
    </row>
    <row r="43" spans="2:23" ht="19.899999999999999" customHeight="1" x14ac:dyDescent="0.25">
      <c r="B43" s="25"/>
      <c r="C43" s="26"/>
      <c r="D43" s="27"/>
      <c r="E43" s="28"/>
      <c r="F43" s="27"/>
      <c r="G43" s="28"/>
      <c r="H43" s="26"/>
      <c r="I43" s="11"/>
      <c r="J43" s="110"/>
      <c r="K43" s="11"/>
      <c r="L43" s="11"/>
      <c r="M43" s="11"/>
      <c r="N43" s="11"/>
      <c r="O43" s="27"/>
      <c r="P43" s="28"/>
      <c r="Q43" s="11"/>
      <c r="R43" s="11" t="str">
        <f t="shared" si="2"/>
        <v/>
      </c>
      <c r="S43" s="11" t="str">
        <f t="shared" si="3"/>
        <v/>
      </c>
      <c r="T43" s="612"/>
      <c r="U43" s="612"/>
      <c r="V43" s="612"/>
      <c r="W43" s="29"/>
    </row>
    <row r="44" spans="2:23" ht="19.899999999999999" customHeight="1" x14ac:dyDescent="0.25">
      <c r="B44" s="25"/>
      <c r="C44" s="26"/>
      <c r="D44" s="27"/>
      <c r="E44" s="28"/>
      <c r="F44" s="27"/>
      <c r="G44" s="28"/>
      <c r="H44" s="26"/>
      <c r="I44" s="11"/>
      <c r="J44" s="110"/>
      <c r="K44" s="11"/>
      <c r="L44" s="11"/>
      <c r="M44" s="11"/>
      <c r="N44" s="11"/>
      <c r="O44" s="27"/>
      <c r="P44" s="28"/>
      <c r="Q44" s="11"/>
      <c r="R44" s="11" t="str">
        <f t="shared" si="2"/>
        <v/>
      </c>
      <c r="S44" s="11" t="str">
        <f t="shared" si="3"/>
        <v/>
      </c>
      <c r="T44" s="612"/>
      <c r="U44" s="612"/>
      <c r="V44" s="612"/>
      <c r="W44" s="29"/>
    </row>
    <row r="45" spans="2:23" ht="19.899999999999999" customHeight="1" x14ac:dyDescent="0.25">
      <c r="B45" s="25"/>
      <c r="C45" s="26"/>
      <c r="D45" s="27"/>
      <c r="E45" s="28"/>
      <c r="F45" s="27"/>
      <c r="G45" s="28"/>
      <c r="H45" s="26"/>
      <c r="I45" s="11"/>
      <c r="J45" s="110"/>
      <c r="K45" s="11"/>
      <c r="L45" s="11"/>
      <c r="M45" s="11"/>
      <c r="N45" s="11"/>
      <c r="O45" s="27"/>
      <c r="P45" s="28"/>
      <c r="Q45" s="11"/>
      <c r="R45" s="11" t="str">
        <f t="shared" si="2"/>
        <v/>
      </c>
      <c r="S45" s="11" t="str">
        <f t="shared" si="3"/>
        <v/>
      </c>
      <c r="T45" s="612"/>
      <c r="U45" s="612"/>
      <c r="V45" s="612"/>
      <c r="W45" s="29"/>
    </row>
    <row r="46" spans="2:23" ht="19.899999999999999" customHeight="1" x14ac:dyDescent="0.25">
      <c r="B46" s="25"/>
      <c r="C46" s="26"/>
      <c r="D46" s="27"/>
      <c r="E46" s="28"/>
      <c r="F46" s="27"/>
      <c r="G46" s="28"/>
      <c r="H46" s="26"/>
      <c r="I46" s="11"/>
      <c r="J46" s="110"/>
      <c r="K46" s="11"/>
      <c r="L46" s="11"/>
      <c r="M46" s="11"/>
      <c r="N46" s="11"/>
      <c r="O46" s="27"/>
      <c r="P46" s="28"/>
      <c r="Q46" s="11"/>
      <c r="R46" s="11" t="str">
        <f t="shared" si="2"/>
        <v/>
      </c>
      <c r="S46" s="11" t="str">
        <f t="shared" si="3"/>
        <v/>
      </c>
      <c r="T46" s="612"/>
      <c r="U46" s="612"/>
      <c r="V46" s="612"/>
      <c r="W46" s="29"/>
    </row>
    <row r="47" spans="2:23" ht="19.899999999999999" customHeight="1" x14ac:dyDescent="0.25">
      <c r="B47" s="25"/>
      <c r="C47" s="26"/>
      <c r="D47" s="27"/>
      <c r="E47" s="28"/>
      <c r="F47" s="27"/>
      <c r="G47" s="28"/>
      <c r="H47" s="26"/>
      <c r="I47" s="11"/>
      <c r="J47" s="110"/>
      <c r="K47" s="11"/>
      <c r="L47" s="11"/>
      <c r="M47" s="11"/>
      <c r="N47" s="11"/>
      <c r="O47" s="27"/>
      <c r="P47" s="28"/>
      <c r="Q47" s="11"/>
      <c r="R47" s="11" t="str">
        <f t="shared" si="2"/>
        <v/>
      </c>
      <c r="S47" s="11" t="str">
        <f t="shared" si="3"/>
        <v/>
      </c>
      <c r="T47" s="612"/>
      <c r="U47" s="612"/>
      <c r="V47" s="612"/>
      <c r="W47" s="29"/>
    </row>
    <row r="48" spans="2:23" ht="19.899999999999999" customHeight="1" x14ac:dyDescent="0.25">
      <c r="B48" s="25"/>
      <c r="C48" s="26"/>
      <c r="D48" s="27"/>
      <c r="E48" s="28"/>
      <c r="F48" s="27"/>
      <c r="G48" s="28"/>
      <c r="H48" s="26"/>
      <c r="I48" s="11"/>
      <c r="J48" s="110"/>
      <c r="K48" s="11"/>
      <c r="L48" s="11"/>
      <c r="M48" s="11"/>
      <c r="N48" s="11"/>
      <c r="O48" s="27"/>
      <c r="P48" s="28"/>
      <c r="Q48" s="11"/>
      <c r="R48" s="11" t="str">
        <f t="shared" si="2"/>
        <v/>
      </c>
      <c r="S48" s="11" t="str">
        <f t="shared" si="3"/>
        <v/>
      </c>
      <c r="T48" s="612"/>
      <c r="U48" s="612"/>
      <c r="V48" s="612"/>
      <c r="W48" s="29"/>
    </row>
    <row r="49" spans="2:23" ht="19.899999999999999" customHeight="1" x14ac:dyDescent="0.25">
      <c r="B49" s="25"/>
      <c r="C49" s="26"/>
      <c r="D49" s="27"/>
      <c r="E49" s="28"/>
      <c r="F49" s="27"/>
      <c r="G49" s="28"/>
      <c r="H49" s="26"/>
      <c r="I49" s="11"/>
      <c r="J49" s="110"/>
      <c r="K49" s="11"/>
      <c r="L49" s="11"/>
      <c r="M49" s="11"/>
      <c r="N49" s="11"/>
      <c r="O49" s="27"/>
      <c r="P49" s="28"/>
      <c r="Q49" s="11"/>
      <c r="R49" s="11" t="str">
        <f t="shared" si="2"/>
        <v/>
      </c>
      <c r="S49" s="11" t="str">
        <f t="shared" si="3"/>
        <v/>
      </c>
      <c r="T49" s="612"/>
      <c r="U49" s="612"/>
      <c r="V49" s="612"/>
      <c r="W49" s="29"/>
    </row>
    <row r="50" spans="2:23" ht="19.899999999999999" customHeight="1" thickBot="1" x14ac:dyDescent="0.3">
      <c r="B50" s="30"/>
      <c r="C50" s="31"/>
      <c r="D50" s="32"/>
      <c r="E50" s="33"/>
      <c r="F50" s="32"/>
      <c r="G50" s="33"/>
      <c r="H50" s="31"/>
      <c r="I50" s="12"/>
      <c r="J50" s="111"/>
      <c r="K50" s="12"/>
      <c r="L50" s="12"/>
      <c r="M50" s="12"/>
      <c r="N50" s="12"/>
      <c r="O50" s="32"/>
      <c r="P50" s="33"/>
      <c r="Q50" s="12"/>
      <c r="R50" s="12" t="str">
        <f t="shared" si="2"/>
        <v/>
      </c>
      <c r="S50" s="12" t="str">
        <f t="shared" si="3"/>
        <v/>
      </c>
      <c r="T50" s="634"/>
      <c r="U50" s="634"/>
      <c r="V50" s="634"/>
      <c r="W50" s="34"/>
    </row>
    <row r="51" spans="2:23" ht="19.899999999999999" customHeight="1" thickTop="1" x14ac:dyDescent="0.25"/>
  </sheetData>
  <mergeCells count="87">
    <mergeCell ref="T50:V5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8:V48"/>
    <mergeCell ref="T49:V49"/>
    <mergeCell ref="T43:V43"/>
    <mergeCell ref="T44:V44"/>
    <mergeCell ref="T45:V45"/>
    <mergeCell ref="T46:V46"/>
    <mergeCell ref="T47:V47"/>
    <mergeCell ref="T26:V26"/>
    <mergeCell ref="T27:V27"/>
    <mergeCell ref="T28:V28"/>
    <mergeCell ref="T29:V29"/>
    <mergeCell ref="T41:V41"/>
    <mergeCell ref="T42:V42"/>
    <mergeCell ref="T40:V40"/>
    <mergeCell ref="T30:V30"/>
    <mergeCell ref="Y15:Z15"/>
    <mergeCell ref="T17:V17"/>
    <mergeCell ref="T18:V18"/>
    <mergeCell ref="T19:V19"/>
    <mergeCell ref="T15:V16"/>
    <mergeCell ref="O15:P15"/>
    <mergeCell ref="R15:R16"/>
    <mergeCell ref="S15:S16"/>
    <mergeCell ref="T25:V25"/>
    <mergeCell ref="W15:W16"/>
    <mergeCell ref="T20:V20"/>
    <mergeCell ref="T21:V21"/>
    <mergeCell ref="T22:V22"/>
    <mergeCell ref="T23:V23"/>
    <mergeCell ref="T24:V24"/>
    <mergeCell ref="I15:I16"/>
    <mergeCell ref="B11:F11"/>
    <mergeCell ref="G11:W11"/>
    <mergeCell ref="C12:F12"/>
    <mergeCell ref="H12:T12"/>
    <mergeCell ref="V12:W12"/>
    <mergeCell ref="C13:F13"/>
    <mergeCell ref="H13:T13"/>
    <mergeCell ref="V13:W13"/>
    <mergeCell ref="B15:B16"/>
    <mergeCell ref="C15:C16"/>
    <mergeCell ref="D15:E15"/>
    <mergeCell ref="F15:G15"/>
    <mergeCell ref="H15:H16"/>
    <mergeCell ref="J15:J16"/>
    <mergeCell ref="N15:N16"/>
    <mergeCell ref="B8:D8"/>
    <mergeCell ref="E8:F8"/>
    <mergeCell ref="G8:H8"/>
    <mergeCell ref="J8:W8"/>
    <mergeCell ref="B9:D9"/>
    <mergeCell ref="E9:F9"/>
    <mergeCell ref="G9:H9"/>
    <mergeCell ref="J9:W9"/>
    <mergeCell ref="B6:D6"/>
    <mergeCell ref="E6:F6"/>
    <mergeCell ref="G6:H6"/>
    <mergeCell ref="J6:W6"/>
    <mergeCell ref="B7:D7"/>
    <mergeCell ref="E7:F7"/>
    <mergeCell ref="G7:H7"/>
    <mergeCell ref="J7:W7"/>
    <mergeCell ref="B4:D4"/>
    <mergeCell ref="E4:F4"/>
    <mergeCell ref="G4:H4"/>
    <mergeCell ref="J4:W4"/>
    <mergeCell ref="B5:D5"/>
    <mergeCell ref="E5:F5"/>
    <mergeCell ref="G5:H5"/>
    <mergeCell ref="J5:W5"/>
    <mergeCell ref="B2:D3"/>
    <mergeCell ref="E2:H2"/>
    <mergeCell ref="J2:W2"/>
    <mergeCell ref="Y2:Z2"/>
    <mergeCell ref="E3:F3"/>
    <mergeCell ref="G3:H3"/>
    <mergeCell ref="J3:W3"/>
  </mergeCells>
  <conditionalFormatting sqref="B17:T50">
    <cfRule type="containsBlanks" dxfId="55" priority="1">
      <formula>LEN(TRIM(B17))=0</formula>
    </cfRule>
  </conditionalFormatting>
  <conditionalFormatting sqref="W17:W50">
    <cfRule type="containsBlanks" dxfId="54" priority="12">
      <formula>LEN(TRIM(W17))=0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53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92C7-761D-4917-B83F-7F6D67170D8F}">
  <sheetPr>
    <pageSetUpPr fitToPage="1"/>
  </sheetPr>
  <dimension ref="B1:U37"/>
  <sheetViews>
    <sheetView workbookViewId="0">
      <selection activeCell="D17" sqref="D17:E17"/>
    </sheetView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2" width="12.7109375" style="3" customWidth="1"/>
    <col min="13" max="13" width="20.7109375" style="3" customWidth="1"/>
    <col min="14" max="15" width="10.7109375" style="3" customWidth="1"/>
    <col min="16" max="16384" width="10.7109375" style="3"/>
  </cols>
  <sheetData>
    <row r="1" spans="2:19" ht="19.899999999999999" customHeight="1" thickBot="1" x14ac:dyDescent="0.3"/>
    <row r="2" spans="2:19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3"/>
      <c r="R2" s="611" t="s">
        <v>294</v>
      </c>
      <c r="S2" s="611"/>
    </row>
    <row r="3" spans="2:19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5"/>
      <c r="R3" s="36"/>
      <c r="S3" s="36"/>
    </row>
    <row r="4" spans="2:19" ht="15" customHeight="1" x14ac:dyDescent="0.25">
      <c r="B4" s="647" t="s">
        <v>296</v>
      </c>
      <c r="C4" s="648"/>
      <c r="D4" s="648"/>
      <c r="E4" s="653">
        <f>IF($G$13="","",VLOOKUP($G$13,RESUMO!$C:$G,5,FALSE))</f>
        <v>456.5</v>
      </c>
      <c r="F4" s="653"/>
      <c r="G4" s="640">
        <f t="shared" ref="G4:G9" si="0">E4*$O$13</f>
        <v>26477</v>
      </c>
      <c r="H4" s="641"/>
      <c r="J4" s="613"/>
      <c r="K4" s="614"/>
      <c r="L4" s="614"/>
      <c r="M4" s="614"/>
      <c r="N4" s="614"/>
      <c r="O4" s="614"/>
      <c r="P4" s="615"/>
      <c r="R4" s="36"/>
      <c r="S4" s="36"/>
    </row>
    <row r="5" spans="2:19" ht="15" customHeight="1" x14ac:dyDescent="0.25">
      <c r="B5" s="649" t="s">
        <v>297</v>
      </c>
      <c r="C5" s="650"/>
      <c r="D5" s="650"/>
      <c r="E5" s="654">
        <f>SUMIFS(K:K,P:P,"&lt;&gt;")</f>
        <v>285.39999999999998</v>
      </c>
      <c r="F5" s="654"/>
      <c r="G5" s="642">
        <f t="shared" si="0"/>
        <v>16553.199999999997</v>
      </c>
      <c r="H5" s="643"/>
      <c r="J5" s="613"/>
      <c r="K5" s="614"/>
      <c r="L5" s="614"/>
      <c r="M5" s="614"/>
      <c r="N5" s="614"/>
      <c r="O5" s="614"/>
      <c r="P5" s="615"/>
      <c r="R5" s="36"/>
      <c r="S5" s="36"/>
    </row>
    <row r="6" spans="2:19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5"/>
    </row>
    <row r="7" spans="2:19" ht="15" customHeight="1" x14ac:dyDescent="0.25">
      <c r="B7" s="649" t="s">
        <v>299</v>
      </c>
      <c r="C7" s="650"/>
      <c r="D7" s="650"/>
      <c r="E7" s="644">
        <f>E4-E5</f>
        <v>171.10000000000002</v>
      </c>
      <c r="F7" s="645"/>
      <c r="G7" s="642">
        <f t="shared" si="0"/>
        <v>9923.8000000000011</v>
      </c>
      <c r="H7" s="643"/>
      <c r="J7" s="613"/>
      <c r="K7" s="614"/>
      <c r="L7" s="614"/>
      <c r="M7" s="614"/>
      <c r="N7" s="614"/>
      <c r="O7" s="614"/>
      <c r="P7" s="615"/>
    </row>
    <row r="8" spans="2:19" ht="15" customHeight="1" x14ac:dyDescent="0.25">
      <c r="B8" s="655" t="s">
        <v>300</v>
      </c>
      <c r="C8" s="656"/>
      <c r="D8" s="656"/>
      <c r="E8" s="657">
        <f>SUM(K:K)-E5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5"/>
    </row>
    <row r="9" spans="2:19" ht="15" customHeight="1" thickBot="1" x14ac:dyDescent="0.3">
      <c r="B9" s="651" t="s">
        <v>301</v>
      </c>
      <c r="C9" s="652"/>
      <c r="D9" s="652"/>
      <c r="E9" s="646">
        <f>SUMIF(P:P,CAPA!$I$2,K:K)</f>
        <v>285.39999999999998</v>
      </c>
      <c r="F9" s="646"/>
      <c r="G9" s="660">
        <f t="shared" si="0"/>
        <v>16553.199999999997</v>
      </c>
      <c r="H9" s="661"/>
      <c r="J9" s="616"/>
      <c r="K9" s="617"/>
      <c r="L9" s="617"/>
      <c r="M9" s="617"/>
      <c r="N9" s="617"/>
      <c r="O9" s="617"/>
      <c r="P9" s="618"/>
    </row>
    <row r="10" spans="2:19" ht="10.15" customHeight="1" thickTop="1" thickBot="1" x14ac:dyDescent="0.3"/>
    <row r="11" spans="2:19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6"/>
    </row>
    <row r="12" spans="2:19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14" t="s">
        <v>303</v>
      </c>
      <c r="O12" s="619" t="s">
        <v>304</v>
      </c>
      <c r="P12" s="620"/>
    </row>
    <row r="13" spans="2:19" s="8" customFormat="1" ht="30" customHeight="1" thickBot="1" x14ac:dyDescent="0.3">
      <c r="B13" s="15" t="str">
        <f>RESUMO!C57</f>
        <v>C.4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RESUMO!C58</f>
        <v>C.4.1</v>
      </c>
      <c r="H13" s="623" t="str">
        <f>IF($G$13="","",VLOOKUP($G$13,RESUMO!$C:$F,2,FALSE))</f>
        <v>Sarjeta triangular de concreto - STC 88-20 - escavação mecânica - areia e brita comerciais</v>
      </c>
      <c r="I13" s="623"/>
      <c r="J13" s="623"/>
      <c r="K13" s="623"/>
      <c r="L13" s="623"/>
      <c r="M13" s="623"/>
      <c r="N13" s="17" t="str">
        <f>IF($G$13="","",VLOOKUP($G$13,RESUMO!$C:$F,3,FALSE))</f>
        <v>m</v>
      </c>
      <c r="O13" s="621">
        <f>IF($G$13="","",VLOOKUP($G$13,RESUMO!$C:$F,4,FALSE))</f>
        <v>58</v>
      </c>
      <c r="P13" s="622"/>
    </row>
    <row r="14" spans="2:19" ht="10.15" customHeight="1" thickTop="1" thickBot="1" x14ac:dyDescent="0.3"/>
    <row r="15" spans="2:19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627" t="s">
        <v>310</v>
      </c>
      <c r="L15" s="627" t="s">
        <v>311</v>
      </c>
      <c r="M15" s="627" t="s">
        <v>312</v>
      </c>
      <c r="N15" s="627"/>
      <c r="O15" s="627"/>
      <c r="P15" s="629" t="s">
        <v>27</v>
      </c>
      <c r="R15" s="611" t="s">
        <v>313</v>
      </c>
      <c r="S15" s="611"/>
    </row>
    <row r="16" spans="2:19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628"/>
      <c r="L16" s="628"/>
      <c r="M16" s="628"/>
      <c r="N16" s="628"/>
      <c r="O16" s="628"/>
      <c r="P16" s="630"/>
      <c r="R16" s="35" t="s">
        <v>269</v>
      </c>
      <c r="S16" s="35" t="s">
        <v>47</v>
      </c>
    </row>
    <row r="17" spans="2:21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338</v>
      </c>
      <c r="I17" s="23" t="s">
        <v>341</v>
      </c>
      <c r="J17" s="23">
        <f>285.4</f>
        <v>285.39999999999998</v>
      </c>
      <c r="K17" s="23">
        <f>J17</f>
        <v>285.39999999999998</v>
      </c>
      <c r="L17" s="23">
        <f>K17</f>
        <v>285.39999999999998</v>
      </c>
      <c r="M17" s="635" t="s">
        <v>326</v>
      </c>
      <c r="N17" s="635"/>
      <c r="O17" s="635"/>
      <c r="P17" s="24">
        <v>3</v>
      </c>
      <c r="R17" s="84" t="s">
        <v>72</v>
      </c>
      <c r="S17" s="83" t="str">
        <f>IF($R17="","",VLOOKUP($R17,RESUMO!$C:$D,2,FALSE))</f>
        <v>Escavação, carga e transporte de material de 1ª categoria - DMT de 800 a 1.000 m - caminho de serviço pavimentado - com escavadeira e caminhão basculante de 14 m³</v>
      </c>
      <c r="U17" s="85" t="str">
        <f>HYPERLINK("#"&amp;"'"&amp;R17&amp;"'"&amp;"!A1","LINK")</f>
        <v>LINK</v>
      </c>
    </row>
    <row r="18" spans="2:21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612"/>
      <c r="N18" s="612"/>
      <c r="O18" s="612"/>
      <c r="P18" s="29"/>
      <c r="R18" s="84" t="s">
        <v>75</v>
      </c>
      <c r="S18" s="83" t="str">
        <f>IF($R18="","",VLOOKUP($R18,RESUMO!$C:$D,2,FALSE))</f>
        <v>Escavação e carga de material de 1ª categoria - DMT acima de 3.000 m</v>
      </c>
      <c r="U18" s="85" t="str">
        <f>HYPERLINK("#"&amp;"'"&amp;R18&amp;"'"&amp;"!A1","LINK")</f>
        <v>LINK</v>
      </c>
    </row>
    <row r="19" spans="2:21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612"/>
      <c r="N19" s="612"/>
      <c r="O19" s="612"/>
      <c r="P19" s="29"/>
      <c r="R19" s="84" t="s">
        <v>80</v>
      </c>
      <c r="S19" s="83" t="str">
        <f>IF($R19="","",VLOOKUP($R19,RESUMO!$C:$D,2,FALSE))</f>
        <v>Regularização de bota-fora com espalhamento e execução de hidrossemeadura</v>
      </c>
      <c r="U19" s="85" t="str">
        <f>HYPERLINK("#"&amp;"'"&amp;R19&amp;"'"&amp;"!A1","LINK")</f>
        <v>LINK</v>
      </c>
    </row>
    <row r="20" spans="2:21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612"/>
      <c r="N20" s="612"/>
      <c r="O20" s="612"/>
      <c r="P20" s="29"/>
      <c r="R20" s="84" t="s">
        <v>82</v>
      </c>
      <c r="S20" s="83" t="str">
        <f>IF($R20="","",VLOOKUP($R20,RESUMO!$C:$D,2,FALSE))</f>
        <v>Royaltie de bota-fora</v>
      </c>
      <c r="U20" s="85" t="str">
        <f>HYPERLINK("#"&amp;"'"&amp;R20&amp;"'"&amp;"!A1","LINK")</f>
        <v>LINK</v>
      </c>
    </row>
    <row r="21" spans="2:21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612"/>
      <c r="N21" s="612"/>
      <c r="O21" s="612"/>
      <c r="P21" s="29"/>
    </row>
    <row r="22" spans="2:21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612"/>
      <c r="N22" s="612"/>
      <c r="O22" s="612"/>
      <c r="P22" s="29"/>
    </row>
    <row r="23" spans="2:21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 t="str">
        <f>IF(J23="","",J23*#REF!)</f>
        <v/>
      </c>
      <c r="L23" s="11" t="str">
        <f t="shared" ref="L23:L36" si="1">IF(B23="","",IF(OR(L22="",P23=""),L22,SUM(K23,L22)))</f>
        <v/>
      </c>
      <c r="M23" s="612"/>
      <c r="N23" s="612"/>
      <c r="O23" s="612"/>
      <c r="P23" s="29"/>
    </row>
    <row r="24" spans="2:21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 t="str">
        <f>IF(J24="","",J24*#REF!)</f>
        <v/>
      </c>
      <c r="L24" s="11" t="str">
        <f t="shared" si="1"/>
        <v/>
      </c>
      <c r="M24" s="612"/>
      <c r="N24" s="612"/>
      <c r="O24" s="612"/>
      <c r="P24" s="29"/>
    </row>
    <row r="25" spans="2:21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 t="str">
        <f>IF(J25="","",J25*#REF!)</f>
        <v/>
      </c>
      <c r="L25" s="11" t="str">
        <f t="shared" si="1"/>
        <v/>
      </c>
      <c r="M25" s="612"/>
      <c r="N25" s="612"/>
      <c r="O25" s="612"/>
      <c r="P25" s="29"/>
    </row>
    <row r="26" spans="2:21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 t="str">
        <f>IF(J26="","",J26*#REF!)</f>
        <v/>
      </c>
      <c r="L26" s="11" t="str">
        <f t="shared" si="1"/>
        <v/>
      </c>
      <c r="M26" s="612"/>
      <c r="N26" s="612"/>
      <c r="O26" s="612"/>
      <c r="P26" s="29"/>
    </row>
    <row r="27" spans="2:21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 t="str">
        <f>IF(J27="","",J27*#REF!)</f>
        <v/>
      </c>
      <c r="L27" s="11" t="str">
        <f t="shared" si="1"/>
        <v/>
      </c>
      <c r="M27" s="612"/>
      <c r="N27" s="612"/>
      <c r="O27" s="612"/>
      <c r="P27" s="29"/>
    </row>
    <row r="28" spans="2:21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 t="str">
        <f>IF(J28="","",J28*#REF!)</f>
        <v/>
      </c>
      <c r="L28" s="11" t="str">
        <f t="shared" si="1"/>
        <v/>
      </c>
      <c r="M28" s="612"/>
      <c r="N28" s="612"/>
      <c r="O28" s="612"/>
      <c r="P28" s="29"/>
    </row>
    <row r="29" spans="2:21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 t="str">
        <f>IF(J29="","",J29*#REF!)</f>
        <v/>
      </c>
      <c r="L29" s="11" t="str">
        <f t="shared" si="1"/>
        <v/>
      </c>
      <c r="M29" s="612"/>
      <c r="N29" s="612"/>
      <c r="O29" s="612"/>
      <c r="P29" s="29"/>
    </row>
    <row r="30" spans="2:21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 t="str">
        <f>IF(J30="","",J30*#REF!)</f>
        <v/>
      </c>
      <c r="L30" s="11" t="str">
        <f t="shared" si="1"/>
        <v/>
      </c>
      <c r="M30" s="612"/>
      <c r="N30" s="612"/>
      <c r="O30" s="612"/>
      <c r="P30" s="29"/>
    </row>
    <row r="31" spans="2:21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 t="str">
        <f>IF(J31="","",J31*#REF!)</f>
        <v/>
      </c>
      <c r="L31" s="11" t="str">
        <f t="shared" si="1"/>
        <v/>
      </c>
      <c r="M31" s="612"/>
      <c r="N31" s="612"/>
      <c r="O31" s="612"/>
      <c r="P31" s="29"/>
    </row>
    <row r="32" spans="2:21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 t="str">
        <f>IF(J32="","",J32*#REF!)</f>
        <v/>
      </c>
      <c r="L32" s="11" t="str">
        <f t="shared" si="1"/>
        <v/>
      </c>
      <c r="M32" s="612"/>
      <c r="N32" s="612"/>
      <c r="O32" s="612"/>
      <c r="P32" s="29"/>
    </row>
    <row r="33" spans="2:16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 t="str">
        <f>IF(J33="","",J33*#REF!)</f>
        <v/>
      </c>
      <c r="L33" s="11" t="str">
        <f t="shared" si="1"/>
        <v/>
      </c>
      <c r="M33" s="612"/>
      <c r="N33" s="612"/>
      <c r="O33" s="612"/>
      <c r="P33" s="29"/>
    </row>
    <row r="34" spans="2:16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 t="str">
        <f>IF(J34="","",J34*#REF!)</f>
        <v/>
      </c>
      <c r="L34" s="11" t="str">
        <f t="shared" si="1"/>
        <v/>
      </c>
      <c r="M34" s="612"/>
      <c r="N34" s="612"/>
      <c r="O34" s="612"/>
      <c r="P34" s="29"/>
    </row>
    <row r="35" spans="2:16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 t="str">
        <f>IF(J35="","",J35*#REF!)</f>
        <v/>
      </c>
      <c r="L35" s="11" t="str">
        <f t="shared" si="1"/>
        <v/>
      </c>
      <c r="M35" s="612"/>
      <c r="N35" s="612"/>
      <c r="O35" s="612"/>
      <c r="P35" s="29"/>
    </row>
    <row r="36" spans="2:16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 t="str">
        <f>IF(J36="","",J36*#REF!)</f>
        <v/>
      </c>
      <c r="L36" s="12" t="str">
        <f t="shared" si="1"/>
        <v/>
      </c>
      <c r="M36" s="634"/>
      <c r="N36" s="634"/>
      <c r="O36" s="634"/>
      <c r="P36" s="34"/>
    </row>
    <row r="37" spans="2:16" ht="19.899999999999999" customHeight="1" thickTop="1" x14ac:dyDescent="0.25"/>
  </sheetData>
  <mergeCells count="70">
    <mergeCell ref="M36:O36"/>
    <mergeCell ref="M30:O30"/>
    <mergeCell ref="M31:O31"/>
    <mergeCell ref="M32:O32"/>
    <mergeCell ref="M33:O33"/>
    <mergeCell ref="M34:O34"/>
    <mergeCell ref="M35:O35"/>
    <mergeCell ref="R15:S15"/>
    <mergeCell ref="M29:O29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17:O17"/>
    <mergeCell ref="B15:B16"/>
    <mergeCell ref="C15:C16"/>
    <mergeCell ref="D15:E15"/>
    <mergeCell ref="F15:G15"/>
    <mergeCell ref="H15:H16"/>
    <mergeCell ref="I15:I16"/>
    <mergeCell ref="K15:K16"/>
    <mergeCell ref="L15:L16"/>
    <mergeCell ref="M15:O16"/>
    <mergeCell ref="C13:F13"/>
    <mergeCell ref="H13:M13"/>
    <mergeCell ref="O13:P13"/>
    <mergeCell ref="P15:P16"/>
    <mergeCell ref="B8:D8"/>
    <mergeCell ref="E8:F8"/>
    <mergeCell ref="G8:H8"/>
    <mergeCell ref="J8:P8"/>
    <mergeCell ref="B9:D9"/>
    <mergeCell ref="E9:F9"/>
    <mergeCell ref="G9:H9"/>
    <mergeCell ref="J9:P9"/>
    <mergeCell ref="B11:F11"/>
    <mergeCell ref="G11:P11"/>
    <mergeCell ref="C12:F12"/>
    <mergeCell ref="H12:M12"/>
    <mergeCell ref="O12:P12"/>
    <mergeCell ref="B6:D6"/>
    <mergeCell ref="E6:F6"/>
    <mergeCell ref="G6:H6"/>
    <mergeCell ref="J6:P6"/>
    <mergeCell ref="B7:D7"/>
    <mergeCell ref="E7:F7"/>
    <mergeCell ref="G7:H7"/>
    <mergeCell ref="J7:P7"/>
    <mergeCell ref="B4:D4"/>
    <mergeCell ref="E4:F4"/>
    <mergeCell ref="G4:H4"/>
    <mergeCell ref="J4:P4"/>
    <mergeCell ref="B5:D5"/>
    <mergeCell ref="E5:F5"/>
    <mergeCell ref="G5:H5"/>
    <mergeCell ref="J5:P5"/>
    <mergeCell ref="B2:D3"/>
    <mergeCell ref="E2:H2"/>
    <mergeCell ref="J2:P2"/>
    <mergeCell ref="R2:S2"/>
    <mergeCell ref="E3:F3"/>
    <mergeCell ref="G3:H3"/>
    <mergeCell ref="J3:P3"/>
  </mergeCells>
  <conditionalFormatting sqref="B17:M36">
    <cfRule type="containsBlanks" dxfId="53" priority="1">
      <formula>LEN(TRIM(B17))=0</formula>
    </cfRule>
  </conditionalFormatting>
  <conditionalFormatting sqref="P17:P36">
    <cfRule type="containsBlanks" dxfId="52" priority="2">
      <formula>LEN(TRIM(P17))=0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07EA-60B6-413F-AB75-E5DE95AB66D8}">
  <sheetPr>
    <pageSetUpPr fitToPage="1"/>
  </sheetPr>
  <dimension ref="B1:U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2" width="12.7109375" style="3" customWidth="1"/>
    <col min="13" max="13" width="20.7109375" style="3" customWidth="1"/>
    <col min="14" max="15" width="10.7109375" style="3" customWidth="1"/>
    <col min="16" max="16384" width="10.7109375" style="3"/>
  </cols>
  <sheetData>
    <row r="1" spans="2:19" ht="19.899999999999999" customHeight="1" thickBot="1" x14ac:dyDescent="0.3"/>
    <row r="2" spans="2:19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3"/>
      <c r="R2" s="611" t="s">
        <v>294</v>
      </c>
      <c r="S2" s="611"/>
    </row>
    <row r="3" spans="2:19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5"/>
      <c r="R3" s="36"/>
      <c r="S3" s="36"/>
    </row>
    <row r="4" spans="2:19" ht="15" customHeight="1" x14ac:dyDescent="0.25">
      <c r="B4" s="647" t="s">
        <v>296</v>
      </c>
      <c r="C4" s="648"/>
      <c r="D4" s="648"/>
      <c r="E4" s="653">
        <f>IF($G$13="","",VLOOKUP($G$13,RESUMO!$C:$G,5,FALSE))</f>
        <v>7</v>
      </c>
      <c r="F4" s="653"/>
      <c r="G4" s="640">
        <f t="shared" ref="G4:G9" si="0">E4*$O$13</f>
        <v>6714.68</v>
      </c>
      <c r="H4" s="641"/>
      <c r="J4" s="613"/>
      <c r="K4" s="614"/>
      <c r="L4" s="614"/>
      <c r="M4" s="614"/>
      <c r="N4" s="614"/>
      <c r="O4" s="614"/>
      <c r="P4" s="615"/>
      <c r="R4" s="36"/>
      <c r="S4" s="36"/>
    </row>
    <row r="5" spans="2:19" ht="15" customHeight="1" x14ac:dyDescent="0.25">
      <c r="B5" s="649" t="s">
        <v>297</v>
      </c>
      <c r="C5" s="650"/>
      <c r="D5" s="650"/>
      <c r="E5" s="654">
        <f>SUMIFS(K:K,P:P,"&lt;&gt;")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5"/>
      <c r="R5" s="36"/>
      <c r="S5" s="36"/>
    </row>
    <row r="6" spans="2:19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5"/>
    </row>
    <row r="7" spans="2:19" ht="15" customHeight="1" x14ac:dyDescent="0.25">
      <c r="B7" s="649" t="s">
        <v>299</v>
      </c>
      <c r="C7" s="650"/>
      <c r="D7" s="650"/>
      <c r="E7" s="644">
        <f>E4-E5</f>
        <v>7</v>
      </c>
      <c r="F7" s="645"/>
      <c r="G7" s="642">
        <f t="shared" si="0"/>
        <v>6714.68</v>
      </c>
      <c r="H7" s="643"/>
      <c r="J7" s="613"/>
      <c r="K7" s="614"/>
      <c r="L7" s="614"/>
      <c r="M7" s="614"/>
      <c r="N7" s="614"/>
      <c r="O7" s="614"/>
      <c r="P7" s="615"/>
    </row>
    <row r="8" spans="2:19" ht="15" customHeight="1" x14ac:dyDescent="0.25">
      <c r="B8" s="655" t="s">
        <v>300</v>
      </c>
      <c r="C8" s="656"/>
      <c r="D8" s="656"/>
      <c r="E8" s="657">
        <f>SUM(K:K)-E5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5"/>
    </row>
    <row r="9" spans="2:19" ht="15" customHeight="1" thickBot="1" x14ac:dyDescent="0.3">
      <c r="B9" s="651" t="s">
        <v>301</v>
      </c>
      <c r="C9" s="652"/>
      <c r="D9" s="652"/>
      <c r="E9" s="646">
        <f>SUMIF(P:P,CAPA!$I$2,K:K)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8"/>
    </row>
    <row r="10" spans="2:19" ht="10.15" customHeight="1" thickTop="1" thickBot="1" x14ac:dyDescent="0.3"/>
    <row r="11" spans="2:19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6"/>
    </row>
    <row r="12" spans="2:19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14" t="s">
        <v>303</v>
      </c>
      <c r="O12" s="619" t="s">
        <v>304</v>
      </c>
      <c r="P12" s="620"/>
    </row>
    <row r="13" spans="2:19" s="8" customFormat="1" ht="30" customHeight="1" thickBot="1" x14ac:dyDescent="0.3">
      <c r="B13" s="15" t="str">
        <f>RESUMO!C57</f>
        <v>C.4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RESUMO!C59</f>
        <v>C.4.2</v>
      </c>
      <c r="H13" s="623" t="str">
        <f>IF($G$13="","",VLOOKUP($G$13,RESUMO!$C:$F,2,FALSE))</f>
        <v>Dissipador de energia - DES 88-264 - areia, brita e pedra de mão comerciais</v>
      </c>
      <c r="I13" s="623"/>
      <c r="J13" s="623"/>
      <c r="K13" s="623"/>
      <c r="L13" s="623"/>
      <c r="M13" s="623"/>
      <c r="N13" s="17" t="str">
        <f>IF($G$13="","",VLOOKUP($G$13,RESUMO!$C:$F,3,FALSE))</f>
        <v>und.</v>
      </c>
      <c r="O13" s="621">
        <f>IF($G$13="","",VLOOKUP($G$13,RESUMO!$C:$F,4,FALSE))</f>
        <v>959.24</v>
      </c>
      <c r="P13" s="622"/>
    </row>
    <row r="14" spans="2:19" ht="10.15" customHeight="1" thickTop="1" thickBot="1" x14ac:dyDescent="0.3"/>
    <row r="15" spans="2:19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303</v>
      </c>
      <c r="K15" s="627" t="s">
        <v>310</v>
      </c>
      <c r="L15" s="627" t="s">
        <v>311</v>
      </c>
      <c r="M15" s="627" t="s">
        <v>312</v>
      </c>
      <c r="N15" s="627"/>
      <c r="O15" s="627"/>
      <c r="P15" s="629" t="s">
        <v>27</v>
      </c>
      <c r="R15" s="611" t="s">
        <v>313</v>
      </c>
      <c r="S15" s="611"/>
    </row>
    <row r="16" spans="2:19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337</v>
      </c>
      <c r="K16" s="628"/>
      <c r="L16" s="628"/>
      <c r="M16" s="628"/>
      <c r="N16" s="628"/>
      <c r="O16" s="628"/>
      <c r="P16" s="630"/>
      <c r="R16" s="35" t="s">
        <v>269</v>
      </c>
      <c r="S16" s="35" t="s">
        <v>47</v>
      </c>
    </row>
    <row r="17" spans="2:21" ht="19.899999999999999" customHeight="1" thickTop="1" x14ac:dyDescent="0.25">
      <c r="B17" s="19"/>
      <c r="C17" s="20"/>
      <c r="D17" s="21"/>
      <c r="E17" s="22"/>
      <c r="F17" s="21"/>
      <c r="G17" s="22"/>
      <c r="H17" s="20"/>
      <c r="I17" s="23"/>
      <c r="J17" s="23"/>
      <c r="K17" s="23"/>
      <c r="L17" s="23"/>
      <c r="M17" s="635"/>
      <c r="N17" s="635"/>
      <c r="O17" s="635"/>
      <c r="P17" s="24"/>
      <c r="R17" s="84" t="s">
        <v>72</v>
      </c>
      <c r="S17" s="83" t="str">
        <f>IF($R17="","",VLOOKUP($R17,RESUMO!$C:$D,2,FALSE))</f>
        <v>Escavação, carga e transporte de material de 1ª categoria - DMT de 800 a 1.000 m - caminho de serviço pavimentado - com escavadeira e caminhão basculante de 14 m³</v>
      </c>
      <c r="U17" s="85" t="str">
        <f>HYPERLINK("#"&amp;"'"&amp;R17&amp;"'"&amp;"!A1","LINK")</f>
        <v>LINK</v>
      </c>
    </row>
    <row r="18" spans="2:21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612"/>
      <c r="N18" s="612"/>
      <c r="O18" s="612"/>
      <c r="P18" s="29"/>
      <c r="R18" s="84" t="s">
        <v>75</v>
      </c>
      <c r="S18" s="83" t="str">
        <f>IF($R18="","",VLOOKUP($R18,RESUMO!$C:$D,2,FALSE))</f>
        <v>Escavação e carga de material de 1ª categoria - DMT acima de 3.000 m</v>
      </c>
      <c r="U18" s="85" t="str">
        <f>HYPERLINK("#"&amp;"'"&amp;R18&amp;"'"&amp;"!A1","LINK")</f>
        <v>LINK</v>
      </c>
    </row>
    <row r="19" spans="2:21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612"/>
      <c r="N19" s="612"/>
      <c r="O19" s="612"/>
      <c r="P19" s="29"/>
      <c r="R19" s="84" t="s">
        <v>80</v>
      </c>
      <c r="S19" s="83" t="str">
        <f>IF($R19="","",VLOOKUP($R19,RESUMO!$C:$D,2,FALSE))</f>
        <v>Regularização de bota-fora com espalhamento e execução de hidrossemeadura</v>
      </c>
      <c r="U19" s="85" t="str">
        <f>HYPERLINK("#"&amp;"'"&amp;R19&amp;"'"&amp;"!A1","LINK")</f>
        <v>LINK</v>
      </c>
    </row>
    <row r="20" spans="2:21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612"/>
      <c r="N20" s="612"/>
      <c r="O20" s="612"/>
      <c r="P20" s="29"/>
      <c r="R20" s="84" t="s">
        <v>82</v>
      </c>
      <c r="S20" s="83" t="str">
        <f>IF($R20="","",VLOOKUP($R20,RESUMO!$C:$D,2,FALSE))</f>
        <v>Royaltie de bota-fora</v>
      </c>
      <c r="U20" s="85" t="str">
        <f>HYPERLINK("#"&amp;"'"&amp;R20&amp;"'"&amp;"!A1","LINK")</f>
        <v>LINK</v>
      </c>
    </row>
    <row r="21" spans="2:21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 t="str">
        <f>IF(J21="","",J21*#REF!)</f>
        <v/>
      </c>
      <c r="L21" s="11" t="str">
        <f t="shared" ref="L21:L36" si="1">IF(B21="","",IF(OR(L20="",P21=""),L20,SUM(K21,L20)))</f>
        <v/>
      </c>
      <c r="M21" s="612"/>
      <c r="N21" s="612"/>
      <c r="O21" s="612"/>
      <c r="P21" s="29"/>
    </row>
    <row r="22" spans="2:21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 t="str">
        <f>IF(J22="","",J22*#REF!)</f>
        <v/>
      </c>
      <c r="L22" s="11" t="str">
        <f t="shared" si="1"/>
        <v/>
      </c>
      <c r="M22" s="612"/>
      <c r="N22" s="612"/>
      <c r="O22" s="612"/>
      <c r="P22" s="29"/>
    </row>
    <row r="23" spans="2:21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 t="str">
        <f>IF(J23="","",J23*#REF!)</f>
        <v/>
      </c>
      <c r="L23" s="11" t="str">
        <f t="shared" si="1"/>
        <v/>
      </c>
      <c r="M23" s="612"/>
      <c r="N23" s="612"/>
      <c r="O23" s="612"/>
      <c r="P23" s="29"/>
    </row>
    <row r="24" spans="2:21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 t="str">
        <f>IF(J24="","",J24*#REF!)</f>
        <v/>
      </c>
      <c r="L24" s="11" t="str">
        <f t="shared" si="1"/>
        <v/>
      </c>
      <c r="M24" s="612"/>
      <c r="N24" s="612"/>
      <c r="O24" s="612"/>
      <c r="P24" s="29"/>
    </row>
    <row r="25" spans="2:21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 t="str">
        <f>IF(J25="","",J25*#REF!)</f>
        <v/>
      </c>
      <c r="L25" s="11" t="str">
        <f t="shared" si="1"/>
        <v/>
      </c>
      <c r="M25" s="612"/>
      <c r="N25" s="612"/>
      <c r="O25" s="612"/>
      <c r="P25" s="29"/>
    </row>
    <row r="26" spans="2:21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 t="str">
        <f>IF(J26="","",J26*#REF!)</f>
        <v/>
      </c>
      <c r="L26" s="11" t="str">
        <f t="shared" si="1"/>
        <v/>
      </c>
      <c r="M26" s="612"/>
      <c r="N26" s="612"/>
      <c r="O26" s="612"/>
      <c r="P26" s="29"/>
    </row>
    <row r="27" spans="2:21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 t="str">
        <f>IF(J27="","",J27*#REF!)</f>
        <v/>
      </c>
      <c r="L27" s="11" t="str">
        <f t="shared" si="1"/>
        <v/>
      </c>
      <c r="M27" s="612"/>
      <c r="N27" s="612"/>
      <c r="O27" s="612"/>
      <c r="P27" s="29"/>
    </row>
    <row r="28" spans="2:21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 t="str">
        <f>IF(J28="","",J28*#REF!)</f>
        <v/>
      </c>
      <c r="L28" s="11" t="str">
        <f t="shared" si="1"/>
        <v/>
      </c>
      <c r="M28" s="612"/>
      <c r="N28" s="612"/>
      <c r="O28" s="612"/>
      <c r="P28" s="29"/>
    </row>
    <row r="29" spans="2:21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 t="str">
        <f>IF(J29="","",J29*#REF!)</f>
        <v/>
      </c>
      <c r="L29" s="11" t="str">
        <f t="shared" si="1"/>
        <v/>
      </c>
      <c r="M29" s="612"/>
      <c r="N29" s="612"/>
      <c r="O29" s="612"/>
      <c r="P29" s="29"/>
    </row>
    <row r="30" spans="2:21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 t="str">
        <f>IF(J30="","",J30*#REF!)</f>
        <v/>
      </c>
      <c r="L30" s="11" t="str">
        <f t="shared" si="1"/>
        <v/>
      </c>
      <c r="M30" s="612"/>
      <c r="N30" s="612"/>
      <c r="O30" s="612"/>
      <c r="P30" s="29"/>
    </row>
    <row r="31" spans="2:21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 t="str">
        <f>IF(J31="","",J31*#REF!)</f>
        <v/>
      </c>
      <c r="L31" s="11" t="str">
        <f t="shared" si="1"/>
        <v/>
      </c>
      <c r="M31" s="612"/>
      <c r="N31" s="612"/>
      <c r="O31" s="612"/>
      <c r="P31" s="29"/>
    </row>
    <row r="32" spans="2:21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 t="str">
        <f>IF(J32="","",J32*#REF!)</f>
        <v/>
      </c>
      <c r="L32" s="11" t="str">
        <f t="shared" si="1"/>
        <v/>
      </c>
      <c r="M32" s="612"/>
      <c r="N32" s="612"/>
      <c r="O32" s="612"/>
      <c r="P32" s="29"/>
    </row>
    <row r="33" spans="2:16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 t="str">
        <f>IF(J33="","",J33*#REF!)</f>
        <v/>
      </c>
      <c r="L33" s="11" t="str">
        <f t="shared" si="1"/>
        <v/>
      </c>
      <c r="M33" s="612"/>
      <c r="N33" s="612"/>
      <c r="O33" s="612"/>
      <c r="P33" s="29"/>
    </row>
    <row r="34" spans="2:16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 t="str">
        <f>IF(J34="","",J34*#REF!)</f>
        <v/>
      </c>
      <c r="L34" s="11" t="str">
        <f t="shared" si="1"/>
        <v/>
      </c>
      <c r="M34" s="612"/>
      <c r="N34" s="612"/>
      <c r="O34" s="612"/>
      <c r="P34" s="29"/>
    </row>
    <row r="35" spans="2:16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 t="str">
        <f>IF(J35="","",J35*#REF!)</f>
        <v/>
      </c>
      <c r="L35" s="11" t="str">
        <f t="shared" si="1"/>
        <v/>
      </c>
      <c r="M35" s="612"/>
      <c r="N35" s="612"/>
      <c r="O35" s="612"/>
      <c r="P35" s="29"/>
    </row>
    <row r="36" spans="2:16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 t="str">
        <f>IF(J36="","",J36*#REF!)</f>
        <v/>
      </c>
      <c r="L36" s="12" t="str">
        <f t="shared" si="1"/>
        <v/>
      </c>
      <c r="M36" s="634"/>
      <c r="N36" s="634"/>
      <c r="O36" s="634"/>
      <c r="P36" s="34"/>
    </row>
    <row r="37" spans="2:16" ht="19.899999999999999" customHeight="1" thickTop="1" x14ac:dyDescent="0.25"/>
  </sheetData>
  <mergeCells count="70">
    <mergeCell ref="M35:O35"/>
    <mergeCell ref="M36:O36"/>
    <mergeCell ref="M29:O29"/>
    <mergeCell ref="M30:O30"/>
    <mergeCell ref="M31:O31"/>
    <mergeCell ref="M32:O32"/>
    <mergeCell ref="M33:O33"/>
    <mergeCell ref="M34:O34"/>
    <mergeCell ref="M15:O16"/>
    <mergeCell ref="P15:P16"/>
    <mergeCell ref="R15:S15"/>
    <mergeCell ref="M28:O28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I15:I16"/>
    <mergeCell ref="B11:F11"/>
    <mergeCell ref="G11:P11"/>
    <mergeCell ref="C12:F12"/>
    <mergeCell ref="H12:M12"/>
    <mergeCell ref="O12:P12"/>
    <mergeCell ref="C13:F13"/>
    <mergeCell ref="H13:M13"/>
    <mergeCell ref="O13:P13"/>
    <mergeCell ref="B15:B16"/>
    <mergeCell ref="C15:C16"/>
    <mergeCell ref="D15:E15"/>
    <mergeCell ref="F15:G15"/>
    <mergeCell ref="H15:H16"/>
    <mergeCell ref="K15:K16"/>
    <mergeCell ref="L15:L16"/>
    <mergeCell ref="B8:D8"/>
    <mergeCell ref="E8:F8"/>
    <mergeCell ref="G8:H8"/>
    <mergeCell ref="J8:P8"/>
    <mergeCell ref="B9:D9"/>
    <mergeCell ref="E9:F9"/>
    <mergeCell ref="G9:H9"/>
    <mergeCell ref="J9:P9"/>
    <mergeCell ref="B6:D6"/>
    <mergeCell ref="E6:F6"/>
    <mergeCell ref="G6:H6"/>
    <mergeCell ref="J6:P6"/>
    <mergeCell ref="B7:D7"/>
    <mergeCell ref="E7:F7"/>
    <mergeCell ref="G7:H7"/>
    <mergeCell ref="J7:P7"/>
    <mergeCell ref="B4:D4"/>
    <mergeCell ref="E4:F4"/>
    <mergeCell ref="G4:H4"/>
    <mergeCell ref="J4:P4"/>
    <mergeCell ref="B5:D5"/>
    <mergeCell ref="E5:F5"/>
    <mergeCell ref="G5:H5"/>
    <mergeCell ref="J5:P5"/>
    <mergeCell ref="B2:D3"/>
    <mergeCell ref="E2:H2"/>
    <mergeCell ref="J2:P2"/>
    <mergeCell ref="R2:S2"/>
    <mergeCell ref="E3:F3"/>
    <mergeCell ref="G3:H3"/>
    <mergeCell ref="J3:P3"/>
  </mergeCells>
  <conditionalFormatting sqref="B17:M36">
    <cfRule type="containsBlanks" dxfId="51" priority="1">
      <formula>LEN(TRIM(B17))=0</formula>
    </cfRule>
  </conditionalFormatting>
  <conditionalFormatting sqref="P17:P36">
    <cfRule type="containsBlanks" dxfId="50" priority="2">
      <formula>LEN(TRIM(P17))=0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4F85-0FFC-46D0-B2B4-172CE5267D7C}">
  <sheetPr>
    <pageSetUpPr fitToPage="1"/>
  </sheetPr>
  <dimension ref="B1:U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2" width="12.7109375" style="3" customWidth="1"/>
    <col min="13" max="13" width="20.7109375" style="3" customWidth="1"/>
    <col min="14" max="15" width="10.7109375" style="3" customWidth="1"/>
    <col min="16" max="16384" width="10.7109375" style="3"/>
  </cols>
  <sheetData>
    <row r="1" spans="2:19" ht="19.899999999999999" customHeight="1" thickBot="1" x14ac:dyDescent="0.3"/>
    <row r="2" spans="2:19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3"/>
      <c r="R2" s="611" t="s">
        <v>294</v>
      </c>
      <c r="S2" s="611"/>
    </row>
    <row r="3" spans="2:19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5"/>
      <c r="R3" s="36"/>
      <c r="S3" s="36"/>
    </row>
    <row r="4" spans="2:19" ht="15" customHeight="1" x14ac:dyDescent="0.25">
      <c r="B4" s="647" t="s">
        <v>296</v>
      </c>
      <c r="C4" s="648"/>
      <c r="D4" s="648"/>
      <c r="E4" s="653">
        <f>IF($G$13="","",VLOOKUP($G$13,RESUMO!$C:$G,5,FALSE))</f>
        <v>15.4</v>
      </c>
      <c r="F4" s="653"/>
      <c r="G4" s="640">
        <f t="shared" ref="G4:G9" si="0">E4*$O$13</f>
        <v>2560.25</v>
      </c>
      <c r="H4" s="641"/>
      <c r="J4" s="613"/>
      <c r="K4" s="614"/>
      <c r="L4" s="614"/>
      <c r="M4" s="614"/>
      <c r="N4" s="614"/>
      <c r="O4" s="614"/>
      <c r="P4" s="615"/>
      <c r="R4" s="36"/>
      <c r="S4" s="36"/>
    </row>
    <row r="5" spans="2:19" ht="15" customHeight="1" x14ac:dyDescent="0.25">
      <c r="B5" s="649" t="s">
        <v>297</v>
      </c>
      <c r="C5" s="650"/>
      <c r="D5" s="650"/>
      <c r="E5" s="654">
        <f>SUMIFS(K:K,P:P,"&lt;&gt;")</f>
        <v>14</v>
      </c>
      <c r="F5" s="654"/>
      <c r="G5" s="642">
        <f t="shared" si="0"/>
        <v>2327.5</v>
      </c>
      <c r="H5" s="643"/>
      <c r="J5" s="613"/>
      <c r="K5" s="614"/>
      <c r="L5" s="614"/>
      <c r="M5" s="614"/>
      <c r="N5" s="614"/>
      <c r="O5" s="614"/>
      <c r="P5" s="615"/>
      <c r="R5" s="36"/>
      <c r="S5" s="36"/>
    </row>
    <row r="6" spans="2:19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5"/>
    </row>
    <row r="7" spans="2:19" ht="15" customHeight="1" x14ac:dyDescent="0.25">
      <c r="B7" s="649" t="s">
        <v>299</v>
      </c>
      <c r="C7" s="650"/>
      <c r="D7" s="650"/>
      <c r="E7" s="644">
        <f>E4-E5</f>
        <v>1.4000000000000004</v>
      </c>
      <c r="F7" s="645"/>
      <c r="G7" s="642">
        <f t="shared" si="0"/>
        <v>232.75000000000006</v>
      </c>
      <c r="H7" s="643"/>
      <c r="J7" s="613"/>
      <c r="K7" s="614"/>
      <c r="L7" s="614"/>
      <c r="M7" s="614"/>
      <c r="N7" s="614"/>
      <c r="O7" s="614"/>
      <c r="P7" s="615"/>
    </row>
    <row r="8" spans="2:19" ht="15" customHeight="1" x14ac:dyDescent="0.25">
      <c r="B8" s="655" t="s">
        <v>300</v>
      </c>
      <c r="C8" s="656"/>
      <c r="D8" s="656"/>
      <c r="E8" s="657">
        <f>SUM(K:K)-E5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5"/>
    </row>
    <row r="9" spans="2:19" ht="15" customHeight="1" thickBot="1" x14ac:dyDescent="0.3">
      <c r="B9" s="651" t="s">
        <v>301</v>
      </c>
      <c r="C9" s="652"/>
      <c r="D9" s="652"/>
      <c r="E9" s="646">
        <f>SUMIF(P:P,CAPA!$I$2,K:K)</f>
        <v>14</v>
      </c>
      <c r="F9" s="646"/>
      <c r="G9" s="660">
        <f t="shared" si="0"/>
        <v>2327.5</v>
      </c>
      <c r="H9" s="661"/>
      <c r="J9" s="616"/>
      <c r="K9" s="617"/>
      <c r="L9" s="617"/>
      <c r="M9" s="617"/>
      <c r="N9" s="617"/>
      <c r="O9" s="617"/>
      <c r="P9" s="618"/>
    </row>
    <row r="10" spans="2:19" ht="10.15" customHeight="1" thickTop="1" thickBot="1" x14ac:dyDescent="0.3"/>
    <row r="11" spans="2:19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6"/>
    </row>
    <row r="12" spans="2:19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14" t="s">
        <v>303</v>
      </c>
      <c r="O12" s="619" t="s">
        <v>304</v>
      </c>
      <c r="P12" s="620"/>
    </row>
    <row r="13" spans="2:19" s="8" customFormat="1" ht="30" customHeight="1" thickBot="1" x14ac:dyDescent="0.3">
      <c r="B13" s="15" t="str">
        <f>RESUMO!C57</f>
        <v>C.4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RESUMO!C60</f>
        <v>C.4.3</v>
      </c>
      <c r="H13" s="623" t="str">
        <f>IF($G$13="","",VLOOKUP($G$13,RESUMO!$C:$F,2,FALSE))</f>
        <v>Dreno longitudinal profundo para corte em solo - DPS 01 - tubo PEAD e areia comercial</v>
      </c>
      <c r="I13" s="623"/>
      <c r="J13" s="623"/>
      <c r="K13" s="623"/>
      <c r="L13" s="623"/>
      <c r="M13" s="623"/>
      <c r="N13" s="17" t="str">
        <f>IF($G$13="","",VLOOKUP($G$13,RESUMO!$C:$F,3,FALSE))</f>
        <v>m</v>
      </c>
      <c r="O13" s="621">
        <f>IF($G$13="","",VLOOKUP($G$13,RESUMO!$C:$F,4,FALSE))</f>
        <v>166.25</v>
      </c>
      <c r="P13" s="622"/>
    </row>
    <row r="14" spans="2:19" ht="10.15" customHeight="1" thickTop="1" thickBot="1" x14ac:dyDescent="0.3"/>
    <row r="15" spans="2:19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627" t="s">
        <v>310</v>
      </c>
      <c r="L15" s="627" t="s">
        <v>311</v>
      </c>
      <c r="M15" s="627" t="s">
        <v>312</v>
      </c>
      <c r="N15" s="627"/>
      <c r="O15" s="627"/>
      <c r="P15" s="629" t="s">
        <v>27</v>
      </c>
      <c r="R15" s="611" t="s">
        <v>313</v>
      </c>
      <c r="S15" s="611"/>
    </row>
    <row r="16" spans="2:19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628"/>
      <c r="L16" s="628"/>
      <c r="M16" s="628"/>
      <c r="N16" s="628"/>
      <c r="O16" s="628"/>
      <c r="P16" s="630"/>
      <c r="R16" s="35" t="s">
        <v>269</v>
      </c>
      <c r="S16" s="35" t="s">
        <v>47</v>
      </c>
    </row>
    <row r="17" spans="2:21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338</v>
      </c>
      <c r="I17" s="23" t="s">
        <v>341</v>
      </c>
      <c r="J17" s="23">
        <v>14</v>
      </c>
      <c r="K17" s="23">
        <f>J17</f>
        <v>14</v>
      </c>
      <c r="L17" s="23">
        <f>K17</f>
        <v>14</v>
      </c>
      <c r="M17" s="635" t="s">
        <v>326</v>
      </c>
      <c r="N17" s="635"/>
      <c r="O17" s="635"/>
      <c r="P17" s="24">
        <v>3</v>
      </c>
      <c r="R17" s="84" t="s">
        <v>72</v>
      </c>
      <c r="S17" s="83" t="str">
        <f>IF($R17="","",VLOOKUP($R17,RESUMO!$C:$D,2,FALSE))</f>
        <v>Escavação, carga e transporte de material de 1ª categoria - DMT de 800 a 1.000 m - caminho de serviço pavimentado - com escavadeira e caminhão basculante de 14 m³</v>
      </c>
      <c r="U17" s="85" t="str">
        <f>HYPERLINK("#"&amp;"'"&amp;R17&amp;"'"&amp;"!A1","LINK")</f>
        <v>LINK</v>
      </c>
    </row>
    <row r="18" spans="2:21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 t="str">
        <f>IF(J18="","",J18*#REF!)</f>
        <v/>
      </c>
      <c r="L18" s="11" t="str">
        <f t="shared" ref="L18:L36" si="1">IF(B18="","",IF(OR(L17="",P18=""),L17,SUM(K18,L17)))</f>
        <v/>
      </c>
      <c r="M18" s="612"/>
      <c r="N18" s="612"/>
      <c r="O18" s="612"/>
      <c r="P18" s="29"/>
      <c r="R18" s="84" t="s">
        <v>75</v>
      </c>
      <c r="S18" s="83" t="str">
        <f>IF($R18="","",VLOOKUP($R18,RESUMO!$C:$D,2,FALSE))</f>
        <v>Escavação e carga de material de 1ª categoria - DMT acima de 3.000 m</v>
      </c>
      <c r="U18" s="85" t="str">
        <f>HYPERLINK("#"&amp;"'"&amp;R18&amp;"'"&amp;"!A1","LINK")</f>
        <v>LINK</v>
      </c>
    </row>
    <row r="19" spans="2:21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 t="str">
        <f>IF(J19="","",J19*#REF!)</f>
        <v/>
      </c>
      <c r="L19" s="11" t="str">
        <f t="shared" si="1"/>
        <v/>
      </c>
      <c r="M19" s="612"/>
      <c r="N19" s="612"/>
      <c r="O19" s="612"/>
      <c r="P19" s="29"/>
      <c r="R19" s="84" t="s">
        <v>80</v>
      </c>
      <c r="S19" s="83" t="str">
        <f>IF($R19="","",VLOOKUP($R19,RESUMO!$C:$D,2,FALSE))</f>
        <v>Regularização de bota-fora com espalhamento e execução de hidrossemeadura</v>
      </c>
      <c r="U19" s="85" t="str">
        <f>HYPERLINK("#"&amp;"'"&amp;R19&amp;"'"&amp;"!A1","LINK")</f>
        <v>LINK</v>
      </c>
    </row>
    <row r="20" spans="2:21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 t="str">
        <f>IF(J20="","",J20*#REF!)</f>
        <v/>
      </c>
      <c r="L20" s="11" t="str">
        <f t="shared" si="1"/>
        <v/>
      </c>
      <c r="M20" s="612"/>
      <c r="N20" s="612"/>
      <c r="O20" s="612"/>
      <c r="P20" s="29"/>
      <c r="R20" s="84" t="s">
        <v>82</v>
      </c>
      <c r="S20" s="83" t="str">
        <f>IF($R20="","",VLOOKUP($R20,RESUMO!$C:$D,2,FALSE))</f>
        <v>Royaltie de bota-fora</v>
      </c>
      <c r="U20" s="85" t="str">
        <f>HYPERLINK("#"&amp;"'"&amp;R20&amp;"'"&amp;"!A1","LINK")</f>
        <v>LINK</v>
      </c>
    </row>
    <row r="21" spans="2:21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 t="str">
        <f>IF(J21="","",J21*#REF!)</f>
        <v/>
      </c>
      <c r="L21" s="11" t="str">
        <f t="shared" si="1"/>
        <v/>
      </c>
      <c r="M21" s="612"/>
      <c r="N21" s="612"/>
      <c r="O21" s="612"/>
      <c r="P21" s="29"/>
    </row>
    <row r="22" spans="2:21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 t="str">
        <f>IF(J22="","",J22*#REF!)</f>
        <v/>
      </c>
      <c r="L22" s="11" t="str">
        <f t="shared" si="1"/>
        <v/>
      </c>
      <c r="M22" s="612"/>
      <c r="N22" s="612"/>
      <c r="O22" s="612"/>
      <c r="P22" s="29"/>
    </row>
    <row r="23" spans="2:21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 t="str">
        <f>IF(J23="","",J23*#REF!)</f>
        <v/>
      </c>
      <c r="L23" s="11" t="str">
        <f t="shared" si="1"/>
        <v/>
      </c>
      <c r="M23" s="612"/>
      <c r="N23" s="612"/>
      <c r="O23" s="612"/>
      <c r="P23" s="29"/>
    </row>
    <row r="24" spans="2:21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 t="str">
        <f>IF(J24="","",J24*#REF!)</f>
        <v/>
      </c>
      <c r="L24" s="11" t="str">
        <f t="shared" si="1"/>
        <v/>
      </c>
      <c r="M24" s="612"/>
      <c r="N24" s="612"/>
      <c r="O24" s="612"/>
      <c r="P24" s="29"/>
    </row>
    <row r="25" spans="2:21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 t="str">
        <f>IF(J25="","",J25*#REF!)</f>
        <v/>
      </c>
      <c r="L25" s="11" t="str">
        <f t="shared" si="1"/>
        <v/>
      </c>
      <c r="M25" s="612"/>
      <c r="N25" s="612"/>
      <c r="O25" s="612"/>
      <c r="P25" s="29"/>
    </row>
    <row r="26" spans="2:21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 t="str">
        <f>IF(J26="","",J26*#REF!)</f>
        <v/>
      </c>
      <c r="L26" s="11" t="str">
        <f t="shared" si="1"/>
        <v/>
      </c>
      <c r="M26" s="612"/>
      <c r="N26" s="612"/>
      <c r="O26" s="612"/>
      <c r="P26" s="29"/>
    </row>
    <row r="27" spans="2:21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 t="str">
        <f>IF(J27="","",J27*#REF!)</f>
        <v/>
      </c>
      <c r="L27" s="11" t="str">
        <f t="shared" si="1"/>
        <v/>
      </c>
      <c r="M27" s="612"/>
      <c r="N27" s="612"/>
      <c r="O27" s="612"/>
      <c r="P27" s="29"/>
    </row>
    <row r="28" spans="2:21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 t="str">
        <f>IF(J28="","",J28*#REF!)</f>
        <v/>
      </c>
      <c r="L28" s="11" t="str">
        <f t="shared" si="1"/>
        <v/>
      </c>
      <c r="M28" s="612"/>
      <c r="N28" s="612"/>
      <c r="O28" s="612"/>
      <c r="P28" s="29"/>
    </row>
    <row r="29" spans="2:21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 t="str">
        <f>IF(J29="","",J29*#REF!)</f>
        <v/>
      </c>
      <c r="L29" s="11" t="str">
        <f t="shared" si="1"/>
        <v/>
      </c>
      <c r="M29" s="612"/>
      <c r="N29" s="612"/>
      <c r="O29" s="612"/>
      <c r="P29" s="29"/>
    </row>
    <row r="30" spans="2:21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 t="str">
        <f>IF(J30="","",J30*#REF!)</f>
        <v/>
      </c>
      <c r="L30" s="11" t="str">
        <f t="shared" si="1"/>
        <v/>
      </c>
      <c r="M30" s="612"/>
      <c r="N30" s="612"/>
      <c r="O30" s="612"/>
      <c r="P30" s="29"/>
    </row>
    <row r="31" spans="2:21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 t="str">
        <f>IF(J31="","",J31*#REF!)</f>
        <v/>
      </c>
      <c r="L31" s="11" t="str">
        <f t="shared" si="1"/>
        <v/>
      </c>
      <c r="M31" s="612"/>
      <c r="N31" s="612"/>
      <c r="O31" s="612"/>
      <c r="P31" s="29"/>
    </row>
    <row r="32" spans="2:21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 t="str">
        <f>IF(J32="","",J32*#REF!)</f>
        <v/>
      </c>
      <c r="L32" s="11" t="str">
        <f t="shared" si="1"/>
        <v/>
      </c>
      <c r="M32" s="612"/>
      <c r="N32" s="612"/>
      <c r="O32" s="612"/>
      <c r="P32" s="29"/>
    </row>
    <row r="33" spans="2:16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 t="str">
        <f>IF(J33="","",J33*#REF!)</f>
        <v/>
      </c>
      <c r="L33" s="11" t="str">
        <f t="shared" si="1"/>
        <v/>
      </c>
      <c r="M33" s="612"/>
      <c r="N33" s="612"/>
      <c r="O33" s="612"/>
      <c r="P33" s="29"/>
    </row>
    <row r="34" spans="2:16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 t="str">
        <f>IF(J34="","",J34*#REF!)</f>
        <v/>
      </c>
      <c r="L34" s="11" t="str">
        <f t="shared" si="1"/>
        <v/>
      </c>
      <c r="M34" s="612"/>
      <c r="N34" s="612"/>
      <c r="O34" s="612"/>
      <c r="P34" s="29"/>
    </row>
    <row r="35" spans="2:16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 t="str">
        <f>IF(J35="","",J35*#REF!)</f>
        <v/>
      </c>
      <c r="L35" s="11" t="str">
        <f t="shared" si="1"/>
        <v/>
      </c>
      <c r="M35" s="612"/>
      <c r="N35" s="612"/>
      <c r="O35" s="612"/>
      <c r="P35" s="29"/>
    </row>
    <row r="36" spans="2:16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 t="str">
        <f>IF(J36="","",J36*#REF!)</f>
        <v/>
      </c>
      <c r="L36" s="12" t="str">
        <f t="shared" si="1"/>
        <v/>
      </c>
      <c r="M36" s="634"/>
      <c r="N36" s="634"/>
      <c r="O36" s="634"/>
      <c r="P36" s="34"/>
    </row>
    <row r="37" spans="2:16" ht="19.899999999999999" customHeight="1" thickTop="1" x14ac:dyDescent="0.25"/>
  </sheetData>
  <mergeCells count="70">
    <mergeCell ref="M36:O36"/>
    <mergeCell ref="M30:O30"/>
    <mergeCell ref="M31:O31"/>
    <mergeCell ref="M32:O32"/>
    <mergeCell ref="M33:O33"/>
    <mergeCell ref="M34:O34"/>
    <mergeCell ref="M35:O35"/>
    <mergeCell ref="R15:S15"/>
    <mergeCell ref="M29:O29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17:O17"/>
    <mergeCell ref="B15:B16"/>
    <mergeCell ref="C15:C16"/>
    <mergeCell ref="D15:E15"/>
    <mergeCell ref="F15:G15"/>
    <mergeCell ref="H15:H16"/>
    <mergeCell ref="I15:I16"/>
    <mergeCell ref="K15:K16"/>
    <mergeCell ref="L15:L16"/>
    <mergeCell ref="M15:O16"/>
    <mergeCell ref="C13:F13"/>
    <mergeCell ref="H13:M13"/>
    <mergeCell ref="O13:P13"/>
    <mergeCell ref="P15:P16"/>
    <mergeCell ref="B8:D8"/>
    <mergeCell ref="E8:F8"/>
    <mergeCell ref="G8:H8"/>
    <mergeCell ref="J8:P8"/>
    <mergeCell ref="B9:D9"/>
    <mergeCell ref="E9:F9"/>
    <mergeCell ref="G9:H9"/>
    <mergeCell ref="J9:P9"/>
    <mergeCell ref="B11:F11"/>
    <mergeCell ref="G11:P11"/>
    <mergeCell ref="C12:F12"/>
    <mergeCell ref="H12:M12"/>
    <mergeCell ref="O12:P12"/>
    <mergeCell ref="B6:D6"/>
    <mergeCell ref="E6:F6"/>
    <mergeCell ref="G6:H6"/>
    <mergeCell ref="J6:P6"/>
    <mergeCell ref="B7:D7"/>
    <mergeCell ref="E7:F7"/>
    <mergeCell ref="G7:H7"/>
    <mergeCell ref="J7:P7"/>
    <mergeCell ref="B4:D4"/>
    <mergeCell ref="E4:F4"/>
    <mergeCell ref="G4:H4"/>
    <mergeCell ref="J4:P4"/>
    <mergeCell ref="B5:D5"/>
    <mergeCell ref="E5:F5"/>
    <mergeCell ref="G5:H5"/>
    <mergeCell ref="J5:P5"/>
    <mergeCell ref="B2:D3"/>
    <mergeCell ref="E2:H2"/>
    <mergeCell ref="J2:P2"/>
    <mergeCell ref="R2:S2"/>
    <mergeCell ref="E3:F3"/>
    <mergeCell ref="G3:H3"/>
    <mergeCell ref="J3:P3"/>
  </mergeCells>
  <conditionalFormatting sqref="B17:M36">
    <cfRule type="containsBlanks" dxfId="49" priority="1">
      <formula>LEN(TRIM(B17))=0</formula>
    </cfRule>
  </conditionalFormatting>
  <conditionalFormatting sqref="P17:P36">
    <cfRule type="containsBlanks" dxfId="48" priority="2">
      <formula>LEN(TRIM(P17))=0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D180-5A3C-44D5-9A0D-C4C5199AF9F1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2.8</v>
      </c>
      <c r="F4" s="653"/>
      <c r="G4" s="640">
        <f t="shared" ref="G4:G9" si="0">E4*$P$13</f>
        <v>2042.0799999999997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2.8</v>
      </c>
      <c r="F5" s="654"/>
      <c r="G5" s="642">
        <f t="shared" si="0"/>
        <v>2042.0799999999997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65">
        <f>E4-E5</f>
        <v>0</v>
      </c>
      <c r="F7" s="666"/>
      <c r="G7" s="667">
        <f t="shared" si="0"/>
        <v>0</v>
      </c>
      <c r="H7" s="668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2.8</v>
      </c>
      <c r="F9" s="646"/>
      <c r="G9" s="660">
        <f t="shared" si="0"/>
        <v>2042.0799999999997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RESUMO!C57</f>
        <v>C.4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RESUMO!C61</f>
        <v>C.4.4</v>
      </c>
      <c r="H13" s="623" t="str">
        <f>IF($G$13="","",VLOOKUP($G$13,RESUMO!$C:$F,2,FALSE))</f>
        <v>Concreto fck = 20 MPa - confecção em central dosadora de 30 m³/h - areia e brita comerciais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m³</v>
      </c>
      <c r="P13" s="621">
        <f>IF($G$13="","",VLOOKUP($G$13,RESUMO!$C:$F,4,FALSE))</f>
        <v>729.31428571428569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338</v>
      </c>
      <c r="I17" s="23" t="s">
        <v>341</v>
      </c>
      <c r="J17" s="23"/>
      <c r="K17" s="23"/>
      <c r="L17" s="23">
        <v>2.8</v>
      </c>
      <c r="M17" s="23">
        <f>L17</f>
        <v>2.8</v>
      </c>
      <c r="N17" s="635" t="s">
        <v>414</v>
      </c>
      <c r="O17" s="635"/>
      <c r="P17" s="635"/>
      <c r="Q17" s="24">
        <v>3</v>
      </c>
      <c r="S17" s="84" t="s">
        <v>72</v>
      </c>
      <c r="T17" s="83" t="str">
        <f>IF($S17="","",VLOOKUP($S17,RESUMO!$C:$D,2,FALSE))</f>
        <v>Escavação, carga e transporte de material de 1ª categoria - DMT de 800 a 1.000 m - caminho de serviço pavimentado - com escavadeira e caminhão basculante de 14 m³</v>
      </c>
      <c r="V17" s="85" t="str">
        <f>HYPERLINK("#"&amp;"'"&amp;S17&amp;"'"&amp;"!A1","LINK")</f>
        <v>LINK</v>
      </c>
    </row>
    <row r="18" spans="2:22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11"/>
      <c r="N18" s="612"/>
      <c r="O18" s="612"/>
      <c r="P18" s="612"/>
      <c r="Q18" s="29"/>
      <c r="S18" s="84" t="s">
        <v>75</v>
      </c>
      <c r="T18" s="83" t="str">
        <f>IF($S18="","",VLOOKUP($S18,RESUMO!$C:$D,2,FALSE))</f>
        <v>Escavação e carga de material de 1ª categoria - DMT acima de 3.000 m</v>
      </c>
      <c r="V18" s="85" t="str">
        <f t="shared" ref="V18:V21" si="1"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 t="str">
        <f t="shared" ref="L19:L36" si="2">IF(J19="","",J19*K19)</f>
        <v/>
      </c>
      <c r="M19" s="11" t="str">
        <f>IF(B19="","",IF(OR(M18="",Q19=""),M18,SUM(L19,M18)))</f>
        <v/>
      </c>
      <c r="N19" s="612"/>
      <c r="O19" s="612"/>
      <c r="P19" s="612"/>
      <c r="Q19" s="29"/>
      <c r="S19" s="84" t="s">
        <v>77</v>
      </c>
      <c r="T19" s="83" t="str">
        <f>IF($S19="","",VLOOKUP($S19,RESUMO!$C:$D,2,FALSE))</f>
        <v>Transporte com caminhão basculante de 10 m³ - rodovia pavimentada (DMT 5 Km)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si="2"/>
        <v/>
      </c>
      <c r="M20" s="11" t="str">
        <f t="shared" ref="M20:M36" si="3">IF(B20="","",IF(OR(M19="",Q20=""),M19,SUM(L20,M19)))</f>
        <v/>
      </c>
      <c r="N20" s="612"/>
      <c r="O20" s="612"/>
      <c r="P20" s="612"/>
      <c r="Q20" s="29"/>
      <c r="S20" s="84" t="s">
        <v>80</v>
      </c>
      <c r="T20" s="83" t="str">
        <f>IF($S20="","",VLOOKUP($S20,RESUMO!$C:$D,2,FALSE))</f>
        <v>Regularização de bota-fora com espalhamento e execução de hidrossemeadura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2"/>
        <v/>
      </c>
      <c r="M21" s="11" t="str">
        <f t="shared" si="3"/>
        <v/>
      </c>
      <c r="N21" s="612"/>
      <c r="O21" s="612"/>
      <c r="P21" s="612"/>
      <c r="Q21" s="29"/>
      <c r="S21" s="84" t="s">
        <v>82</v>
      </c>
      <c r="T21" s="83" t="str">
        <f>IF($S21="","",VLOOKUP($S21,RESUMO!$C:$D,2,FALSE))</f>
        <v>Royaltie de bota-fora</v>
      </c>
      <c r="V21" s="85" t="str">
        <f t="shared" si="1"/>
        <v>LINK</v>
      </c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2"/>
        <v/>
      </c>
      <c r="M22" s="11" t="str">
        <f t="shared" si="3"/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 Q17:Q36">
    <cfRule type="containsBlanks" dxfId="47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F3F8-6DA7-44E1-AB38-285178B5C080}">
  <sheetPr>
    <pageSetUpPr fitToPage="1"/>
  </sheetPr>
  <dimension ref="B1:U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2" width="12.7109375" style="3" customWidth="1"/>
    <col min="13" max="13" width="20.7109375" style="3" customWidth="1"/>
    <col min="14" max="15" width="10.7109375" style="3" customWidth="1"/>
    <col min="16" max="16384" width="10.7109375" style="3"/>
  </cols>
  <sheetData>
    <row r="1" spans="2:19" ht="19.899999999999999" customHeight="1" thickBot="1" x14ac:dyDescent="0.3"/>
    <row r="2" spans="2:19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3"/>
      <c r="R2" s="611" t="s">
        <v>294</v>
      </c>
      <c r="S2" s="611"/>
    </row>
    <row r="3" spans="2:19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5"/>
      <c r="R3" s="36"/>
      <c r="S3" s="36"/>
    </row>
    <row r="4" spans="2:19" ht="15" customHeight="1" x14ac:dyDescent="0.25">
      <c r="B4" s="647" t="s">
        <v>296</v>
      </c>
      <c r="C4" s="648"/>
      <c r="D4" s="648"/>
      <c r="E4" s="653">
        <f>IF($G$13="","",VLOOKUP($G$13,RESUMO!$C:$G,5,FALSE))</f>
        <v>7</v>
      </c>
      <c r="F4" s="653"/>
      <c r="G4" s="640">
        <f t="shared" ref="G4:G9" si="0">E4*$O$13</f>
        <v>6520.29</v>
      </c>
      <c r="H4" s="641"/>
      <c r="J4" s="613"/>
      <c r="K4" s="614"/>
      <c r="L4" s="614"/>
      <c r="M4" s="614"/>
      <c r="N4" s="614"/>
      <c r="O4" s="614"/>
      <c r="P4" s="615"/>
      <c r="R4" s="36"/>
      <c r="S4" s="36"/>
    </row>
    <row r="5" spans="2:19" ht="15" customHeight="1" x14ac:dyDescent="0.25">
      <c r="B5" s="649" t="s">
        <v>297</v>
      </c>
      <c r="C5" s="650"/>
      <c r="D5" s="650"/>
      <c r="E5" s="654">
        <f>SUMIFS(K:K,P:P,"&lt;&gt;")</f>
        <v>6</v>
      </c>
      <c r="F5" s="654"/>
      <c r="G5" s="642">
        <f t="shared" si="0"/>
        <v>5588.82</v>
      </c>
      <c r="H5" s="643"/>
      <c r="J5" s="613"/>
      <c r="K5" s="614"/>
      <c r="L5" s="614"/>
      <c r="M5" s="614"/>
      <c r="N5" s="614"/>
      <c r="O5" s="614"/>
      <c r="P5" s="615"/>
      <c r="R5" s="36"/>
      <c r="S5" s="36"/>
    </row>
    <row r="6" spans="2:19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5"/>
    </row>
    <row r="7" spans="2:19" ht="15" customHeight="1" x14ac:dyDescent="0.25">
      <c r="B7" s="649" t="s">
        <v>299</v>
      </c>
      <c r="C7" s="650"/>
      <c r="D7" s="650"/>
      <c r="E7" s="644">
        <f>E4-E5</f>
        <v>1</v>
      </c>
      <c r="F7" s="645"/>
      <c r="G7" s="642">
        <f t="shared" si="0"/>
        <v>931.47</v>
      </c>
      <c r="H7" s="643"/>
      <c r="J7" s="613"/>
      <c r="K7" s="614"/>
      <c r="L7" s="614"/>
      <c r="M7" s="614"/>
      <c r="N7" s="614"/>
      <c r="O7" s="614"/>
      <c r="P7" s="615"/>
    </row>
    <row r="8" spans="2:19" ht="15" customHeight="1" x14ac:dyDescent="0.25">
      <c r="B8" s="655" t="s">
        <v>300</v>
      </c>
      <c r="C8" s="656"/>
      <c r="D8" s="656"/>
      <c r="E8" s="657">
        <f>SUM(K:K)-E5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5"/>
    </row>
    <row r="9" spans="2:19" ht="15" customHeight="1" thickBot="1" x14ac:dyDescent="0.3">
      <c r="B9" s="651" t="s">
        <v>301</v>
      </c>
      <c r="C9" s="652"/>
      <c r="D9" s="652"/>
      <c r="E9" s="646">
        <f>SUMIF(P:P,CAPA!$I$2,K:K)</f>
        <v>6</v>
      </c>
      <c r="F9" s="646"/>
      <c r="G9" s="660">
        <f t="shared" si="0"/>
        <v>5588.82</v>
      </c>
      <c r="H9" s="661"/>
      <c r="J9" s="616"/>
      <c r="K9" s="617"/>
      <c r="L9" s="617"/>
      <c r="M9" s="617"/>
      <c r="N9" s="617"/>
      <c r="O9" s="617"/>
      <c r="P9" s="618"/>
    </row>
    <row r="10" spans="2:19" ht="10.15" customHeight="1" thickTop="1" thickBot="1" x14ac:dyDescent="0.3"/>
    <row r="11" spans="2:19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6"/>
    </row>
    <row r="12" spans="2:19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14" t="s">
        <v>303</v>
      </c>
      <c r="O12" s="619" t="s">
        <v>304</v>
      </c>
      <c r="P12" s="620"/>
    </row>
    <row r="13" spans="2:19" s="8" customFormat="1" ht="30" customHeight="1" thickBot="1" x14ac:dyDescent="0.3">
      <c r="B13" s="15" t="str">
        <f>RESUMO!C57</f>
        <v>C.4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RESUMO!C62</f>
        <v>C.4.5</v>
      </c>
      <c r="H13" s="623" t="str">
        <f>IF($G$13="","",VLOOKUP($G$13,RESUMO!$C:$F,2,FALSE))</f>
        <v>Tubo PEAD para drenagem - D = 800 mm - fornecimento e instalação</v>
      </c>
      <c r="I13" s="623"/>
      <c r="J13" s="623"/>
      <c r="K13" s="623"/>
      <c r="L13" s="623"/>
      <c r="M13" s="623"/>
      <c r="N13" s="17" t="str">
        <f>IF($G$13="","",VLOOKUP($G$13,RESUMO!$C:$F,3,FALSE))</f>
        <v>m</v>
      </c>
      <c r="O13" s="621">
        <f>IF($G$13="","",VLOOKUP($G$13,RESUMO!$C:$F,4,FALSE))</f>
        <v>931.47</v>
      </c>
      <c r="P13" s="622"/>
    </row>
    <row r="14" spans="2:19" ht="10.15" customHeight="1" thickTop="1" thickBot="1" x14ac:dyDescent="0.3"/>
    <row r="15" spans="2:19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627" t="s">
        <v>310</v>
      </c>
      <c r="L15" s="627" t="s">
        <v>311</v>
      </c>
      <c r="M15" s="627" t="s">
        <v>312</v>
      </c>
      <c r="N15" s="627"/>
      <c r="O15" s="627"/>
      <c r="P15" s="629" t="s">
        <v>27</v>
      </c>
      <c r="R15" s="611" t="s">
        <v>313</v>
      </c>
      <c r="S15" s="611"/>
    </row>
    <row r="16" spans="2:19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628"/>
      <c r="L16" s="628"/>
      <c r="M16" s="628"/>
      <c r="N16" s="628"/>
      <c r="O16" s="628"/>
      <c r="P16" s="630"/>
      <c r="R16" s="35" t="s">
        <v>269</v>
      </c>
      <c r="S16" s="35" t="s">
        <v>47</v>
      </c>
    </row>
    <row r="17" spans="2:21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338</v>
      </c>
      <c r="I17" s="23" t="s">
        <v>341</v>
      </c>
      <c r="J17" s="23">
        <v>6</v>
      </c>
      <c r="K17" s="23">
        <f>J17</f>
        <v>6</v>
      </c>
      <c r="L17" s="23">
        <f>K17</f>
        <v>6</v>
      </c>
      <c r="M17" s="635" t="s">
        <v>326</v>
      </c>
      <c r="N17" s="635"/>
      <c r="O17" s="635"/>
      <c r="P17" s="24">
        <v>3</v>
      </c>
      <c r="R17" s="84" t="s">
        <v>72</v>
      </c>
      <c r="S17" s="83" t="str">
        <f>IF($R17="","",VLOOKUP($R17,RESUMO!$C:$D,2,FALSE))</f>
        <v>Escavação, carga e transporte de material de 1ª categoria - DMT de 800 a 1.000 m - caminho de serviço pavimentado - com escavadeira e caminhão basculante de 14 m³</v>
      </c>
      <c r="U17" s="85" t="str">
        <f>HYPERLINK("#"&amp;"'"&amp;R17&amp;"'"&amp;"!A1","LINK")</f>
        <v>LINK</v>
      </c>
    </row>
    <row r="18" spans="2:21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 t="str">
        <f>IF(J18="","",J18*#REF!)</f>
        <v/>
      </c>
      <c r="L18" s="11" t="str">
        <f t="shared" ref="L18:L36" si="1">IF(B18="","",IF(OR(L17="",P18=""),L17,SUM(K18,L17)))</f>
        <v/>
      </c>
      <c r="M18" s="612"/>
      <c r="N18" s="612"/>
      <c r="O18" s="612"/>
      <c r="P18" s="29"/>
      <c r="R18" s="84" t="s">
        <v>75</v>
      </c>
      <c r="S18" s="83" t="str">
        <f>IF($R18="","",VLOOKUP($R18,RESUMO!$C:$D,2,FALSE))</f>
        <v>Escavação e carga de material de 1ª categoria - DMT acima de 3.000 m</v>
      </c>
      <c r="U18" s="85" t="str">
        <f>HYPERLINK("#"&amp;"'"&amp;R18&amp;"'"&amp;"!A1","LINK")</f>
        <v>LINK</v>
      </c>
    </row>
    <row r="19" spans="2:21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 t="str">
        <f>IF(J19="","",J19*#REF!)</f>
        <v/>
      </c>
      <c r="L19" s="11" t="str">
        <f t="shared" si="1"/>
        <v/>
      </c>
      <c r="M19" s="612"/>
      <c r="N19" s="612"/>
      <c r="O19" s="612"/>
      <c r="P19" s="29"/>
      <c r="R19" s="84" t="s">
        <v>80</v>
      </c>
      <c r="S19" s="83" t="str">
        <f>IF($R19="","",VLOOKUP($R19,RESUMO!$C:$D,2,FALSE))</f>
        <v>Regularização de bota-fora com espalhamento e execução de hidrossemeadura</v>
      </c>
      <c r="U19" s="85" t="str">
        <f>HYPERLINK("#"&amp;"'"&amp;R19&amp;"'"&amp;"!A1","LINK")</f>
        <v>LINK</v>
      </c>
    </row>
    <row r="20" spans="2:21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 t="str">
        <f>IF(J20="","",J20*#REF!)</f>
        <v/>
      </c>
      <c r="L20" s="11" t="str">
        <f t="shared" si="1"/>
        <v/>
      </c>
      <c r="M20" s="612"/>
      <c r="N20" s="612"/>
      <c r="O20" s="612"/>
      <c r="P20" s="29"/>
      <c r="R20" s="84" t="s">
        <v>82</v>
      </c>
      <c r="S20" s="83" t="str">
        <f>IF($R20="","",VLOOKUP($R20,RESUMO!$C:$D,2,FALSE))</f>
        <v>Royaltie de bota-fora</v>
      </c>
      <c r="U20" s="85" t="str">
        <f>HYPERLINK("#"&amp;"'"&amp;R20&amp;"'"&amp;"!A1","LINK")</f>
        <v>LINK</v>
      </c>
    </row>
    <row r="21" spans="2:21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 t="str">
        <f>IF(J21="","",J21*#REF!)</f>
        <v/>
      </c>
      <c r="L21" s="11" t="str">
        <f t="shared" si="1"/>
        <v/>
      </c>
      <c r="M21" s="612"/>
      <c r="N21" s="612"/>
      <c r="O21" s="612"/>
      <c r="P21" s="29"/>
    </row>
    <row r="22" spans="2:21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 t="str">
        <f>IF(J22="","",J22*#REF!)</f>
        <v/>
      </c>
      <c r="L22" s="11" t="str">
        <f t="shared" si="1"/>
        <v/>
      </c>
      <c r="M22" s="612"/>
      <c r="N22" s="612"/>
      <c r="O22" s="612"/>
      <c r="P22" s="29"/>
    </row>
    <row r="23" spans="2:21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 t="str">
        <f>IF(J23="","",J23*#REF!)</f>
        <v/>
      </c>
      <c r="L23" s="11" t="str">
        <f t="shared" si="1"/>
        <v/>
      </c>
      <c r="M23" s="612"/>
      <c r="N23" s="612"/>
      <c r="O23" s="612"/>
      <c r="P23" s="29"/>
    </row>
    <row r="24" spans="2:21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 t="str">
        <f>IF(J24="","",J24*#REF!)</f>
        <v/>
      </c>
      <c r="L24" s="11" t="str">
        <f t="shared" si="1"/>
        <v/>
      </c>
      <c r="M24" s="612"/>
      <c r="N24" s="612"/>
      <c r="O24" s="612"/>
      <c r="P24" s="29"/>
    </row>
    <row r="25" spans="2:21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 t="str">
        <f>IF(J25="","",J25*#REF!)</f>
        <v/>
      </c>
      <c r="L25" s="11" t="str">
        <f t="shared" si="1"/>
        <v/>
      </c>
      <c r="M25" s="612"/>
      <c r="N25" s="612"/>
      <c r="O25" s="612"/>
      <c r="P25" s="29"/>
    </row>
    <row r="26" spans="2:21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 t="str">
        <f>IF(J26="","",J26*#REF!)</f>
        <v/>
      </c>
      <c r="L26" s="11" t="str">
        <f t="shared" si="1"/>
        <v/>
      </c>
      <c r="M26" s="612"/>
      <c r="N26" s="612"/>
      <c r="O26" s="612"/>
      <c r="P26" s="29"/>
    </row>
    <row r="27" spans="2:21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 t="str">
        <f>IF(J27="","",J27*#REF!)</f>
        <v/>
      </c>
      <c r="L27" s="11" t="str">
        <f t="shared" si="1"/>
        <v/>
      </c>
      <c r="M27" s="612"/>
      <c r="N27" s="612"/>
      <c r="O27" s="612"/>
      <c r="P27" s="29"/>
    </row>
    <row r="28" spans="2:21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 t="str">
        <f>IF(J28="","",J28*#REF!)</f>
        <v/>
      </c>
      <c r="L28" s="11" t="str">
        <f t="shared" si="1"/>
        <v/>
      </c>
      <c r="M28" s="612"/>
      <c r="N28" s="612"/>
      <c r="O28" s="612"/>
      <c r="P28" s="29"/>
    </row>
    <row r="29" spans="2:21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 t="str">
        <f>IF(J29="","",J29*#REF!)</f>
        <v/>
      </c>
      <c r="L29" s="11" t="str">
        <f t="shared" si="1"/>
        <v/>
      </c>
      <c r="M29" s="612"/>
      <c r="N29" s="612"/>
      <c r="O29" s="612"/>
      <c r="P29" s="29"/>
    </row>
    <row r="30" spans="2:21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 t="str">
        <f>IF(J30="","",J30*#REF!)</f>
        <v/>
      </c>
      <c r="L30" s="11" t="str">
        <f t="shared" si="1"/>
        <v/>
      </c>
      <c r="M30" s="612"/>
      <c r="N30" s="612"/>
      <c r="O30" s="612"/>
      <c r="P30" s="29"/>
    </row>
    <row r="31" spans="2:21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 t="str">
        <f>IF(J31="","",J31*#REF!)</f>
        <v/>
      </c>
      <c r="L31" s="11" t="str">
        <f t="shared" si="1"/>
        <v/>
      </c>
      <c r="M31" s="612"/>
      <c r="N31" s="612"/>
      <c r="O31" s="612"/>
      <c r="P31" s="29"/>
    </row>
    <row r="32" spans="2:21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 t="str">
        <f>IF(J32="","",J32*#REF!)</f>
        <v/>
      </c>
      <c r="L32" s="11" t="str">
        <f t="shared" si="1"/>
        <v/>
      </c>
      <c r="M32" s="612"/>
      <c r="N32" s="612"/>
      <c r="O32" s="612"/>
      <c r="P32" s="29"/>
    </row>
    <row r="33" spans="2:16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 t="str">
        <f>IF(J33="","",J33*#REF!)</f>
        <v/>
      </c>
      <c r="L33" s="11" t="str">
        <f t="shared" si="1"/>
        <v/>
      </c>
      <c r="M33" s="612"/>
      <c r="N33" s="612"/>
      <c r="O33" s="612"/>
      <c r="P33" s="29"/>
    </row>
    <row r="34" spans="2:16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 t="str">
        <f>IF(J34="","",J34*#REF!)</f>
        <v/>
      </c>
      <c r="L34" s="11" t="str">
        <f t="shared" si="1"/>
        <v/>
      </c>
      <c r="M34" s="612"/>
      <c r="N34" s="612"/>
      <c r="O34" s="612"/>
      <c r="P34" s="29"/>
    </row>
    <row r="35" spans="2:16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 t="str">
        <f>IF(J35="","",J35*#REF!)</f>
        <v/>
      </c>
      <c r="L35" s="11" t="str">
        <f t="shared" si="1"/>
        <v/>
      </c>
      <c r="M35" s="612"/>
      <c r="N35" s="612"/>
      <c r="O35" s="612"/>
      <c r="P35" s="29"/>
    </row>
    <row r="36" spans="2:16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 t="str">
        <f>IF(J36="","",J36*#REF!)</f>
        <v/>
      </c>
      <c r="L36" s="12" t="str">
        <f t="shared" si="1"/>
        <v/>
      </c>
      <c r="M36" s="634"/>
      <c r="N36" s="634"/>
      <c r="O36" s="634"/>
      <c r="P36" s="34"/>
    </row>
    <row r="37" spans="2:16" ht="19.899999999999999" customHeight="1" thickTop="1" x14ac:dyDescent="0.25"/>
  </sheetData>
  <mergeCells count="70">
    <mergeCell ref="M36:O36"/>
    <mergeCell ref="M30:O30"/>
    <mergeCell ref="M31:O31"/>
    <mergeCell ref="M32:O32"/>
    <mergeCell ref="M33:O33"/>
    <mergeCell ref="M34:O34"/>
    <mergeCell ref="M35:O35"/>
    <mergeCell ref="R15:S15"/>
    <mergeCell ref="M29:O29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17:O17"/>
    <mergeCell ref="B15:B16"/>
    <mergeCell ref="C15:C16"/>
    <mergeCell ref="D15:E15"/>
    <mergeCell ref="F15:G15"/>
    <mergeCell ref="H15:H16"/>
    <mergeCell ref="I15:I16"/>
    <mergeCell ref="K15:K16"/>
    <mergeCell ref="L15:L16"/>
    <mergeCell ref="M15:O16"/>
    <mergeCell ref="C13:F13"/>
    <mergeCell ref="H13:M13"/>
    <mergeCell ref="O13:P13"/>
    <mergeCell ref="P15:P16"/>
    <mergeCell ref="B8:D8"/>
    <mergeCell ref="E8:F8"/>
    <mergeCell ref="G8:H8"/>
    <mergeCell ref="J8:P8"/>
    <mergeCell ref="B9:D9"/>
    <mergeCell ref="E9:F9"/>
    <mergeCell ref="G9:H9"/>
    <mergeCell ref="J9:P9"/>
    <mergeCell ref="B11:F11"/>
    <mergeCell ref="G11:P11"/>
    <mergeCell ref="C12:F12"/>
    <mergeCell ref="H12:M12"/>
    <mergeCell ref="O12:P12"/>
    <mergeCell ref="B6:D6"/>
    <mergeCell ref="E6:F6"/>
    <mergeCell ref="G6:H6"/>
    <mergeCell ref="J6:P6"/>
    <mergeCell ref="B7:D7"/>
    <mergeCell ref="E7:F7"/>
    <mergeCell ref="G7:H7"/>
    <mergeCell ref="J7:P7"/>
    <mergeCell ref="B4:D4"/>
    <mergeCell ref="E4:F4"/>
    <mergeCell ref="G4:H4"/>
    <mergeCell ref="J4:P4"/>
    <mergeCell ref="B5:D5"/>
    <mergeCell ref="E5:F5"/>
    <mergeCell ref="G5:H5"/>
    <mergeCell ref="J5:P5"/>
    <mergeCell ref="B2:D3"/>
    <mergeCell ref="E2:H2"/>
    <mergeCell ref="J2:P2"/>
    <mergeCell ref="R2:S2"/>
    <mergeCell ref="E3:F3"/>
    <mergeCell ref="G3:H3"/>
    <mergeCell ref="J3:P3"/>
  </mergeCells>
  <conditionalFormatting sqref="B17:M36">
    <cfRule type="containsBlanks" dxfId="46" priority="1">
      <formula>LEN(TRIM(B17))=0</formula>
    </cfRule>
  </conditionalFormatting>
  <conditionalFormatting sqref="P17:P36">
    <cfRule type="containsBlanks" dxfId="45" priority="2">
      <formula>LEN(TRIM(P17))=0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740D-5563-4473-85FB-03882A6B3CAD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2400.25</v>
      </c>
      <c r="F4" s="653"/>
      <c r="G4" s="640">
        <f t="shared" ref="G4:G9" si="0">E4*$P$13</f>
        <v>2064.21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1887.3890000000001</v>
      </c>
      <c r="F5" s="654"/>
      <c r="G5" s="642">
        <f t="shared" si="0"/>
        <v>1623.1506083491306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1887.3890000000001</v>
      </c>
      <c r="F6" s="654"/>
      <c r="G6" s="642">
        <f t="shared" si="0"/>
        <v>1623.1506083491306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512.86099999999988</v>
      </c>
      <c r="F7" s="645"/>
      <c r="G7" s="642">
        <f t="shared" si="0"/>
        <v>441.0593916508696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RESUMO!C64</f>
        <v>D.1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RESUMO!C65</f>
        <v>D.1.1</v>
      </c>
      <c r="H13" s="623" t="str">
        <f>IF($G$13="","",VLOOKUP($G$13,RESUMO!$C:$F,2,FALSE))</f>
        <v>Desmatamento, destocamento, limpeza de área e estocagem do material de limpeza com árvores de diâmetro até 0,15 m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m²</v>
      </c>
      <c r="P13" s="621">
        <f>IF($G$13="","",VLOOKUP($G$13,RESUMO!$C:$F,4,FALSE))</f>
        <v>0.85999791688365801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23"/>
      <c r="K17" s="23"/>
      <c r="L17" s="23">
        <v>659.39200000000005</v>
      </c>
      <c r="M17" s="23">
        <f>IF(OR(B17="",L17=""),"",IF(AND(M16="",Q17=""),M16,SUM(L17,M16)))</f>
        <v>659.39200000000005</v>
      </c>
      <c r="N17" s="612" t="s">
        <v>326</v>
      </c>
      <c r="O17" s="612"/>
      <c r="P17" s="612"/>
      <c r="Q17" s="24">
        <v>1</v>
      </c>
      <c r="S17" s="84" t="s">
        <v>145</v>
      </c>
      <c r="T17" s="83" t="str">
        <f>IF($S17="","",VLOOKUP($S17,RESUMO!$C:$D,2,FALSE))</f>
        <v>Desmatamento, destocamento, limpeza de área e estocagem do material de limpeza com árvores de diâmetro até 0,15 m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"/>
      <c r="K18" s="11"/>
      <c r="L18" s="11">
        <v>1227.9970000000001</v>
      </c>
      <c r="M18" s="11">
        <f>IF(B18="","",IF(OR(M17="",Q18=""),M17,SUM(L18,M17)))</f>
        <v>1887.3890000000001</v>
      </c>
      <c r="N18" s="612" t="s">
        <v>326</v>
      </c>
      <c r="O18" s="612"/>
      <c r="P18" s="612"/>
      <c r="Q18" s="29">
        <v>1</v>
      </c>
      <c r="S18" s="84" t="s">
        <v>146</v>
      </c>
      <c r="T18" s="83" t="str">
        <f>IF($S18="","",VLOOKUP($S18,RESUMO!$C:$D,2,FALSE))</f>
        <v>Transporte com caminhão basculante de 14 m³ - rodovia pavimentada</v>
      </c>
      <c r="V18" s="85" t="str">
        <f t="shared" ref="V18:V20" si="1"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612"/>
      <c r="O19" s="612"/>
      <c r="P19" s="612"/>
      <c r="Q19" s="29"/>
      <c r="S19" s="84" t="s">
        <v>147</v>
      </c>
      <c r="T19" s="83" t="str">
        <f>IF($S19="","",VLOOKUP($S19,RESUMO!$C:$D,2,FALSE))</f>
        <v xml:space="preserve">Escavação, carga e transporte de material de 1ª categoria - DMT de 1.000 a 1.200 m -  com escavadeira e caminhão basculante de 14 m³  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612"/>
      <c r="O20" s="612"/>
      <c r="P20" s="612"/>
      <c r="Q20" s="29"/>
      <c r="S20" s="84" t="s">
        <v>148</v>
      </c>
      <c r="T20" s="83" t="str">
        <f>IF($S20="","",VLOOKUP($S20,RESUMO!$C:$D,2,FALSE))</f>
        <v>Regularização de bota-fora com espalhamento e execução de hidrossemeadura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612"/>
      <c r="O21" s="612"/>
      <c r="P21" s="612"/>
      <c r="Q21" s="29"/>
      <c r="S21" s="84"/>
      <c r="T21" s="83"/>
      <c r="V21" s="85"/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ref="L22:L36" si="2">IF(J22="","",J22*K22)</f>
        <v/>
      </c>
      <c r="M22" s="11" t="str">
        <f t="shared" ref="M22:M36" si="3">IF(B22="","",IF(OR(M21="",Q22=""),M21,SUM(L22,M21)))</f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phoneticPr fontId="16" type="noConversion"/>
  <conditionalFormatting sqref="B17:N36 Q17:Q36">
    <cfRule type="containsBlanks" dxfId="44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1C13-6327-416E-B800-DF1608DC1BAC}">
  <sheetPr>
    <pageSetUpPr fitToPage="1"/>
  </sheetPr>
  <dimension ref="B1:AB46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9" width="12.7109375" style="3" customWidth="1"/>
    <col min="20" max="20" width="20.7109375" style="3" customWidth="1"/>
    <col min="21" max="22" width="10.7109375" style="3" customWidth="1"/>
    <col min="23" max="16384" width="10.7109375" style="3"/>
  </cols>
  <sheetData>
    <row r="1" spans="2:26" ht="19.899999999999999" customHeight="1" thickBot="1" x14ac:dyDescent="0.3"/>
    <row r="2" spans="2:26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3"/>
      <c r="Y2" s="611" t="s">
        <v>294</v>
      </c>
      <c r="Z2" s="611"/>
    </row>
    <row r="3" spans="2:26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5"/>
      <c r="Y3" s="36"/>
      <c r="Z3" s="36"/>
    </row>
    <row r="4" spans="2:26" ht="15" customHeight="1" x14ac:dyDescent="0.25">
      <c r="B4" s="647" t="s">
        <v>296</v>
      </c>
      <c r="C4" s="648"/>
      <c r="D4" s="648"/>
      <c r="E4" s="653">
        <f>IF($G$13="","",VLOOKUP($G$13,RESUMO!$C:$G,5,FALSE))</f>
        <v>184.67</v>
      </c>
      <c r="F4" s="653"/>
      <c r="G4" s="640">
        <f t="shared" ref="G4:G9" si="0">E4*$V$13</f>
        <v>284.39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5"/>
      <c r="Y4" s="36"/>
      <c r="Z4" s="36"/>
    </row>
    <row r="5" spans="2:26" ht="15" customHeight="1" x14ac:dyDescent="0.25">
      <c r="B5" s="649" t="s">
        <v>297</v>
      </c>
      <c r="C5" s="650"/>
      <c r="D5" s="650"/>
      <c r="E5" s="654">
        <f>SUMIFS(R:R,W:W,"&lt;&gt;")</f>
        <v>184.02042750000004</v>
      </c>
      <c r="F5" s="654"/>
      <c r="G5" s="642">
        <f t="shared" si="0"/>
        <v>283.3896646814589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  <c r="V5" s="614"/>
      <c r="W5" s="615"/>
      <c r="Y5" s="36"/>
      <c r="Z5" s="36"/>
    </row>
    <row r="6" spans="2:26" ht="15" customHeight="1" x14ac:dyDescent="0.25">
      <c r="B6" s="649" t="s">
        <v>298</v>
      </c>
      <c r="C6" s="650"/>
      <c r="D6" s="650"/>
      <c r="E6" s="654">
        <f>E5-E9</f>
        <v>184.02042750000004</v>
      </c>
      <c r="F6" s="654"/>
      <c r="G6" s="642">
        <f t="shared" si="0"/>
        <v>283.3896646814589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4"/>
      <c r="T6" s="614"/>
      <c r="U6" s="614"/>
      <c r="V6" s="614"/>
      <c r="W6" s="615"/>
    </row>
    <row r="7" spans="2:26" ht="15" customHeight="1" x14ac:dyDescent="0.25">
      <c r="B7" s="649" t="s">
        <v>299</v>
      </c>
      <c r="C7" s="650"/>
      <c r="D7" s="650"/>
      <c r="E7" s="644">
        <f>E4-E5</f>
        <v>0.64957249999994815</v>
      </c>
      <c r="F7" s="645"/>
      <c r="G7" s="642">
        <f t="shared" si="0"/>
        <v>1.0003353185411019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4"/>
      <c r="T7" s="614"/>
      <c r="U7" s="614"/>
      <c r="V7" s="614"/>
      <c r="W7" s="615"/>
    </row>
    <row r="8" spans="2:26" ht="15" customHeight="1" x14ac:dyDescent="0.25">
      <c r="B8" s="655" t="s">
        <v>300</v>
      </c>
      <c r="C8" s="656"/>
      <c r="D8" s="656"/>
      <c r="E8" s="657">
        <f>SUM(R:R)-E5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4"/>
      <c r="T8" s="614"/>
      <c r="U8" s="614"/>
      <c r="V8" s="614"/>
      <c r="W8" s="615"/>
    </row>
    <row r="9" spans="2:26" ht="15" customHeight="1" thickBot="1" x14ac:dyDescent="0.3">
      <c r="B9" s="651" t="s">
        <v>301</v>
      </c>
      <c r="C9" s="652"/>
      <c r="D9" s="652"/>
      <c r="E9" s="646">
        <f>SUMIF(W:W,CAPA!$I$2,R:R)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7"/>
      <c r="T9" s="617"/>
      <c r="U9" s="617"/>
      <c r="V9" s="617"/>
      <c r="W9" s="618"/>
    </row>
    <row r="10" spans="2:26" ht="10.15" customHeight="1" thickTop="1" thickBot="1" x14ac:dyDescent="0.3"/>
    <row r="11" spans="2:26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5"/>
      <c r="U11" s="625"/>
      <c r="V11" s="625"/>
      <c r="W11" s="626"/>
    </row>
    <row r="12" spans="2:26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619"/>
      <c r="R12" s="619"/>
      <c r="S12" s="619"/>
      <c r="T12" s="619"/>
      <c r="U12" s="14" t="s">
        <v>303</v>
      </c>
      <c r="V12" s="619" t="s">
        <v>304</v>
      </c>
      <c r="W12" s="620"/>
    </row>
    <row r="13" spans="2:26" s="8" customFormat="1" ht="30" customHeight="1" thickBot="1" x14ac:dyDescent="0.3">
      <c r="B13" s="15" t="str">
        <f>RESUMO!C64</f>
        <v>D.1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RESUMO!C66</f>
        <v>D.1.2</v>
      </c>
      <c r="H13" s="623" t="str">
        <f>IF($G$13="","",VLOOKUP($G$13,RESUMO!$C:$F,2,FALSE))</f>
        <v>Transporte com caminhão basculante de 14 m³ - rodovia pavimentada</v>
      </c>
      <c r="I13" s="623"/>
      <c r="J13" s="623"/>
      <c r="K13" s="623"/>
      <c r="L13" s="623"/>
      <c r="M13" s="623"/>
      <c r="N13" s="623"/>
      <c r="O13" s="623"/>
      <c r="P13" s="623"/>
      <c r="Q13" s="623"/>
      <c r="R13" s="623"/>
      <c r="S13" s="623"/>
      <c r="T13" s="623"/>
      <c r="U13" s="17" t="str">
        <f>IF($G$13="","",VLOOKUP($G$13,RESUMO!$C:$F,3,FALSE))</f>
        <v>T x Km</v>
      </c>
      <c r="V13" s="621">
        <f>IF($G$13="","",VLOOKUP($G$13,RESUMO!$C:$F,4,FALSE))</f>
        <v>1.5399902528835221</v>
      </c>
      <c r="W13" s="622"/>
    </row>
    <row r="14" spans="2:26" ht="10.15" customHeight="1" thickTop="1" thickBot="1" x14ac:dyDescent="0.3"/>
    <row r="15" spans="2:26" ht="13.5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627" t="s">
        <v>327</v>
      </c>
      <c r="K15" s="627" t="s">
        <v>328</v>
      </c>
      <c r="L15" s="627"/>
      <c r="M15" s="9" t="s">
        <v>329</v>
      </c>
      <c r="N15" s="9" t="s">
        <v>323</v>
      </c>
      <c r="O15" s="9" t="s">
        <v>330</v>
      </c>
      <c r="P15" s="9" t="s">
        <v>331</v>
      </c>
      <c r="Q15" s="627" t="s">
        <v>332</v>
      </c>
      <c r="R15" s="627" t="s">
        <v>310</v>
      </c>
      <c r="S15" s="627" t="s">
        <v>311</v>
      </c>
      <c r="T15" s="627" t="s">
        <v>312</v>
      </c>
      <c r="U15" s="627"/>
      <c r="V15" s="627"/>
      <c r="W15" s="629" t="s">
        <v>27</v>
      </c>
      <c r="Y15" s="611" t="s">
        <v>313</v>
      </c>
      <c r="Z15" s="611"/>
    </row>
    <row r="16" spans="2:26" ht="13.5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28"/>
      <c r="K16" s="10" t="s">
        <v>314</v>
      </c>
      <c r="L16" s="10" t="s">
        <v>315</v>
      </c>
      <c r="M16" s="10" t="s">
        <v>333</v>
      </c>
      <c r="N16" s="10" t="s">
        <v>322</v>
      </c>
      <c r="O16" s="10" t="s">
        <v>334</v>
      </c>
      <c r="P16" s="10" t="s">
        <v>335</v>
      </c>
      <c r="Q16" s="628"/>
      <c r="R16" s="628"/>
      <c r="S16" s="628"/>
      <c r="T16" s="628"/>
      <c r="U16" s="628"/>
      <c r="V16" s="628"/>
      <c r="W16" s="630"/>
      <c r="Y16" s="35" t="s">
        <v>269</v>
      </c>
      <c r="Z16" s="35" t="s">
        <v>47</v>
      </c>
    </row>
    <row r="17" spans="2:28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23" t="s">
        <v>265</v>
      </c>
      <c r="K17" s="21">
        <v>307</v>
      </c>
      <c r="L17" s="22">
        <v>90</v>
      </c>
      <c r="M17" s="23">
        <f>'D.1.1'!L17</f>
        <v>659.39200000000005</v>
      </c>
      <c r="N17" s="23">
        <v>0.15</v>
      </c>
      <c r="O17" s="23">
        <f>M17*N17</f>
        <v>98.908799999999999</v>
      </c>
      <c r="P17" s="23">
        <v>0.5</v>
      </c>
      <c r="Q17" s="23">
        <v>1.3</v>
      </c>
      <c r="R17" s="23">
        <f>O17*P17*Q17</f>
        <v>64.290720000000007</v>
      </c>
      <c r="S17" s="23">
        <f>IF(OR(B17="",R17=""),"",IF(AND(S16="",W17=""),S16,SUM(R17,S16)))</f>
        <v>64.290720000000007</v>
      </c>
      <c r="T17" s="612" t="s">
        <v>326</v>
      </c>
      <c r="U17" s="612"/>
      <c r="V17" s="612"/>
      <c r="W17" s="24">
        <v>1</v>
      </c>
      <c r="Y17" s="84" t="s">
        <v>145</v>
      </c>
      <c r="Z17" s="83" t="str">
        <f>IF($Y17="","",VLOOKUP($Y17,RESUMO!$C:$D,2,FALSE))</f>
        <v>Desmatamento, destocamento, limpeza de área e estocagem do material de limpeza com árvores de diâmetro até 0,15 m</v>
      </c>
      <c r="AB17" s="85" t="str">
        <f>HYPERLINK("#"&amp;"'"&amp;Y17&amp;"'"&amp;"!A1","LINK")</f>
        <v>LINK</v>
      </c>
    </row>
    <row r="18" spans="2:28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" t="s">
        <v>265</v>
      </c>
      <c r="K18" s="27"/>
      <c r="L18" s="28"/>
      <c r="M18" s="11">
        <f>'D.1.1'!L18</f>
        <v>1227.9970000000001</v>
      </c>
      <c r="N18" s="11">
        <v>0.15</v>
      </c>
      <c r="O18" s="11">
        <f>M18*N18</f>
        <v>184.19955000000002</v>
      </c>
      <c r="P18" s="11">
        <v>0.5</v>
      </c>
      <c r="Q18" s="11">
        <v>1.3</v>
      </c>
      <c r="R18" s="11">
        <f>O18*P18*Q18</f>
        <v>119.72970750000002</v>
      </c>
      <c r="S18" s="11">
        <f>IF(B18="","",IF(OR(S17="",W18=""),S17,SUM(R18,S17)))</f>
        <v>184.02042750000004</v>
      </c>
      <c r="T18" s="612" t="s">
        <v>326</v>
      </c>
      <c r="U18" s="612"/>
      <c r="V18" s="612"/>
      <c r="W18" s="29">
        <v>1</v>
      </c>
      <c r="Y18" s="84" t="s">
        <v>146</v>
      </c>
      <c r="Z18" s="83" t="str">
        <f>IF($Y18="","",VLOOKUP($Y18,RESUMO!$C:$D,2,FALSE))</f>
        <v>Transporte com caminhão basculante de 14 m³ - rodovia pavimentada</v>
      </c>
      <c r="AB18" s="85" t="str">
        <f t="shared" ref="AB18:AB20" si="1">HYPERLINK("#"&amp;"'"&amp;Y18&amp;"'"&amp;"!A1","LINK")</f>
        <v>LINK</v>
      </c>
    </row>
    <row r="19" spans="2:28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27"/>
      <c r="L19" s="28"/>
      <c r="M19" s="11"/>
      <c r="N19" s="11"/>
      <c r="O19" s="11"/>
      <c r="P19" s="11"/>
      <c r="Q19" s="11"/>
      <c r="R19" s="11"/>
      <c r="S19" s="11"/>
      <c r="T19" s="612"/>
      <c r="U19" s="612"/>
      <c r="V19" s="612"/>
      <c r="W19" s="29"/>
      <c r="Y19" s="84" t="s">
        <v>147</v>
      </c>
      <c r="Z19" s="83" t="str">
        <f>IF($Y19="","",VLOOKUP($Y19,RESUMO!$C:$D,2,FALSE))</f>
        <v xml:space="preserve">Escavação, carga e transporte de material de 1ª categoria - DMT de 1.000 a 1.200 m -  com escavadeira e caminhão basculante de 14 m³  </v>
      </c>
      <c r="AB19" s="85" t="str">
        <f t="shared" si="1"/>
        <v>LINK</v>
      </c>
    </row>
    <row r="20" spans="2:28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27"/>
      <c r="L20" s="28"/>
      <c r="M20" s="11"/>
      <c r="N20" s="11"/>
      <c r="O20" s="11"/>
      <c r="P20" s="11"/>
      <c r="Q20" s="11"/>
      <c r="R20" s="11"/>
      <c r="S20" s="11"/>
      <c r="T20" s="612"/>
      <c r="U20" s="612"/>
      <c r="V20" s="612"/>
      <c r="W20" s="29"/>
      <c r="Y20" s="84" t="s">
        <v>148</v>
      </c>
      <c r="Z20" s="83" t="str">
        <f>IF($Y20="","",VLOOKUP($Y20,RESUMO!$C:$D,2,FALSE))</f>
        <v>Regularização de bota-fora com espalhamento e execução de hidrossemeadura</v>
      </c>
      <c r="AB20" s="85" t="str">
        <f t="shared" si="1"/>
        <v>LINK</v>
      </c>
    </row>
    <row r="21" spans="2:28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27"/>
      <c r="L21" s="28"/>
      <c r="M21" s="11"/>
      <c r="N21" s="11"/>
      <c r="O21" s="11"/>
      <c r="P21" s="11"/>
      <c r="Q21" s="11"/>
      <c r="R21" s="11"/>
      <c r="S21" s="11"/>
      <c r="T21" s="612"/>
      <c r="U21" s="612"/>
      <c r="V21" s="612"/>
      <c r="W21" s="29"/>
      <c r="Y21" s="84"/>
      <c r="Z21" s="83"/>
      <c r="AB21" s="85"/>
    </row>
    <row r="22" spans="2:28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27"/>
      <c r="L22" s="28"/>
      <c r="M22" s="11"/>
      <c r="N22" s="11"/>
      <c r="O22" s="11"/>
      <c r="P22" s="11"/>
      <c r="Q22" s="11"/>
      <c r="R22" s="11"/>
      <c r="S22" s="11"/>
      <c r="T22" s="612"/>
      <c r="U22" s="612"/>
      <c r="V22" s="612"/>
      <c r="W22" s="29"/>
    </row>
    <row r="23" spans="2:28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27"/>
      <c r="L23" s="28"/>
      <c r="M23" s="11"/>
      <c r="N23" s="11"/>
      <c r="O23" s="11"/>
      <c r="P23" s="11"/>
      <c r="Q23" s="11"/>
      <c r="R23" s="11"/>
      <c r="S23" s="11"/>
      <c r="T23" s="612"/>
      <c r="U23" s="612"/>
      <c r="V23" s="612"/>
      <c r="W23" s="29"/>
    </row>
    <row r="24" spans="2:28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27"/>
      <c r="L24" s="28"/>
      <c r="M24" s="11"/>
      <c r="N24" s="11"/>
      <c r="O24" s="11"/>
      <c r="P24" s="11"/>
      <c r="Q24" s="11"/>
      <c r="R24" s="11"/>
      <c r="S24" s="11"/>
      <c r="T24" s="612"/>
      <c r="U24" s="612"/>
      <c r="V24" s="612"/>
      <c r="W24" s="29"/>
    </row>
    <row r="25" spans="2:28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27"/>
      <c r="L25" s="28"/>
      <c r="M25" s="11"/>
      <c r="N25" s="11"/>
      <c r="O25" s="11"/>
      <c r="P25" s="11"/>
      <c r="Q25" s="11"/>
      <c r="R25" s="11" t="str">
        <f t="shared" ref="R25:R45" si="2">IF(P25="","",P25*Q25)</f>
        <v/>
      </c>
      <c r="S25" s="11" t="str">
        <f t="shared" ref="S25:S44" si="3">IF(B25="","",IF(OR(S24="",W25=""),S24,SUM(R25,S24)))</f>
        <v/>
      </c>
      <c r="T25" s="612"/>
      <c r="U25" s="612"/>
      <c r="V25" s="612"/>
      <c r="W25" s="29"/>
    </row>
    <row r="26" spans="2:28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27"/>
      <c r="L26" s="28"/>
      <c r="M26" s="11"/>
      <c r="N26" s="11"/>
      <c r="O26" s="11"/>
      <c r="P26" s="11"/>
      <c r="Q26" s="11"/>
      <c r="R26" s="11" t="str">
        <f t="shared" si="2"/>
        <v/>
      </c>
      <c r="S26" s="11" t="str">
        <f t="shared" si="3"/>
        <v/>
      </c>
      <c r="T26" s="612"/>
      <c r="U26" s="612"/>
      <c r="V26" s="612"/>
      <c r="W26" s="29"/>
    </row>
    <row r="27" spans="2:28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27"/>
      <c r="L27" s="28"/>
      <c r="M27" s="11"/>
      <c r="N27" s="11"/>
      <c r="O27" s="11"/>
      <c r="P27" s="11"/>
      <c r="Q27" s="11"/>
      <c r="R27" s="11" t="str">
        <f t="shared" si="2"/>
        <v/>
      </c>
      <c r="S27" s="11" t="str">
        <f t="shared" si="3"/>
        <v/>
      </c>
      <c r="T27" s="612"/>
      <c r="U27" s="612"/>
      <c r="V27" s="612"/>
      <c r="W27" s="29"/>
    </row>
    <row r="28" spans="2:28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27"/>
      <c r="L28" s="28"/>
      <c r="M28" s="11"/>
      <c r="N28" s="11"/>
      <c r="O28" s="11"/>
      <c r="P28" s="11"/>
      <c r="Q28" s="11"/>
      <c r="R28" s="11" t="str">
        <f t="shared" si="2"/>
        <v/>
      </c>
      <c r="S28" s="11" t="str">
        <f t="shared" si="3"/>
        <v/>
      </c>
      <c r="T28" s="612"/>
      <c r="U28" s="612"/>
      <c r="V28" s="612"/>
      <c r="W28" s="29"/>
    </row>
    <row r="29" spans="2:28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27"/>
      <c r="L29" s="28"/>
      <c r="M29" s="11"/>
      <c r="N29" s="11"/>
      <c r="O29" s="11"/>
      <c r="P29" s="11"/>
      <c r="Q29" s="11"/>
      <c r="R29" s="11" t="str">
        <f t="shared" si="2"/>
        <v/>
      </c>
      <c r="S29" s="11" t="str">
        <f t="shared" si="3"/>
        <v/>
      </c>
      <c r="T29" s="612"/>
      <c r="U29" s="612"/>
      <c r="V29" s="612"/>
      <c r="W29" s="29"/>
    </row>
    <row r="30" spans="2:28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27"/>
      <c r="L30" s="28"/>
      <c r="M30" s="11"/>
      <c r="N30" s="11"/>
      <c r="O30" s="11"/>
      <c r="P30" s="11"/>
      <c r="Q30" s="11"/>
      <c r="R30" s="11" t="str">
        <f t="shared" si="2"/>
        <v/>
      </c>
      <c r="S30" s="11" t="str">
        <f t="shared" si="3"/>
        <v/>
      </c>
      <c r="T30" s="612"/>
      <c r="U30" s="612"/>
      <c r="V30" s="612"/>
      <c r="W30" s="29"/>
    </row>
    <row r="31" spans="2:28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27"/>
      <c r="L31" s="28"/>
      <c r="M31" s="11"/>
      <c r="N31" s="11"/>
      <c r="O31" s="11"/>
      <c r="P31" s="11"/>
      <c r="Q31" s="11"/>
      <c r="R31" s="11" t="str">
        <f t="shared" si="2"/>
        <v/>
      </c>
      <c r="S31" s="11" t="str">
        <f t="shared" si="3"/>
        <v/>
      </c>
      <c r="T31" s="612"/>
      <c r="U31" s="612"/>
      <c r="V31" s="612"/>
      <c r="W31" s="29"/>
    </row>
    <row r="32" spans="2:28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27"/>
      <c r="L32" s="28"/>
      <c r="M32" s="11"/>
      <c r="N32" s="11"/>
      <c r="O32" s="11"/>
      <c r="P32" s="11"/>
      <c r="Q32" s="11"/>
      <c r="R32" s="11" t="str">
        <f t="shared" si="2"/>
        <v/>
      </c>
      <c r="S32" s="11" t="str">
        <f t="shared" si="3"/>
        <v/>
      </c>
      <c r="T32" s="612"/>
      <c r="U32" s="612"/>
      <c r="V32" s="612"/>
      <c r="W32" s="29"/>
    </row>
    <row r="33" spans="2:23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27"/>
      <c r="L33" s="28"/>
      <c r="M33" s="11"/>
      <c r="N33" s="11"/>
      <c r="O33" s="11"/>
      <c r="P33" s="11"/>
      <c r="Q33" s="11"/>
      <c r="R33" s="11" t="str">
        <f t="shared" si="2"/>
        <v/>
      </c>
      <c r="S33" s="11" t="str">
        <f t="shared" si="3"/>
        <v/>
      </c>
      <c r="T33" s="612"/>
      <c r="U33" s="612"/>
      <c r="V33" s="612"/>
      <c r="W33" s="29"/>
    </row>
    <row r="34" spans="2:23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27"/>
      <c r="L34" s="28"/>
      <c r="M34" s="11"/>
      <c r="N34" s="11"/>
      <c r="O34" s="11"/>
      <c r="P34" s="11"/>
      <c r="Q34" s="11"/>
      <c r="R34" s="11" t="str">
        <f t="shared" si="2"/>
        <v/>
      </c>
      <c r="S34" s="11" t="str">
        <f t="shared" si="3"/>
        <v/>
      </c>
      <c r="T34" s="612"/>
      <c r="U34" s="612"/>
      <c r="V34" s="612"/>
      <c r="W34" s="29"/>
    </row>
    <row r="35" spans="2:23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27"/>
      <c r="L35" s="28"/>
      <c r="M35" s="11"/>
      <c r="N35" s="11"/>
      <c r="O35" s="11"/>
      <c r="P35" s="11"/>
      <c r="Q35" s="11"/>
      <c r="R35" s="11" t="str">
        <f t="shared" si="2"/>
        <v/>
      </c>
      <c r="S35" s="11" t="str">
        <f t="shared" si="3"/>
        <v/>
      </c>
      <c r="T35" s="612"/>
      <c r="U35" s="612"/>
      <c r="V35" s="612"/>
      <c r="W35" s="29"/>
    </row>
    <row r="36" spans="2:23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27"/>
      <c r="L36" s="28"/>
      <c r="M36" s="11"/>
      <c r="N36" s="11"/>
      <c r="O36" s="11"/>
      <c r="P36" s="11"/>
      <c r="Q36" s="11"/>
      <c r="R36" s="11" t="str">
        <f t="shared" si="2"/>
        <v/>
      </c>
      <c r="S36" s="11" t="str">
        <f t="shared" si="3"/>
        <v/>
      </c>
      <c r="T36" s="612"/>
      <c r="U36" s="612"/>
      <c r="V36" s="612"/>
      <c r="W36" s="29"/>
    </row>
    <row r="37" spans="2:23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27"/>
      <c r="L37" s="28"/>
      <c r="M37" s="11"/>
      <c r="N37" s="11"/>
      <c r="O37" s="11"/>
      <c r="P37" s="11"/>
      <c r="Q37" s="11"/>
      <c r="R37" s="11" t="str">
        <f t="shared" si="2"/>
        <v/>
      </c>
      <c r="S37" s="11" t="str">
        <f t="shared" si="3"/>
        <v/>
      </c>
      <c r="T37" s="612"/>
      <c r="U37" s="612"/>
      <c r="V37" s="612"/>
      <c r="W37" s="29"/>
    </row>
    <row r="38" spans="2:23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27"/>
      <c r="L38" s="28"/>
      <c r="M38" s="11"/>
      <c r="N38" s="11"/>
      <c r="O38" s="11"/>
      <c r="P38" s="11"/>
      <c r="Q38" s="11"/>
      <c r="R38" s="11" t="str">
        <f t="shared" si="2"/>
        <v/>
      </c>
      <c r="S38" s="11" t="str">
        <f t="shared" si="3"/>
        <v/>
      </c>
      <c r="T38" s="612"/>
      <c r="U38" s="612"/>
      <c r="V38" s="612"/>
      <c r="W38" s="29"/>
    </row>
    <row r="39" spans="2:23" ht="19.899999999999999" customHeight="1" x14ac:dyDescent="0.25">
      <c r="B39" s="25"/>
      <c r="C39" s="26"/>
      <c r="D39" s="27"/>
      <c r="E39" s="28"/>
      <c r="F39" s="27"/>
      <c r="G39" s="28"/>
      <c r="H39" s="26"/>
      <c r="I39" s="11"/>
      <c r="J39" s="11"/>
      <c r="K39" s="27"/>
      <c r="L39" s="28"/>
      <c r="M39" s="11"/>
      <c r="N39" s="11"/>
      <c r="O39" s="11"/>
      <c r="P39" s="11"/>
      <c r="Q39" s="11"/>
      <c r="R39" s="11" t="str">
        <f t="shared" si="2"/>
        <v/>
      </c>
      <c r="S39" s="11" t="str">
        <f t="shared" si="3"/>
        <v/>
      </c>
      <c r="T39" s="612"/>
      <c r="U39" s="612"/>
      <c r="V39" s="612"/>
      <c r="W39" s="29"/>
    </row>
    <row r="40" spans="2:23" ht="19.899999999999999" customHeight="1" x14ac:dyDescent="0.25">
      <c r="B40" s="25"/>
      <c r="C40" s="26"/>
      <c r="D40" s="27"/>
      <c r="E40" s="28"/>
      <c r="F40" s="27"/>
      <c r="G40" s="28"/>
      <c r="H40" s="26"/>
      <c r="I40" s="11"/>
      <c r="J40" s="11"/>
      <c r="K40" s="27"/>
      <c r="L40" s="28"/>
      <c r="M40" s="11"/>
      <c r="N40" s="11"/>
      <c r="O40" s="11"/>
      <c r="P40" s="11"/>
      <c r="Q40" s="11"/>
      <c r="R40" s="11" t="str">
        <f t="shared" si="2"/>
        <v/>
      </c>
      <c r="S40" s="11" t="str">
        <f t="shared" si="3"/>
        <v/>
      </c>
      <c r="T40" s="612"/>
      <c r="U40" s="612"/>
      <c r="V40" s="612"/>
      <c r="W40" s="29"/>
    </row>
    <row r="41" spans="2:23" ht="19.899999999999999" customHeight="1" x14ac:dyDescent="0.25">
      <c r="B41" s="25"/>
      <c r="C41" s="26"/>
      <c r="D41" s="27"/>
      <c r="E41" s="28"/>
      <c r="F41" s="27"/>
      <c r="G41" s="28"/>
      <c r="H41" s="26"/>
      <c r="I41" s="11"/>
      <c r="J41" s="11"/>
      <c r="K41" s="27"/>
      <c r="L41" s="28"/>
      <c r="M41" s="11"/>
      <c r="N41" s="11"/>
      <c r="O41" s="11"/>
      <c r="P41" s="11"/>
      <c r="Q41" s="11"/>
      <c r="R41" s="11" t="str">
        <f t="shared" si="2"/>
        <v/>
      </c>
      <c r="S41" s="11" t="str">
        <f t="shared" si="3"/>
        <v/>
      </c>
      <c r="T41" s="612"/>
      <c r="U41" s="612"/>
      <c r="V41" s="612"/>
      <c r="W41" s="29"/>
    </row>
    <row r="42" spans="2:23" ht="19.899999999999999" customHeight="1" x14ac:dyDescent="0.25">
      <c r="B42" s="25"/>
      <c r="C42" s="26"/>
      <c r="D42" s="27"/>
      <c r="E42" s="28"/>
      <c r="F42" s="27"/>
      <c r="G42" s="28"/>
      <c r="H42" s="26"/>
      <c r="I42" s="11"/>
      <c r="J42" s="11"/>
      <c r="K42" s="27"/>
      <c r="L42" s="28"/>
      <c r="M42" s="11"/>
      <c r="N42" s="11"/>
      <c r="O42" s="11"/>
      <c r="P42" s="11"/>
      <c r="Q42" s="11"/>
      <c r="R42" s="11" t="str">
        <f t="shared" si="2"/>
        <v/>
      </c>
      <c r="S42" s="11" t="str">
        <f t="shared" si="3"/>
        <v/>
      </c>
      <c r="T42" s="612"/>
      <c r="U42" s="612"/>
      <c r="V42" s="612"/>
      <c r="W42" s="29"/>
    </row>
    <row r="43" spans="2:23" ht="19.899999999999999" customHeight="1" x14ac:dyDescent="0.25">
      <c r="B43" s="25"/>
      <c r="C43" s="26"/>
      <c r="D43" s="27"/>
      <c r="E43" s="28"/>
      <c r="F43" s="27"/>
      <c r="G43" s="28"/>
      <c r="H43" s="26"/>
      <c r="I43" s="11"/>
      <c r="J43" s="11"/>
      <c r="K43" s="27"/>
      <c r="L43" s="28"/>
      <c r="M43" s="11"/>
      <c r="N43" s="11"/>
      <c r="O43" s="11"/>
      <c r="P43" s="11"/>
      <c r="Q43" s="11"/>
      <c r="R43" s="11" t="str">
        <f t="shared" si="2"/>
        <v/>
      </c>
      <c r="S43" s="11" t="str">
        <f t="shared" si="3"/>
        <v/>
      </c>
      <c r="T43" s="612"/>
      <c r="U43" s="612"/>
      <c r="V43" s="612"/>
      <c r="W43" s="29"/>
    </row>
    <row r="44" spans="2:23" ht="19.899999999999999" customHeight="1" x14ac:dyDescent="0.25">
      <c r="B44" s="25"/>
      <c r="C44" s="26"/>
      <c r="D44" s="27"/>
      <c r="E44" s="28"/>
      <c r="F44" s="27"/>
      <c r="G44" s="28"/>
      <c r="H44" s="26"/>
      <c r="I44" s="11"/>
      <c r="J44" s="11"/>
      <c r="K44" s="27"/>
      <c r="L44" s="28"/>
      <c r="M44" s="11"/>
      <c r="N44" s="11"/>
      <c r="O44" s="11"/>
      <c r="P44" s="11"/>
      <c r="Q44" s="11"/>
      <c r="R44" s="11" t="str">
        <f t="shared" si="2"/>
        <v/>
      </c>
      <c r="S44" s="11" t="str">
        <f t="shared" si="3"/>
        <v/>
      </c>
      <c r="T44" s="612"/>
      <c r="U44" s="612"/>
      <c r="V44" s="612"/>
      <c r="W44" s="29"/>
    </row>
    <row r="45" spans="2:23" ht="19.899999999999999" customHeight="1" thickBot="1" x14ac:dyDescent="0.3">
      <c r="B45" s="30"/>
      <c r="C45" s="31"/>
      <c r="D45" s="32"/>
      <c r="E45" s="33"/>
      <c r="F45" s="32"/>
      <c r="G45" s="33"/>
      <c r="H45" s="31"/>
      <c r="I45" s="12"/>
      <c r="J45" s="12"/>
      <c r="K45" s="32"/>
      <c r="L45" s="33"/>
      <c r="M45" s="12"/>
      <c r="N45" s="12"/>
      <c r="O45" s="12"/>
      <c r="P45" s="12"/>
      <c r="Q45" s="12"/>
      <c r="R45" s="12" t="str">
        <f t="shared" si="2"/>
        <v/>
      </c>
      <c r="S45" s="12" t="str">
        <f>IF(B45="","",IF(OR(S44="",W45=""),S44,SUM(R45,S44)))</f>
        <v/>
      </c>
      <c r="T45" s="634"/>
      <c r="U45" s="634"/>
      <c r="V45" s="634"/>
      <c r="W45" s="34"/>
    </row>
    <row r="46" spans="2:23" ht="19.899999999999999" customHeight="1" thickTop="1" x14ac:dyDescent="0.25"/>
  </sheetData>
  <mergeCells count="82">
    <mergeCell ref="T45:V45"/>
    <mergeCell ref="T39:V39"/>
    <mergeCell ref="T40:V40"/>
    <mergeCell ref="T41:V41"/>
    <mergeCell ref="T42:V42"/>
    <mergeCell ref="T43:V43"/>
    <mergeCell ref="T44:V44"/>
    <mergeCell ref="T38:V38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Y15:Z15"/>
    <mergeCell ref="T17:V17"/>
    <mergeCell ref="T18:V18"/>
    <mergeCell ref="T19:V19"/>
    <mergeCell ref="T20:V20"/>
    <mergeCell ref="T15:V16"/>
    <mergeCell ref="Q15:Q16"/>
    <mergeCell ref="R15:R16"/>
    <mergeCell ref="S15:S16"/>
    <mergeCell ref="T26:V26"/>
    <mergeCell ref="W15:W16"/>
    <mergeCell ref="T21:V21"/>
    <mergeCell ref="T22:V22"/>
    <mergeCell ref="T23:V23"/>
    <mergeCell ref="T24:V24"/>
    <mergeCell ref="T25:V25"/>
    <mergeCell ref="I15:I16"/>
    <mergeCell ref="B11:F11"/>
    <mergeCell ref="G11:W11"/>
    <mergeCell ref="C12:F12"/>
    <mergeCell ref="H12:T12"/>
    <mergeCell ref="V12:W12"/>
    <mergeCell ref="C13:F13"/>
    <mergeCell ref="H13:T13"/>
    <mergeCell ref="V13:W13"/>
    <mergeCell ref="B15:B16"/>
    <mergeCell ref="C15:C16"/>
    <mergeCell ref="D15:E15"/>
    <mergeCell ref="F15:G15"/>
    <mergeCell ref="H15:H16"/>
    <mergeCell ref="J15:J16"/>
    <mergeCell ref="K15:L15"/>
    <mergeCell ref="B8:D8"/>
    <mergeCell ref="E8:F8"/>
    <mergeCell ref="G8:H8"/>
    <mergeCell ref="J8:W8"/>
    <mergeCell ref="B9:D9"/>
    <mergeCell ref="E9:F9"/>
    <mergeCell ref="G9:H9"/>
    <mergeCell ref="J9:W9"/>
    <mergeCell ref="B6:D6"/>
    <mergeCell ref="E6:F6"/>
    <mergeCell ref="G6:H6"/>
    <mergeCell ref="J6:W6"/>
    <mergeCell ref="B7:D7"/>
    <mergeCell ref="E7:F7"/>
    <mergeCell ref="G7:H7"/>
    <mergeCell ref="J7:W7"/>
    <mergeCell ref="B4:D4"/>
    <mergeCell ref="E4:F4"/>
    <mergeCell ref="G4:H4"/>
    <mergeCell ref="J4:W4"/>
    <mergeCell ref="B5:D5"/>
    <mergeCell ref="E5:F5"/>
    <mergeCell ref="G5:H5"/>
    <mergeCell ref="J5:W5"/>
    <mergeCell ref="B2:D3"/>
    <mergeCell ref="E2:H2"/>
    <mergeCell ref="J2:W2"/>
    <mergeCell ref="Y2:Z2"/>
    <mergeCell ref="E3:F3"/>
    <mergeCell ref="G3:H3"/>
    <mergeCell ref="J3:W3"/>
  </mergeCells>
  <phoneticPr fontId="16" type="noConversion"/>
  <conditionalFormatting sqref="B17:T45">
    <cfRule type="containsBlanks" dxfId="43" priority="1">
      <formula>LEN(TRIM(B17))=0</formula>
    </cfRule>
  </conditionalFormatting>
  <conditionalFormatting sqref="W17:W45">
    <cfRule type="containsBlanks" dxfId="42" priority="3">
      <formula>LEN(TRIM(W17))=0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59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B379-947C-4A1B-B365-0B8ACECC029A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74" t="s">
        <v>426</v>
      </c>
      <c r="K3" s="675"/>
      <c r="L3" s="675"/>
      <c r="M3" s="675"/>
      <c r="N3" s="675"/>
      <c r="O3" s="675"/>
      <c r="P3" s="675"/>
      <c r="Q3" s="676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2078.08</v>
      </c>
      <c r="F4" s="653"/>
      <c r="G4" s="640">
        <f t="shared" ref="G4:G9" si="0">E4*$P$13</f>
        <v>22921.24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2078.0819999999999</v>
      </c>
      <c r="F6" s="654"/>
      <c r="G6" s="642">
        <f t="shared" si="0"/>
        <v>22921.262060016939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2078.08</v>
      </c>
      <c r="F7" s="645"/>
      <c r="G7" s="642">
        <f t="shared" si="0"/>
        <v>22921.24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-2078.0819999999999</v>
      </c>
      <c r="F9" s="646"/>
      <c r="G9" s="660">
        <f t="shared" si="0"/>
        <v>-22921.262060016939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RESUMO!C64</f>
        <v>D.1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RESUMO!C67</f>
        <v>D.1.3</v>
      </c>
      <c r="H13" s="623" t="str">
        <f>IF($G$13="","",VLOOKUP($G$13,RESUMO!$C:$F,2,FALSE))</f>
        <v xml:space="preserve">Escavação, carga e transporte de material de 1ª categoria - DMT de 1.000 a 1.200 m -  com escavadeira e caminhão basculante de 14 m³  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m³</v>
      </c>
      <c r="P13" s="621">
        <f>IF($G$13="","",VLOOKUP($G$13,RESUMO!$C:$F,4,FALSE))</f>
        <v>11.03000846935633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330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334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23">
        <v>103.902</v>
      </c>
      <c r="K17" s="23"/>
      <c r="L17" s="23">
        <f>J17</f>
        <v>103.902</v>
      </c>
      <c r="M17" s="23">
        <f>L17</f>
        <v>103.902</v>
      </c>
      <c r="N17" s="635" t="s">
        <v>344</v>
      </c>
      <c r="O17" s="635"/>
      <c r="P17" s="635"/>
      <c r="Q17" s="24">
        <v>1</v>
      </c>
      <c r="S17" s="84" t="s">
        <v>145</v>
      </c>
      <c r="T17" s="83" t="str">
        <f>IF($S17="","",VLOOKUP($S17,RESUMO!$C:$D,2,FALSE))</f>
        <v>Desmatamento, destocamento, limpeza de área e estocagem do material de limpeza com árvores de diâmetro até 0,15 m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307</v>
      </c>
      <c r="E18" s="28">
        <v>90</v>
      </c>
      <c r="F18" s="27"/>
      <c r="G18" s="28"/>
      <c r="H18" s="26" t="s">
        <v>306</v>
      </c>
      <c r="I18" s="11" t="s">
        <v>325</v>
      </c>
      <c r="J18" s="11">
        <v>371.11799999999999</v>
      </c>
      <c r="K18" s="11"/>
      <c r="L18" s="11">
        <f>J18</f>
        <v>371.11799999999999</v>
      </c>
      <c r="M18" s="11">
        <f t="shared" ref="M18:M26" si="1">L18+M17</f>
        <v>475.02</v>
      </c>
      <c r="N18" s="612" t="s">
        <v>384</v>
      </c>
      <c r="O18" s="612"/>
      <c r="P18" s="612"/>
      <c r="Q18" s="29">
        <v>1</v>
      </c>
      <c r="S18" s="84" t="s">
        <v>146</v>
      </c>
      <c r="T18" s="83" t="str">
        <f>IF($S18="","",VLOOKUP($S18,RESUMO!$C:$D,2,FALSE))</f>
        <v>Transporte com caminhão basculante de 14 m³ - rodovia pavimentada</v>
      </c>
      <c r="V18" s="85" t="str">
        <f t="shared" ref="V18:V20" si="2">HYPERLINK("#"&amp;"'"&amp;S18&amp;"'"&amp;"!A1","LINK")</f>
        <v>LINK</v>
      </c>
    </row>
    <row r="19" spans="2:22" ht="19.899999999999999" customHeight="1" x14ac:dyDescent="0.25">
      <c r="B19" s="25" t="s">
        <v>316</v>
      </c>
      <c r="C19" s="26" t="s">
        <v>306</v>
      </c>
      <c r="D19" s="27">
        <v>306</v>
      </c>
      <c r="E19" s="28">
        <v>730</v>
      </c>
      <c r="F19" s="27"/>
      <c r="G19" s="28"/>
      <c r="H19" s="26" t="s">
        <v>306</v>
      </c>
      <c r="I19" s="11" t="s">
        <v>325</v>
      </c>
      <c r="J19" s="11">
        <v>1069.7059999999999</v>
      </c>
      <c r="K19" s="11"/>
      <c r="L19" s="11">
        <f>J19</f>
        <v>1069.7059999999999</v>
      </c>
      <c r="M19" s="11">
        <f t="shared" si="1"/>
        <v>1544.7259999999999</v>
      </c>
      <c r="N19" s="612" t="s">
        <v>344</v>
      </c>
      <c r="O19" s="612"/>
      <c r="P19" s="612"/>
      <c r="Q19" s="29">
        <v>1</v>
      </c>
      <c r="S19" s="84" t="s">
        <v>147</v>
      </c>
      <c r="T19" s="83" t="str">
        <f>IF($S19="","",VLOOKUP($S19,RESUMO!$C:$D,2,FALSE))</f>
        <v xml:space="preserve">Escavação, carga e transporte de material de 1ª categoria - DMT de 1.000 a 1.200 m -  com escavadeira e caminhão basculante de 14 m³  </v>
      </c>
      <c r="V19" s="85" t="str">
        <f t="shared" si="2"/>
        <v>LINK</v>
      </c>
    </row>
    <row r="20" spans="2:22" ht="19.899999999999999" customHeight="1" x14ac:dyDescent="0.25">
      <c r="B20" s="25" t="s">
        <v>316</v>
      </c>
      <c r="C20" s="26" t="s">
        <v>306</v>
      </c>
      <c r="D20" s="27">
        <v>306</v>
      </c>
      <c r="E20" s="28">
        <v>730</v>
      </c>
      <c r="F20" s="27"/>
      <c r="G20" s="28"/>
      <c r="H20" s="26" t="s">
        <v>306</v>
      </c>
      <c r="I20" s="11" t="s">
        <v>325</v>
      </c>
      <c r="J20" s="11">
        <v>5.274</v>
      </c>
      <c r="K20" s="11"/>
      <c r="L20" s="11">
        <v>5.274</v>
      </c>
      <c r="M20" s="11">
        <f t="shared" si="1"/>
        <v>1549.9999999999998</v>
      </c>
      <c r="N20" s="612" t="s">
        <v>384</v>
      </c>
      <c r="O20" s="612"/>
      <c r="P20" s="612"/>
      <c r="Q20" s="29">
        <v>1</v>
      </c>
      <c r="S20" s="84" t="s">
        <v>148</v>
      </c>
      <c r="T20" s="83" t="str">
        <f>IF($S20="","",VLOOKUP($S20,RESUMO!$C:$D,2,FALSE))</f>
        <v>Regularização de bota-fora com espalhamento e execução de hidrossemeadura</v>
      </c>
      <c r="V20" s="85" t="str">
        <f t="shared" si="2"/>
        <v>LINK</v>
      </c>
    </row>
    <row r="21" spans="2:22" ht="19.899999999999999" customHeight="1" x14ac:dyDescent="0.25">
      <c r="B21" s="25" t="s">
        <v>316</v>
      </c>
      <c r="C21" s="26" t="s">
        <v>306</v>
      </c>
      <c r="D21" s="27">
        <v>306</v>
      </c>
      <c r="E21" s="28">
        <v>730</v>
      </c>
      <c r="F21" s="27"/>
      <c r="G21" s="28"/>
      <c r="H21" s="26" t="s">
        <v>306</v>
      </c>
      <c r="I21" s="11" t="s">
        <v>325</v>
      </c>
      <c r="J21" s="11">
        <f>533.356-J20</f>
        <v>528.08199999999999</v>
      </c>
      <c r="K21" s="11"/>
      <c r="L21" s="11">
        <f>J21</f>
        <v>528.08199999999999</v>
      </c>
      <c r="M21" s="11">
        <f t="shared" si="1"/>
        <v>2078.0819999999999</v>
      </c>
      <c r="N21" s="612" t="s">
        <v>347</v>
      </c>
      <c r="O21" s="612"/>
      <c r="P21" s="612"/>
      <c r="Q21" s="29">
        <v>1</v>
      </c>
      <c r="S21" s="84"/>
      <c r="T21" s="83"/>
      <c r="V21" s="85"/>
    </row>
    <row r="22" spans="2:22" ht="19.899999999999999" customHeight="1" x14ac:dyDescent="0.25">
      <c r="B22" s="25" t="s">
        <v>316</v>
      </c>
      <c r="C22" s="26" t="s">
        <v>306</v>
      </c>
      <c r="D22" s="27">
        <v>307</v>
      </c>
      <c r="E22" s="28">
        <v>90</v>
      </c>
      <c r="F22" s="27"/>
      <c r="G22" s="28"/>
      <c r="H22" s="26" t="s">
        <v>306</v>
      </c>
      <c r="I22" s="11" t="s">
        <v>325</v>
      </c>
      <c r="J22" s="11">
        <v>-103.902</v>
      </c>
      <c r="K22" s="11"/>
      <c r="L22" s="11">
        <f>J22</f>
        <v>-103.902</v>
      </c>
      <c r="M22" s="11">
        <f t="shared" si="1"/>
        <v>1974.1799999999998</v>
      </c>
      <c r="N22" s="669" t="s">
        <v>344</v>
      </c>
      <c r="O22" s="670"/>
      <c r="P22" s="671"/>
      <c r="Q22" s="29">
        <v>3</v>
      </c>
      <c r="S22" s="84"/>
      <c r="T22" s="83"/>
      <c r="V22" s="85"/>
    </row>
    <row r="23" spans="2:22" ht="19.899999999999999" customHeight="1" x14ac:dyDescent="0.25">
      <c r="B23" s="25" t="s">
        <v>316</v>
      </c>
      <c r="C23" s="26" t="s">
        <v>306</v>
      </c>
      <c r="D23" s="27">
        <v>307</v>
      </c>
      <c r="E23" s="28">
        <v>90</v>
      </c>
      <c r="F23" s="27"/>
      <c r="G23" s="28"/>
      <c r="H23" s="26" t="s">
        <v>306</v>
      </c>
      <c r="I23" s="11" t="s">
        <v>325</v>
      </c>
      <c r="J23" s="11">
        <v>-371.11799999999999</v>
      </c>
      <c r="K23" s="11"/>
      <c r="L23" s="11">
        <f>J23</f>
        <v>-371.11799999999999</v>
      </c>
      <c r="M23" s="11">
        <f t="shared" si="1"/>
        <v>1603.0619999999999</v>
      </c>
      <c r="N23" s="669" t="s">
        <v>384</v>
      </c>
      <c r="O23" s="670"/>
      <c r="P23" s="671"/>
      <c r="Q23" s="29">
        <v>3</v>
      </c>
    </row>
    <row r="24" spans="2:22" ht="19.899999999999999" customHeight="1" x14ac:dyDescent="0.25">
      <c r="B24" s="25" t="s">
        <v>316</v>
      </c>
      <c r="C24" s="26" t="s">
        <v>306</v>
      </c>
      <c r="D24" s="27">
        <v>306</v>
      </c>
      <c r="E24" s="28">
        <v>730</v>
      </c>
      <c r="F24" s="27"/>
      <c r="G24" s="28"/>
      <c r="H24" s="26" t="s">
        <v>306</v>
      </c>
      <c r="I24" s="11" t="s">
        <v>325</v>
      </c>
      <c r="J24" s="11">
        <v>-1069.7059999999999</v>
      </c>
      <c r="K24" s="11"/>
      <c r="L24" s="11">
        <f>J24</f>
        <v>-1069.7059999999999</v>
      </c>
      <c r="M24" s="11">
        <f t="shared" si="1"/>
        <v>533.35599999999999</v>
      </c>
      <c r="N24" s="669" t="s">
        <v>344</v>
      </c>
      <c r="O24" s="670"/>
      <c r="P24" s="671"/>
      <c r="Q24" s="29">
        <v>3</v>
      </c>
    </row>
    <row r="25" spans="2:22" ht="19.899999999999999" customHeight="1" x14ac:dyDescent="0.25">
      <c r="B25" s="25" t="s">
        <v>316</v>
      </c>
      <c r="C25" s="26" t="s">
        <v>306</v>
      </c>
      <c r="D25" s="27">
        <v>306</v>
      </c>
      <c r="E25" s="28">
        <v>730</v>
      </c>
      <c r="F25" s="27"/>
      <c r="G25" s="28"/>
      <c r="H25" s="26" t="s">
        <v>306</v>
      </c>
      <c r="I25" s="11" t="s">
        <v>325</v>
      </c>
      <c r="J25" s="11">
        <v>-5.274</v>
      </c>
      <c r="K25" s="11"/>
      <c r="L25" s="11">
        <v>5.274</v>
      </c>
      <c r="M25" s="11">
        <f t="shared" si="1"/>
        <v>538.63</v>
      </c>
      <c r="N25" s="669" t="s">
        <v>384</v>
      </c>
      <c r="O25" s="670"/>
      <c r="P25" s="671"/>
      <c r="Q25" s="29">
        <v>3</v>
      </c>
    </row>
    <row r="26" spans="2:22" ht="19.899999999999999" customHeight="1" x14ac:dyDescent="0.25">
      <c r="B26" s="25" t="s">
        <v>316</v>
      </c>
      <c r="C26" s="26" t="s">
        <v>306</v>
      </c>
      <c r="D26" s="27">
        <v>306</v>
      </c>
      <c r="E26" s="28">
        <v>730</v>
      </c>
      <c r="F26" s="27"/>
      <c r="G26" s="28"/>
      <c r="H26" s="26" t="s">
        <v>306</v>
      </c>
      <c r="I26" s="11" t="s">
        <v>325</v>
      </c>
      <c r="J26" s="11">
        <v>-538.63</v>
      </c>
      <c r="K26" s="11"/>
      <c r="L26" s="11">
        <f>J26</f>
        <v>-538.63</v>
      </c>
      <c r="M26" s="11">
        <f t="shared" si="1"/>
        <v>0</v>
      </c>
      <c r="N26" s="669" t="s">
        <v>347</v>
      </c>
      <c r="O26" s="670"/>
      <c r="P26" s="671"/>
      <c r="Q26" s="29">
        <v>3</v>
      </c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ref="L27:L36" si="3">IF(J27="","",J27*K27)</f>
        <v/>
      </c>
      <c r="M27" s="11" t="str">
        <f t="shared" ref="M27:M36" si="4">IF(B27="","",IF(OR(M26="",Q27=""),M26,SUM(L27,M26)))</f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3"/>
        <v/>
      </c>
      <c r="M28" s="11" t="str">
        <f t="shared" si="4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3"/>
        <v/>
      </c>
      <c r="M29" s="11" t="str">
        <f t="shared" si="4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3"/>
        <v/>
      </c>
      <c r="M30" s="11" t="str">
        <f t="shared" si="4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3"/>
        <v/>
      </c>
      <c r="M31" s="11" t="str">
        <f t="shared" si="4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3"/>
        <v/>
      </c>
      <c r="M32" s="11" t="str">
        <f t="shared" si="4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3"/>
        <v/>
      </c>
      <c r="M33" s="11" t="str">
        <f t="shared" si="4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3"/>
        <v/>
      </c>
      <c r="M34" s="11" t="str">
        <f t="shared" si="4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3"/>
        <v/>
      </c>
      <c r="M35" s="11" t="str">
        <f t="shared" si="4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3"/>
        <v/>
      </c>
      <c r="M36" s="12" t="str">
        <f t="shared" si="4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phoneticPr fontId="16" type="noConversion"/>
  <conditionalFormatting sqref="B17:N36">
    <cfRule type="containsBlanks" dxfId="41" priority="1">
      <formula>LEN(TRIM(B17))=0</formula>
    </cfRule>
  </conditionalFormatting>
  <conditionalFormatting sqref="Q17:Q36">
    <cfRule type="containsBlanks" dxfId="40" priority="2">
      <formula>LEN(TRIM(Q17))=0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574A-BF0F-4ABE-9DEA-E596EDE8CE7A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74" t="s">
        <v>427</v>
      </c>
      <c r="K3" s="675"/>
      <c r="L3" s="675"/>
      <c r="M3" s="675"/>
      <c r="N3" s="675"/>
      <c r="O3" s="675"/>
      <c r="P3" s="675"/>
      <c r="Q3" s="676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0</v>
      </c>
      <c r="F4" s="653"/>
      <c r="G4" s="640">
        <f t="shared" ref="G4:G9" si="0">E4*$P$13</f>
        <v>0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0</v>
      </c>
      <c r="F7" s="645"/>
      <c r="G7" s="642">
        <f t="shared" si="0"/>
        <v>0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RESUMO!C64</f>
        <v>D.1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RESUMO!C68</f>
        <v>D.1.4</v>
      </c>
      <c r="H13" s="623" t="str">
        <f>IF($G$13="","",VLOOKUP($G$13,RESUMO!$C:$F,2,FALSE))</f>
        <v>Regularização de bota-fora com espalhamento e execução de hidrossemeadura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m³</v>
      </c>
      <c r="P13" s="621">
        <f>IF($G$13="","",VLOOKUP($G$13,RESUMO!$C:$F,4,FALSE))</f>
        <v>0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330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334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/>
      <c r="C17" s="20"/>
      <c r="D17" s="21"/>
      <c r="E17" s="22"/>
      <c r="F17" s="21"/>
      <c r="G17" s="22"/>
      <c r="H17" s="20"/>
      <c r="I17" s="23"/>
      <c r="J17" s="23"/>
      <c r="K17" s="23"/>
      <c r="L17" s="23"/>
      <c r="M17" s="23"/>
      <c r="N17" s="635"/>
      <c r="O17" s="635"/>
      <c r="P17" s="635"/>
      <c r="Q17" s="24"/>
      <c r="S17" s="84" t="s">
        <v>145</v>
      </c>
      <c r="T17" s="83" t="str">
        <f>IF($S17="","",VLOOKUP($S17,RESUMO!$C:$D,2,FALSE))</f>
        <v>Desmatamento, destocamento, limpeza de área e estocagem do material de limpeza com árvores de diâmetro até 0,15 m</v>
      </c>
      <c r="V17" s="85" t="str">
        <f>HYPERLINK("#"&amp;"'"&amp;S17&amp;"'"&amp;"!A1","LINK")</f>
        <v>LINK</v>
      </c>
    </row>
    <row r="18" spans="2:22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11"/>
      <c r="N18" s="612"/>
      <c r="O18" s="612"/>
      <c r="P18" s="612"/>
      <c r="Q18" s="29"/>
      <c r="S18" s="84" t="s">
        <v>146</v>
      </c>
      <c r="T18" s="83" t="str">
        <f>IF($S18="","",VLOOKUP($S18,RESUMO!$C:$D,2,FALSE))</f>
        <v>Transporte com caminhão basculante de 14 m³ - rodovia pavimentada</v>
      </c>
      <c r="V18" s="85" t="str">
        <f t="shared" ref="V18:V20" si="1"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612"/>
      <c r="O19" s="612"/>
      <c r="P19" s="612"/>
      <c r="Q19" s="29"/>
      <c r="S19" s="84" t="s">
        <v>147</v>
      </c>
      <c r="T19" s="83" t="str">
        <f>IF($S19="","",VLOOKUP($S19,RESUMO!$C:$D,2,FALSE))</f>
        <v xml:space="preserve">Escavação, carga e transporte de material de 1ª categoria - DMT de 1.000 a 1.200 m -  com escavadeira e caminhão basculante de 14 m³  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612"/>
      <c r="O20" s="612"/>
      <c r="P20" s="612"/>
      <c r="Q20" s="29"/>
      <c r="S20" s="84" t="s">
        <v>148</v>
      </c>
      <c r="T20" s="83" t="str">
        <f>IF($S20="","",VLOOKUP($S20,RESUMO!$C:$D,2,FALSE))</f>
        <v>Regularização de bota-fora com espalhamento e execução de hidrossemeadura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612"/>
      <c r="O21" s="612"/>
      <c r="P21" s="612"/>
      <c r="Q21" s="29"/>
      <c r="S21" s="84"/>
      <c r="T21" s="83"/>
      <c r="V21" s="85"/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/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/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/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/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/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ref="L28:L36" si="2">IF(J28="","",J28*K28)</f>
        <v/>
      </c>
      <c r="M28" s="11" t="str">
        <f t="shared" ref="M28:M36" si="3">IF(B28="","",IF(OR(M27="",Q28=""),M27,SUM(L28,M27)))</f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phoneticPr fontId="16" type="noConversion"/>
  <conditionalFormatting sqref="B17:N36">
    <cfRule type="containsBlanks" dxfId="39" priority="1">
      <formula>LEN(TRIM(B17))=0</formula>
    </cfRule>
  </conditionalFormatting>
  <conditionalFormatting sqref="Q17:Q36">
    <cfRule type="containsBlanks" dxfId="38" priority="2">
      <formula>LEN(TRIM(Q17))=0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B23D-E042-4AEC-8FA8-3E803CBEBC76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2078.08</v>
      </c>
      <c r="F4" s="653"/>
      <c r="G4" s="640">
        <f t="shared" ref="G4:G9" si="0">E4*$P$13</f>
        <v>4841.93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2078.0819999999999</v>
      </c>
      <c r="F5" s="654"/>
      <c r="G5" s="642">
        <f t="shared" si="0"/>
        <v>4841.9346600034651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-1.9999999999527063E-3</v>
      </c>
      <c r="F7" s="645"/>
      <c r="G7" s="642">
        <f t="shared" si="0"/>
        <v>-4.660003464626486E-3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2078.0819999999999</v>
      </c>
      <c r="F9" s="646"/>
      <c r="G9" s="660">
        <f t="shared" si="0"/>
        <v>4841.9346600034651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RESUMO!C64</f>
        <v>D.1</v>
      </c>
      <c r="C13" s="623" t="str">
        <f>IF($B$13="","",VLOOKUP($B$13,RESUMO!$C:$F,2,FALSE))</f>
        <v>Terraplenagem</v>
      </c>
      <c r="D13" s="623"/>
      <c r="E13" s="623"/>
      <c r="F13" s="662"/>
      <c r="G13" s="16" t="str">
        <f>RESUMO!C69</f>
        <v>D.1.5</v>
      </c>
      <c r="H13" s="623" t="str">
        <f>IF($G$13="","",VLOOKUP($G$13,RESUMO!$C:$F,2,FALSE))</f>
        <v>Regularização de bota-fora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m³</v>
      </c>
      <c r="P13" s="621">
        <f>IF($G$13="","",VLOOKUP($G$13,RESUMO!$C:$F,4,FALSE))</f>
        <v>2.3300017323683404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330</v>
      </c>
      <c r="K15" s="627" t="s">
        <v>332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334</v>
      </c>
      <c r="K16" s="628"/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23">
        <v>103.902</v>
      </c>
      <c r="K17" s="23"/>
      <c r="L17" s="23">
        <f>J17</f>
        <v>103.902</v>
      </c>
      <c r="M17" s="23">
        <f>IF(OR(B17="",L17=""),"",IF(AND(M16="",Q17=""),M16,SUM(L17,M16)))</f>
        <v>103.902</v>
      </c>
      <c r="N17" s="635" t="s">
        <v>344</v>
      </c>
      <c r="O17" s="635"/>
      <c r="P17" s="635"/>
      <c r="Q17" s="24">
        <v>3</v>
      </c>
      <c r="S17" s="84" t="s">
        <v>145</v>
      </c>
      <c r="T17" s="83" t="str">
        <f>IF($S17="","",VLOOKUP($S17,RESUMO!$C:$D,2,FALSE))</f>
        <v>Desmatamento, destocamento, limpeza de área e estocagem do material de limpeza com árvores de diâmetro até 0,15 m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307</v>
      </c>
      <c r="E18" s="28">
        <v>90</v>
      </c>
      <c r="F18" s="27"/>
      <c r="G18" s="28"/>
      <c r="H18" s="26" t="s">
        <v>306</v>
      </c>
      <c r="I18" s="11" t="s">
        <v>325</v>
      </c>
      <c r="J18" s="11">
        <v>371.11799999999999</v>
      </c>
      <c r="K18" s="11"/>
      <c r="L18" s="11">
        <f>J18</f>
        <v>371.11799999999999</v>
      </c>
      <c r="M18" s="11">
        <f>IF(B18="","",IF(OR(M17="",Q18=""),M17,SUM(L18,M17)))</f>
        <v>475.02</v>
      </c>
      <c r="N18" s="612" t="s">
        <v>384</v>
      </c>
      <c r="O18" s="612"/>
      <c r="P18" s="612"/>
      <c r="Q18" s="29">
        <v>3</v>
      </c>
      <c r="S18" s="84" t="s">
        <v>146</v>
      </c>
      <c r="T18" s="83" t="str">
        <f>IF($S18="","",VLOOKUP($S18,RESUMO!$C:$D,2,FALSE))</f>
        <v>Transporte com caminhão basculante de 14 m³ - rodovia pavimentada</v>
      </c>
      <c r="V18" s="85" t="str">
        <f t="shared" ref="V18:V20" si="1">HYPERLINK("#"&amp;"'"&amp;S18&amp;"'"&amp;"!A1","LINK")</f>
        <v>LINK</v>
      </c>
    </row>
    <row r="19" spans="2:22" ht="19.899999999999999" customHeight="1" x14ac:dyDescent="0.25">
      <c r="B19" s="25" t="s">
        <v>316</v>
      </c>
      <c r="C19" s="26" t="s">
        <v>306</v>
      </c>
      <c r="D19" s="27">
        <v>306</v>
      </c>
      <c r="E19" s="28">
        <v>730</v>
      </c>
      <c r="F19" s="27"/>
      <c r="G19" s="28"/>
      <c r="H19" s="26" t="s">
        <v>306</v>
      </c>
      <c r="I19" s="11" t="s">
        <v>325</v>
      </c>
      <c r="J19" s="11">
        <v>1069.7059999999999</v>
      </c>
      <c r="K19" s="11"/>
      <c r="L19" s="11">
        <f>J19</f>
        <v>1069.7059999999999</v>
      </c>
      <c r="M19" s="11">
        <f>IF(B19="","",IF(OR(M18="",Q19=""),M18,SUM(L19,M18)))</f>
        <v>1544.7259999999999</v>
      </c>
      <c r="N19" s="612" t="s">
        <v>344</v>
      </c>
      <c r="O19" s="612"/>
      <c r="P19" s="612"/>
      <c r="Q19" s="29">
        <v>3</v>
      </c>
      <c r="S19" s="84" t="s">
        <v>147</v>
      </c>
      <c r="T19" s="83" t="str">
        <f>IF($S19="","",VLOOKUP($S19,RESUMO!$C:$D,2,FALSE))</f>
        <v xml:space="preserve">Escavação, carga e transporte de material de 1ª categoria - DMT de 1.000 a 1.200 m -  com escavadeira e caminhão basculante de 14 m³  </v>
      </c>
      <c r="V19" s="85" t="str">
        <f t="shared" si="1"/>
        <v>LINK</v>
      </c>
    </row>
    <row r="20" spans="2:22" ht="19.899999999999999" customHeight="1" x14ac:dyDescent="0.25">
      <c r="B20" s="25" t="s">
        <v>316</v>
      </c>
      <c r="C20" s="26" t="s">
        <v>306</v>
      </c>
      <c r="D20" s="27">
        <v>306</v>
      </c>
      <c r="E20" s="28">
        <v>730</v>
      </c>
      <c r="F20" s="27"/>
      <c r="G20" s="28"/>
      <c r="H20" s="26" t="s">
        <v>306</v>
      </c>
      <c r="I20" s="11" t="s">
        <v>325</v>
      </c>
      <c r="J20" s="11">
        <v>5.274</v>
      </c>
      <c r="K20" s="11"/>
      <c r="L20" s="11">
        <v>5.274</v>
      </c>
      <c r="M20" s="11">
        <f t="shared" ref="M20:M21" si="2">IF(B20="","",IF(OR(M19="",Q20=""),M19,SUM(L20,M19)))</f>
        <v>1549.9999999999998</v>
      </c>
      <c r="N20" s="612" t="s">
        <v>384</v>
      </c>
      <c r="O20" s="612"/>
      <c r="P20" s="612"/>
      <c r="Q20" s="29">
        <v>3</v>
      </c>
      <c r="S20" s="84" t="s">
        <v>148</v>
      </c>
      <c r="T20" s="83" t="str">
        <f>IF($S20="","",VLOOKUP($S20,RESUMO!$C:$D,2,FALSE))</f>
        <v>Regularização de bota-fora com espalhamento e execução de hidrossemeadura</v>
      </c>
      <c r="V20" s="85" t="str">
        <f t="shared" si="1"/>
        <v>LINK</v>
      </c>
    </row>
    <row r="21" spans="2:22" ht="19.899999999999999" customHeight="1" x14ac:dyDescent="0.25">
      <c r="B21" s="25" t="s">
        <v>316</v>
      </c>
      <c r="C21" s="26" t="s">
        <v>306</v>
      </c>
      <c r="D21" s="27">
        <v>306</v>
      </c>
      <c r="E21" s="28">
        <v>730</v>
      </c>
      <c r="F21" s="27"/>
      <c r="G21" s="28"/>
      <c r="H21" s="26" t="s">
        <v>306</v>
      </c>
      <c r="I21" s="11" t="s">
        <v>325</v>
      </c>
      <c r="J21" s="11">
        <f>533.356-J20</f>
        <v>528.08199999999999</v>
      </c>
      <c r="K21" s="11"/>
      <c r="L21" s="11">
        <f>J21</f>
        <v>528.08199999999999</v>
      </c>
      <c r="M21" s="11">
        <f t="shared" si="2"/>
        <v>2078.0819999999999</v>
      </c>
      <c r="N21" s="612" t="s">
        <v>347</v>
      </c>
      <c r="O21" s="612"/>
      <c r="P21" s="612"/>
      <c r="Q21" s="29">
        <v>3</v>
      </c>
      <c r="S21" s="84"/>
      <c r="T21" s="83"/>
      <c r="V21" s="85"/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ref="L22:L36" si="3">IF(J22="","",J22*K22)</f>
        <v/>
      </c>
      <c r="M22" s="11" t="str">
        <f t="shared" ref="M22:M36" si="4">IF(B22="","",IF(OR(M21="",Q22=""),M21,SUM(L22,M21)))</f>
        <v/>
      </c>
      <c r="N22" s="612"/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3"/>
        <v/>
      </c>
      <c r="M23" s="11" t="str">
        <f t="shared" si="4"/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3"/>
        <v/>
      </c>
      <c r="M24" s="11" t="str">
        <f t="shared" si="4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3"/>
        <v/>
      </c>
      <c r="M25" s="11" t="str">
        <f t="shared" si="4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3"/>
        <v/>
      </c>
      <c r="M26" s="11" t="str">
        <f t="shared" si="4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3"/>
        <v/>
      </c>
      <c r="M27" s="11" t="str">
        <f t="shared" si="4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3"/>
        <v/>
      </c>
      <c r="M28" s="11" t="str">
        <f t="shared" si="4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3"/>
        <v/>
      </c>
      <c r="M29" s="11" t="str">
        <f t="shared" si="4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3"/>
        <v/>
      </c>
      <c r="M30" s="11" t="str">
        <f t="shared" si="4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3"/>
        <v/>
      </c>
      <c r="M31" s="11" t="str">
        <f t="shared" si="4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3"/>
        <v/>
      </c>
      <c r="M32" s="11" t="str">
        <f t="shared" si="4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3"/>
        <v/>
      </c>
      <c r="M33" s="11" t="str">
        <f t="shared" si="4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3"/>
        <v/>
      </c>
      <c r="M34" s="11" t="str">
        <f t="shared" si="4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3"/>
        <v/>
      </c>
      <c r="M35" s="11" t="str">
        <f t="shared" si="4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3"/>
        <v/>
      </c>
      <c r="M36" s="12" t="str">
        <f t="shared" si="4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1">
    <mergeCell ref="N35:P35"/>
    <mergeCell ref="N36:P36"/>
    <mergeCell ref="N29:P29"/>
    <mergeCell ref="N30:P30"/>
    <mergeCell ref="N31:P31"/>
    <mergeCell ref="N32:P32"/>
    <mergeCell ref="N33:P33"/>
    <mergeCell ref="N34:P34"/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S15:T15"/>
    <mergeCell ref="B15:B16"/>
    <mergeCell ref="C15:C16"/>
    <mergeCell ref="D15:E15"/>
    <mergeCell ref="F15:G15"/>
    <mergeCell ref="H15:H16"/>
    <mergeCell ref="I15:I16"/>
    <mergeCell ref="K15:K16"/>
    <mergeCell ref="L15:L16"/>
    <mergeCell ref="M15:M16"/>
    <mergeCell ref="N15:P16"/>
    <mergeCell ref="Q15:Q16"/>
    <mergeCell ref="C13:F13"/>
    <mergeCell ref="H13:N13"/>
    <mergeCell ref="P13:Q13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">
    <cfRule type="containsBlanks" dxfId="37" priority="1">
      <formula>LEN(TRIM(B17))=0</formula>
    </cfRule>
  </conditionalFormatting>
  <conditionalFormatting sqref="Q17:Q36">
    <cfRule type="containsBlanks" dxfId="36" priority="2">
      <formula>LEN(TRIM(Q17))=0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94A5-58C3-48F9-886E-8CB610D21ABC}">
  <sheetPr>
    <pageSetUpPr fitToPage="1"/>
  </sheetPr>
  <dimension ref="B1:X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5" width="12.7109375" style="3" customWidth="1"/>
    <col min="16" max="16" width="20.7109375" style="3" customWidth="1"/>
    <col min="17" max="18" width="10.7109375" style="3" customWidth="1"/>
    <col min="19" max="16384" width="10.7109375" style="3"/>
  </cols>
  <sheetData>
    <row r="1" spans="2:22" ht="19.899999999999999" customHeight="1" thickBot="1" x14ac:dyDescent="0.3"/>
    <row r="2" spans="2:22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3"/>
      <c r="U2" s="611" t="s">
        <v>294</v>
      </c>
      <c r="V2" s="611"/>
    </row>
    <row r="3" spans="2:22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4"/>
      <c r="S3" s="615"/>
      <c r="U3" s="36"/>
      <c r="V3" s="36"/>
    </row>
    <row r="4" spans="2:22" ht="15" customHeight="1" x14ac:dyDescent="0.25">
      <c r="B4" s="647" t="s">
        <v>296</v>
      </c>
      <c r="C4" s="648"/>
      <c r="D4" s="648"/>
      <c r="E4" s="653">
        <f>IF($G$13="","",VLOOKUP($G$13,RESUMO!$C:$G,5,FALSE))</f>
        <v>38.46</v>
      </c>
      <c r="F4" s="653"/>
      <c r="G4" s="640">
        <f t="shared" ref="G4:G9" si="0">E4*$R$13</f>
        <v>8686.82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5"/>
      <c r="U4" s="36"/>
      <c r="V4" s="36"/>
    </row>
    <row r="5" spans="2:22" ht="15" customHeight="1" x14ac:dyDescent="0.25">
      <c r="B5" s="649" t="s">
        <v>297</v>
      </c>
      <c r="C5" s="650"/>
      <c r="D5" s="650"/>
      <c r="E5" s="654">
        <f>SUMIFS(N:N,S:S,"&lt;&gt;")</f>
        <v>38.464500000000001</v>
      </c>
      <c r="F5" s="654"/>
      <c r="G5" s="642">
        <f t="shared" si="0"/>
        <v>8687.836398595944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5"/>
      <c r="U5" s="36"/>
      <c r="V5" s="36"/>
    </row>
    <row r="6" spans="2:22" ht="15" customHeight="1" x14ac:dyDescent="0.25">
      <c r="B6" s="649" t="s">
        <v>298</v>
      </c>
      <c r="C6" s="650"/>
      <c r="D6" s="650"/>
      <c r="E6" s="654">
        <f>E5-E9</f>
        <v>38.464500000000001</v>
      </c>
      <c r="F6" s="654"/>
      <c r="G6" s="642">
        <f t="shared" si="0"/>
        <v>8687.836398595944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5"/>
    </row>
    <row r="7" spans="2:22" ht="15" customHeight="1" x14ac:dyDescent="0.25">
      <c r="B7" s="649" t="s">
        <v>299</v>
      </c>
      <c r="C7" s="650"/>
      <c r="D7" s="650"/>
      <c r="E7" s="644">
        <f>E4-E5</f>
        <v>-4.5000000000001705E-3</v>
      </c>
      <c r="F7" s="645"/>
      <c r="G7" s="642">
        <f t="shared" si="0"/>
        <v>-1.0163985959438762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5"/>
    </row>
    <row r="8" spans="2:22" ht="15" customHeight="1" x14ac:dyDescent="0.25">
      <c r="B8" s="655" t="s">
        <v>300</v>
      </c>
      <c r="C8" s="656"/>
      <c r="D8" s="656"/>
      <c r="E8" s="657">
        <f>SUM(N:N)-E5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5"/>
    </row>
    <row r="9" spans="2:22" ht="15" customHeight="1" thickBot="1" x14ac:dyDescent="0.3">
      <c r="B9" s="651" t="s">
        <v>301</v>
      </c>
      <c r="C9" s="652"/>
      <c r="D9" s="652"/>
      <c r="E9" s="646">
        <f>SUMIF(S:S,CAPA!$I$2,N:N)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8"/>
    </row>
    <row r="10" spans="2:22" ht="10.15" customHeight="1" thickTop="1" thickBot="1" x14ac:dyDescent="0.3"/>
    <row r="11" spans="2:22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6"/>
    </row>
    <row r="12" spans="2:22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14" t="s">
        <v>303</v>
      </c>
      <c r="R12" s="619" t="s">
        <v>304</v>
      </c>
      <c r="S12" s="620"/>
    </row>
    <row r="13" spans="2:22" s="8" customFormat="1" ht="30" customHeight="1" thickBot="1" x14ac:dyDescent="0.3">
      <c r="B13" s="15" t="str">
        <f>RESUMO!C70</f>
        <v>D.2</v>
      </c>
      <c r="C13" s="623" t="str">
        <f>IF($B$13="","",VLOOKUP($B$13,RESUMO!$C:$F,2,FALSE))</f>
        <v>Pavimento</v>
      </c>
      <c r="D13" s="623"/>
      <c r="E13" s="623"/>
      <c r="F13" s="662"/>
      <c r="G13" s="16" t="str">
        <f>RESUMO!C71</f>
        <v>D.2.1</v>
      </c>
      <c r="H13" s="623" t="str">
        <f>IF($G$13="","",VLOOKUP($G$13,RESUMO!$C:$F,2,FALSE))</f>
        <v>Fresagem contínua de revestimento betuminoso</v>
      </c>
      <c r="I13" s="623"/>
      <c r="J13" s="623"/>
      <c r="K13" s="623"/>
      <c r="L13" s="623"/>
      <c r="M13" s="623"/>
      <c r="N13" s="623"/>
      <c r="O13" s="623"/>
      <c r="P13" s="623"/>
      <c r="Q13" s="17" t="str">
        <f>IF($G$13="","",VLOOKUP($G$13,RESUMO!$C:$F,3,FALSE))</f>
        <v>m³</v>
      </c>
      <c r="R13" s="621">
        <f>IF($G$13="","",VLOOKUP($G$13,RESUMO!$C:$F,4,FALSE))</f>
        <v>225.86635465418615</v>
      </c>
      <c r="S13" s="622"/>
    </row>
    <row r="14" spans="2:22" ht="10.15" customHeight="1" thickTop="1" thickBot="1" x14ac:dyDescent="0.3"/>
    <row r="15" spans="2:22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329</v>
      </c>
      <c r="K15" s="9" t="s">
        <v>320</v>
      </c>
      <c r="L15" s="9" t="s">
        <v>321</v>
      </c>
      <c r="M15" s="9" t="s">
        <v>323</v>
      </c>
      <c r="N15" s="627" t="s">
        <v>310</v>
      </c>
      <c r="O15" s="627" t="s">
        <v>311</v>
      </c>
      <c r="P15" s="627" t="s">
        <v>312</v>
      </c>
      <c r="Q15" s="627"/>
      <c r="R15" s="627"/>
      <c r="S15" s="629" t="s">
        <v>27</v>
      </c>
      <c r="U15" s="611" t="s">
        <v>313</v>
      </c>
      <c r="V15" s="611"/>
    </row>
    <row r="16" spans="2:22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333</v>
      </c>
      <c r="K16" s="10" t="s">
        <v>322</v>
      </c>
      <c r="L16" s="10" t="s">
        <v>322</v>
      </c>
      <c r="M16" s="10" t="s">
        <v>322</v>
      </c>
      <c r="N16" s="628"/>
      <c r="O16" s="628"/>
      <c r="P16" s="628"/>
      <c r="Q16" s="628"/>
      <c r="R16" s="628"/>
      <c r="S16" s="630"/>
      <c r="U16" s="35" t="s">
        <v>269</v>
      </c>
      <c r="V16" s="35" t="s">
        <v>47</v>
      </c>
    </row>
    <row r="17" spans="2:24" ht="19.899999999999999" customHeight="1" thickTop="1" x14ac:dyDescent="0.25">
      <c r="B17" s="25" t="s">
        <v>316</v>
      </c>
      <c r="C17" s="26" t="s">
        <v>306</v>
      </c>
      <c r="D17" s="27">
        <v>306</v>
      </c>
      <c r="E17" s="28">
        <v>630</v>
      </c>
      <c r="F17" s="27"/>
      <c r="G17" s="28"/>
      <c r="H17" s="26" t="s">
        <v>306</v>
      </c>
      <c r="I17" s="11" t="s">
        <v>325</v>
      </c>
      <c r="J17" s="23">
        <v>512.86</v>
      </c>
      <c r="K17" s="23"/>
      <c r="L17" s="23"/>
      <c r="M17" s="23">
        <v>7.4999999999999997E-2</v>
      </c>
      <c r="N17" s="23">
        <f>J17*M17</f>
        <v>38.464500000000001</v>
      </c>
      <c r="O17" s="23">
        <f>IF(OR(B17="",N17=""),"",IF(AND(O16="",S17=""),O16,SUM(N17,O16)))</f>
        <v>38.464500000000001</v>
      </c>
      <c r="P17" s="612" t="s">
        <v>326</v>
      </c>
      <c r="Q17" s="612"/>
      <c r="R17" s="612"/>
      <c r="S17" s="29">
        <v>1</v>
      </c>
      <c r="U17" s="84" t="s">
        <v>151</v>
      </c>
      <c r="V17" s="83" t="str">
        <f>IF($U17="","",VLOOKUP($U17,RESUMO!$C:$D,2,FALSE))</f>
        <v>Fresagem contínua de revestimento betuminoso</v>
      </c>
      <c r="X17" s="85" t="str">
        <f t="shared" ref="X17:X23" si="1">HYPERLINK("#"&amp;"'"&amp;U17&amp;"'"&amp;"!A1","LINK")</f>
        <v>LINK</v>
      </c>
    </row>
    <row r="18" spans="2:24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11"/>
      <c r="N18" s="11" t="str">
        <f t="shared" ref="N18:N39" si="2">IF(K18="","",K18*L18*M18)</f>
        <v/>
      </c>
      <c r="O18" s="11" t="str">
        <f>IF(B18="","",IF(OR(O17="",S18=""),O17,SUM(N18,O17)))</f>
        <v/>
      </c>
      <c r="P18" s="612"/>
      <c r="Q18" s="612"/>
      <c r="R18" s="612"/>
      <c r="S18" s="29"/>
      <c r="U18" s="84" t="s">
        <v>153</v>
      </c>
      <c r="V18" s="83" t="str">
        <f>IF($U18="","",VLOOKUP($U18,RESUMO!$C:$D,2,FALSE))</f>
        <v>Preparo e melhoramento do subleito</v>
      </c>
      <c r="X18" s="85" t="str">
        <f t="shared" si="1"/>
        <v>LINK</v>
      </c>
    </row>
    <row r="19" spans="2:24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11" t="str">
        <f t="shared" si="2"/>
        <v/>
      </c>
      <c r="O19" s="11" t="str">
        <f t="shared" ref="O19:O39" si="3">IF(B19="","",IF(OR(O18="",S19=""),O18,SUM(N19,O18)))</f>
        <v/>
      </c>
      <c r="P19" s="612"/>
      <c r="Q19" s="612"/>
      <c r="R19" s="612"/>
      <c r="S19" s="29"/>
      <c r="U19" s="84" t="s">
        <v>154</v>
      </c>
      <c r="V19" s="83" t="str">
        <f>IF($U19="","",VLOOKUP($U19,RESUMO!$C:$D,2,FALSE))</f>
        <v>Rachão ou pedra de mão</v>
      </c>
      <c r="X19" s="85" t="str">
        <f t="shared" si="1"/>
        <v>LINK</v>
      </c>
    </row>
    <row r="20" spans="2:24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 t="str">
        <f t="shared" si="2"/>
        <v/>
      </c>
      <c r="O20" s="11" t="str">
        <f t="shared" si="3"/>
        <v/>
      </c>
      <c r="P20" s="612"/>
      <c r="Q20" s="612"/>
      <c r="R20" s="612"/>
      <c r="S20" s="29"/>
      <c r="U20" s="84" t="s">
        <v>155</v>
      </c>
      <c r="V20" s="83" t="str">
        <f>IF($U20="","",VLOOKUP($U20,RESUMO!$C:$D,2,FALSE))</f>
        <v>Sub-base ou base de brita graduada simples (BGS)</v>
      </c>
      <c r="X20" s="85" t="str">
        <f t="shared" si="1"/>
        <v>LINK</v>
      </c>
    </row>
    <row r="21" spans="2:24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 t="str">
        <f t="shared" si="2"/>
        <v/>
      </c>
      <c r="O21" s="11" t="str">
        <f t="shared" si="3"/>
        <v/>
      </c>
      <c r="P21" s="612"/>
      <c r="Q21" s="612"/>
      <c r="R21" s="612"/>
      <c r="S21" s="29"/>
      <c r="U21" s="84" t="s">
        <v>156</v>
      </c>
      <c r="V21" s="83" t="str">
        <f>IF($U21="","",VLOOKUP($U21,RESUMO!$C:$D,2,FALSE))</f>
        <v>Imprimadura betuminosa impermeabilizante</v>
      </c>
      <c r="X21" s="85" t="str">
        <f t="shared" si="1"/>
        <v>LINK</v>
      </c>
    </row>
    <row r="22" spans="2:24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 t="str">
        <f t="shared" si="2"/>
        <v/>
      </c>
      <c r="O22" s="11" t="str">
        <f t="shared" si="3"/>
        <v/>
      </c>
      <c r="P22" s="612"/>
      <c r="Q22" s="612"/>
      <c r="R22" s="612"/>
      <c r="S22" s="29"/>
      <c r="U22" s="84" t="s">
        <v>157</v>
      </c>
      <c r="V22" s="83" t="str">
        <f>IF($U22="","",VLOOKUP($U22,RESUMO!$C:$D,2,FALSE))</f>
        <v>Imprimadura betuminosa ligante</v>
      </c>
      <c r="X22" s="85" t="str">
        <f t="shared" si="1"/>
        <v>LINK</v>
      </c>
    </row>
    <row r="23" spans="2:24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/>
      <c r="N23" s="11" t="str">
        <f t="shared" si="2"/>
        <v/>
      </c>
      <c r="O23" s="11" t="str">
        <f t="shared" si="3"/>
        <v/>
      </c>
      <c r="P23" s="612"/>
      <c r="Q23" s="612"/>
      <c r="R23" s="612"/>
      <c r="S23" s="29"/>
      <c r="U23" s="84" t="s">
        <v>158</v>
      </c>
      <c r="V23" s="83" t="str">
        <f>IF($U23="","",VLOOKUP($U23,RESUMO!$C:$D,2,FALSE))</f>
        <v>CBUQ  Faixa C/D c/ DOP ou polímero similar</v>
      </c>
      <c r="X23" s="85" t="str">
        <f t="shared" si="1"/>
        <v>LINK</v>
      </c>
    </row>
    <row r="24" spans="2:24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/>
      <c r="N24" s="11" t="str">
        <f t="shared" si="2"/>
        <v/>
      </c>
      <c r="O24" s="11" t="str">
        <f t="shared" si="3"/>
        <v/>
      </c>
      <c r="P24" s="612"/>
      <c r="Q24" s="612"/>
      <c r="R24" s="612"/>
      <c r="S24" s="29"/>
    </row>
    <row r="25" spans="2:24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/>
      <c r="N25" s="11" t="str">
        <f t="shared" si="2"/>
        <v/>
      </c>
      <c r="O25" s="11" t="str">
        <f t="shared" si="3"/>
        <v/>
      </c>
      <c r="P25" s="612"/>
      <c r="Q25" s="612"/>
      <c r="R25" s="612"/>
      <c r="S25" s="29"/>
    </row>
    <row r="26" spans="2:24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/>
      <c r="N26" s="11" t="str">
        <f t="shared" si="2"/>
        <v/>
      </c>
      <c r="O26" s="11" t="str">
        <f t="shared" si="3"/>
        <v/>
      </c>
      <c r="P26" s="612"/>
      <c r="Q26" s="612"/>
      <c r="R26" s="612"/>
      <c r="S26" s="29"/>
    </row>
    <row r="27" spans="2:24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/>
      <c r="N27" s="11" t="str">
        <f t="shared" si="2"/>
        <v/>
      </c>
      <c r="O27" s="11" t="str">
        <f>IF(B27="","",IF(OR(O26="",S27=""),O26,SUM(N27,O26)))</f>
        <v/>
      </c>
      <c r="P27" s="612"/>
      <c r="Q27" s="612"/>
      <c r="R27" s="612"/>
      <c r="S27" s="29"/>
    </row>
    <row r="28" spans="2:24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/>
      <c r="N28" s="11" t="str">
        <f t="shared" si="2"/>
        <v/>
      </c>
      <c r="O28" s="11" t="str">
        <f t="shared" si="3"/>
        <v/>
      </c>
      <c r="P28" s="612"/>
      <c r="Q28" s="612"/>
      <c r="R28" s="612"/>
      <c r="S28" s="29"/>
    </row>
    <row r="29" spans="2:24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/>
      <c r="N29" s="11" t="str">
        <f t="shared" si="2"/>
        <v/>
      </c>
      <c r="O29" s="11" t="str">
        <f t="shared" si="3"/>
        <v/>
      </c>
      <c r="P29" s="612"/>
      <c r="Q29" s="612"/>
      <c r="R29" s="612"/>
      <c r="S29" s="29"/>
    </row>
    <row r="30" spans="2:24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/>
      <c r="N30" s="11" t="str">
        <f t="shared" si="2"/>
        <v/>
      </c>
      <c r="O30" s="11" t="str">
        <f t="shared" si="3"/>
        <v/>
      </c>
      <c r="P30" s="612"/>
      <c r="Q30" s="612"/>
      <c r="R30" s="612"/>
      <c r="S30" s="29"/>
    </row>
    <row r="31" spans="2:24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/>
      <c r="N31" s="11" t="str">
        <f t="shared" si="2"/>
        <v/>
      </c>
      <c r="O31" s="11" t="str">
        <f t="shared" si="3"/>
        <v/>
      </c>
      <c r="P31" s="612"/>
      <c r="Q31" s="612"/>
      <c r="R31" s="612"/>
      <c r="S31" s="29"/>
    </row>
    <row r="32" spans="2:24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/>
      <c r="N32" s="11" t="str">
        <f t="shared" si="2"/>
        <v/>
      </c>
      <c r="O32" s="11" t="str">
        <f t="shared" si="3"/>
        <v/>
      </c>
      <c r="P32" s="612"/>
      <c r="Q32" s="612"/>
      <c r="R32" s="612"/>
      <c r="S32" s="29"/>
    </row>
    <row r="33" spans="2:19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/>
      <c r="N33" s="11" t="str">
        <f t="shared" si="2"/>
        <v/>
      </c>
      <c r="O33" s="11" t="str">
        <f t="shared" si="3"/>
        <v/>
      </c>
      <c r="P33" s="612"/>
      <c r="Q33" s="612"/>
      <c r="R33" s="612"/>
      <c r="S33" s="29"/>
    </row>
    <row r="34" spans="2:19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/>
      <c r="N34" s="11" t="str">
        <f t="shared" si="2"/>
        <v/>
      </c>
      <c r="O34" s="11" t="str">
        <f t="shared" si="3"/>
        <v/>
      </c>
      <c r="P34" s="612"/>
      <c r="Q34" s="612"/>
      <c r="R34" s="612"/>
      <c r="S34" s="29"/>
    </row>
    <row r="35" spans="2:19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/>
      <c r="N35" s="11" t="str">
        <f t="shared" si="2"/>
        <v/>
      </c>
      <c r="O35" s="11" t="str">
        <f t="shared" si="3"/>
        <v/>
      </c>
      <c r="P35" s="612"/>
      <c r="Q35" s="612"/>
      <c r="R35" s="612"/>
      <c r="S35" s="29"/>
    </row>
    <row r="36" spans="2:19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/>
      <c r="N36" s="11" t="str">
        <f t="shared" si="2"/>
        <v/>
      </c>
      <c r="O36" s="11" t="str">
        <f t="shared" si="3"/>
        <v/>
      </c>
      <c r="P36" s="612"/>
      <c r="Q36" s="612"/>
      <c r="R36" s="612"/>
      <c r="S36" s="29"/>
    </row>
    <row r="37" spans="2:19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/>
      <c r="N37" s="11" t="str">
        <f t="shared" si="2"/>
        <v/>
      </c>
      <c r="O37" s="11" t="str">
        <f t="shared" si="3"/>
        <v/>
      </c>
      <c r="P37" s="612"/>
      <c r="Q37" s="612"/>
      <c r="R37" s="612"/>
      <c r="S37" s="29"/>
    </row>
    <row r="38" spans="2:19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/>
      <c r="N38" s="11" t="str">
        <f t="shared" si="2"/>
        <v/>
      </c>
      <c r="O38" s="11" t="str">
        <f t="shared" si="3"/>
        <v/>
      </c>
      <c r="P38" s="612"/>
      <c r="Q38" s="612"/>
      <c r="R38" s="612"/>
      <c r="S38" s="29"/>
    </row>
    <row r="39" spans="2:19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/>
      <c r="N39" s="12" t="str">
        <f t="shared" si="2"/>
        <v/>
      </c>
      <c r="O39" s="12" t="str">
        <f t="shared" si="3"/>
        <v/>
      </c>
      <c r="P39" s="634"/>
      <c r="Q39" s="634"/>
      <c r="R39" s="634"/>
      <c r="S39" s="34"/>
    </row>
    <row r="40" spans="2:19" ht="19.899999999999999" customHeight="1" thickTop="1" x14ac:dyDescent="0.25"/>
  </sheetData>
  <mergeCells count="73">
    <mergeCell ref="P36:R36"/>
    <mergeCell ref="P37:R37"/>
    <mergeCell ref="P38:R38"/>
    <mergeCell ref="P39:R39"/>
    <mergeCell ref="P30:R30"/>
    <mergeCell ref="P31:R31"/>
    <mergeCell ref="P32:R32"/>
    <mergeCell ref="P33:R33"/>
    <mergeCell ref="P34:R34"/>
    <mergeCell ref="P35:R35"/>
    <mergeCell ref="U15:V15"/>
    <mergeCell ref="P29:R29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17:R17"/>
    <mergeCell ref="C13:F13"/>
    <mergeCell ref="H13:P13"/>
    <mergeCell ref="R13:S13"/>
    <mergeCell ref="B15:B16"/>
    <mergeCell ref="C15:C16"/>
    <mergeCell ref="D15:E15"/>
    <mergeCell ref="F15:G15"/>
    <mergeCell ref="H15:H16"/>
    <mergeCell ref="S15:S16"/>
    <mergeCell ref="J8:S8"/>
    <mergeCell ref="J9:S9"/>
    <mergeCell ref="I15:I16"/>
    <mergeCell ref="N15:N16"/>
    <mergeCell ref="O15:O16"/>
    <mergeCell ref="P15:R16"/>
    <mergeCell ref="B8:D8"/>
    <mergeCell ref="E8:F8"/>
    <mergeCell ref="G8:H8"/>
    <mergeCell ref="B9:D9"/>
    <mergeCell ref="E9:F9"/>
    <mergeCell ref="G9:H9"/>
    <mergeCell ref="B11:F11"/>
    <mergeCell ref="G11:S11"/>
    <mergeCell ref="C12:F12"/>
    <mergeCell ref="H12:P12"/>
    <mergeCell ref="R12:S12"/>
    <mergeCell ref="B7:D7"/>
    <mergeCell ref="E7:F7"/>
    <mergeCell ref="G7:H7"/>
    <mergeCell ref="J6:S6"/>
    <mergeCell ref="J7:S7"/>
    <mergeCell ref="J4:S4"/>
    <mergeCell ref="J5:S5"/>
    <mergeCell ref="B6:D6"/>
    <mergeCell ref="E6:F6"/>
    <mergeCell ref="G6:H6"/>
    <mergeCell ref="B4:D4"/>
    <mergeCell ref="E4:F4"/>
    <mergeCell ref="G4:H4"/>
    <mergeCell ref="B5:D5"/>
    <mergeCell ref="E5:F5"/>
    <mergeCell ref="G5:H5"/>
    <mergeCell ref="B2:D3"/>
    <mergeCell ref="E2:H2"/>
    <mergeCell ref="U2:V2"/>
    <mergeCell ref="E3:F3"/>
    <mergeCell ref="G3:H3"/>
    <mergeCell ref="J2:S2"/>
    <mergeCell ref="J3:S3"/>
  </mergeCells>
  <phoneticPr fontId="16" type="noConversion"/>
  <conditionalFormatting sqref="B17:P39 S17:S39">
    <cfRule type="containsBlanks" dxfId="35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4808-DC2A-4F2A-B324-E50ED68E58DB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1018.65</v>
      </c>
      <c r="F4" s="653"/>
      <c r="G4" s="640">
        <f t="shared" ref="G4:G9" si="0">E4*$P$13</f>
        <v>4370.01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1018.6510000000001</v>
      </c>
      <c r="F5" s="654"/>
      <c r="G5" s="642">
        <f t="shared" si="0"/>
        <v>4370.0142900014735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1018.6510000000001</v>
      </c>
      <c r="F6" s="654"/>
      <c r="G6" s="642">
        <f t="shared" si="0"/>
        <v>4370.0142900014735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-1.00000000009004E-3</v>
      </c>
      <c r="F7" s="645"/>
      <c r="G7" s="642">
        <f t="shared" si="0"/>
        <v>-4.2900014729234538E-3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RESUMO!C70</f>
        <v>D.2</v>
      </c>
      <c r="C13" s="623" t="str">
        <f>IF($B$13="","",VLOOKUP($B$13,RESUMO!$C:$F,2,FALSE))</f>
        <v>Pavimento</v>
      </c>
      <c r="D13" s="623"/>
      <c r="E13" s="623"/>
      <c r="F13" s="662"/>
      <c r="G13" s="16" t="str">
        <f>RESUMO!C72</f>
        <v>D.2.2</v>
      </c>
      <c r="H13" s="623" t="str">
        <f>IF($G$13="","",VLOOKUP($G$13,RESUMO!$C:$F,2,FALSE))</f>
        <v>Preparo e melhoramento do subleito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m²</v>
      </c>
      <c r="P13" s="621">
        <f>IF($G$13="","",VLOOKUP($G$13,RESUMO!$C:$F,4,FALSE))</f>
        <v>4.290001472537182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23"/>
      <c r="K17" s="23"/>
      <c r="L17" s="23">
        <v>427.79700000000003</v>
      </c>
      <c r="M17" s="23">
        <f>IF(OR(B17="",L17=""),"",IF(AND(M16="",Q17=""),M16,SUM(L17,M16)))</f>
        <v>427.79700000000003</v>
      </c>
      <c r="N17" s="612" t="s">
        <v>326</v>
      </c>
      <c r="O17" s="612"/>
      <c r="P17" s="612"/>
      <c r="Q17" s="24">
        <v>1</v>
      </c>
      <c r="S17" s="84" t="s">
        <v>151</v>
      </c>
      <c r="T17" s="83" t="str">
        <f>IF($S17="","",VLOOKUP($S17,RESUMO!$C:$D,2,FALSE))</f>
        <v>Fresagem contínua de revestimento betuminoso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"/>
      <c r="K18" s="11"/>
      <c r="L18" s="11">
        <v>590.85400000000004</v>
      </c>
      <c r="M18" s="11">
        <f>IF(B18="","",IF(OR(M17="",Q18=""),M17,SUM(L18,M17)))</f>
        <v>1018.6510000000001</v>
      </c>
      <c r="N18" s="612" t="s">
        <v>326</v>
      </c>
      <c r="O18" s="612"/>
      <c r="P18" s="612"/>
      <c r="Q18" s="29">
        <v>1</v>
      </c>
      <c r="S18" s="84" t="s">
        <v>153</v>
      </c>
      <c r="T18" s="83" t="str">
        <f>IF($S18="","",VLOOKUP($S18,RESUMO!$C:$D,2,FALSE))</f>
        <v>Preparo e melhoramento do subleito</v>
      </c>
      <c r="V18" s="85" t="str">
        <f t="shared" ref="V18:V23" si="1"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 t="str">
        <f t="shared" ref="L19:L36" si="2">IF(J19="","",J19*K19)</f>
        <v/>
      </c>
      <c r="M19" s="11" t="str">
        <f>IF(B19="","",IF(OR(M18="",Q19=""),M18,SUM(L19,M18)))</f>
        <v/>
      </c>
      <c r="N19" s="612"/>
      <c r="O19" s="612"/>
      <c r="P19" s="612"/>
      <c r="Q19" s="29"/>
      <c r="S19" s="84" t="s">
        <v>154</v>
      </c>
      <c r="T19" s="83" t="str">
        <f>IF($S19="","",VLOOKUP($S19,RESUMO!$C:$D,2,FALSE))</f>
        <v>Rachão ou pedra de mão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si="2"/>
        <v/>
      </c>
      <c r="M20" s="11" t="str">
        <f t="shared" ref="M20:M36" si="3">IF(B20="","",IF(OR(M19="",Q20=""),M19,SUM(L20,M19)))</f>
        <v/>
      </c>
      <c r="N20" s="612"/>
      <c r="O20" s="612"/>
      <c r="P20" s="612"/>
      <c r="Q20" s="29"/>
      <c r="S20" s="84" t="s">
        <v>155</v>
      </c>
      <c r="T20" s="83" t="str">
        <f>IF($S20="","",VLOOKUP($S20,RESUMO!$C:$D,2,FALSE))</f>
        <v>Sub-base ou base de brita graduada simples (BGS)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2"/>
        <v/>
      </c>
      <c r="M21" s="11" t="str">
        <f t="shared" si="3"/>
        <v/>
      </c>
      <c r="N21" s="612"/>
      <c r="O21" s="612"/>
      <c r="P21" s="612"/>
      <c r="Q21" s="29"/>
      <c r="S21" s="84" t="s">
        <v>156</v>
      </c>
      <c r="T21" s="83" t="str">
        <f>IF($S21="","",VLOOKUP($S21,RESUMO!$C:$D,2,FALSE))</f>
        <v>Imprimadura betuminosa impermeabilizante</v>
      </c>
      <c r="V21" s="85" t="str">
        <f t="shared" si="1"/>
        <v>LINK</v>
      </c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2"/>
        <v/>
      </c>
      <c r="M22" s="11" t="str">
        <f t="shared" si="3"/>
        <v/>
      </c>
      <c r="N22" s="612"/>
      <c r="O22" s="612"/>
      <c r="P22" s="612"/>
      <c r="Q22" s="29"/>
      <c r="S22" s="84" t="s">
        <v>157</v>
      </c>
      <c r="T22" s="83" t="str">
        <f>IF($S22="","",VLOOKUP($S22,RESUMO!$C:$D,2,FALSE))</f>
        <v>Imprimadura betuminosa ligante</v>
      </c>
      <c r="V22" s="85" t="str">
        <f t="shared" si="1"/>
        <v>LINK</v>
      </c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  <c r="S23" s="84" t="s">
        <v>158</v>
      </c>
      <c r="T23" s="83" t="str">
        <f>IF($S23="","",VLOOKUP($S23,RESUMO!$C:$D,2,FALSE))</f>
        <v>CBUQ  Faixa C/D c/ DOP ou polímero similar</v>
      </c>
      <c r="V23" s="85" t="str">
        <f t="shared" si="1"/>
        <v>LINK</v>
      </c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phoneticPr fontId="16" type="noConversion"/>
  <conditionalFormatting sqref="B17:N36 Q17:Q36">
    <cfRule type="containsBlanks" dxfId="34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735A-0EFF-4DF6-AA64-6ABADC889EAD}">
  <sheetPr>
    <pageSetUpPr fitToPage="1"/>
  </sheetPr>
  <dimension ref="B1:X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5" width="12.7109375" style="3" customWidth="1"/>
    <col min="16" max="16" width="20.7109375" style="3" customWidth="1"/>
    <col min="17" max="18" width="10.7109375" style="3" customWidth="1"/>
    <col min="19" max="16384" width="10.7109375" style="3"/>
  </cols>
  <sheetData>
    <row r="1" spans="2:22" ht="19.899999999999999" customHeight="1" thickBot="1" x14ac:dyDescent="0.3"/>
    <row r="2" spans="2:22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3"/>
      <c r="U2" s="611" t="s">
        <v>294</v>
      </c>
      <c r="V2" s="611"/>
    </row>
    <row r="3" spans="2:22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4"/>
      <c r="S3" s="615"/>
      <c r="U3" s="36"/>
      <c r="V3" s="36"/>
    </row>
    <row r="4" spans="2:22" ht="15" customHeight="1" x14ac:dyDescent="0.25">
      <c r="B4" s="647" t="s">
        <v>296</v>
      </c>
      <c r="C4" s="648"/>
      <c r="D4" s="648"/>
      <c r="E4" s="653">
        <f>IF($G$13="","",VLOOKUP($G$13,RESUMO!$C:$G,5,FALSE))</f>
        <v>509.33</v>
      </c>
      <c r="F4" s="653"/>
      <c r="G4" s="640">
        <f t="shared" ref="G4:G9" si="0">E4*$R$13</f>
        <v>78395.38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5"/>
      <c r="U4" s="36"/>
      <c r="V4" s="36"/>
    </row>
    <row r="5" spans="2:22" ht="15" customHeight="1" x14ac:dyDescent="0.25">
      <c r="B5" s="649" t="s">
        <v>297</v>
      </c>
      <c r="C5" s="650"/>
      <c r="D5" s="650"/>
      <c r="E5" s="654">
        <f>SUMIFS(N:N,S:S,"&lt;&gt;")</f>
        <v>509.32550000000003</v>
      </c>
      <c r="F5" s="654"/>
      <c r="G5" s="642">
        <f t="shared" si="0"/>
        <v>78394.687366128055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5"/>
      <c r="U5" s="36"/>
      <c r="V5" s="36"/>
    </row>
    <row r="6" spans="2:22" ht="15" customHeight="1" x14ac:dyDescent="0.25">
      <c r="B6" s="649" t="s">
        <v>298</v>
      </c>
      <c r="C6" s="650"/>
      <c r="D6" s="650"/>
      <c r="E6" s="654">
        <f>E5-E9</f>
        <v>509.32550000000003</v>
      </c>
      <c r="F6" s="654"/>
      <c r="G6" s="642">
        <f t="shared" si="0"/>
        <v>78394.687366128055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5"/>
    </row>
    <row r="7" spans="2:22" ht="15" customHeight="1" x14ac:dyDescent="0.25">
      <c r="B7" s="649" t="s">
        <v>299</v>
      </c>
      <c r="C7" s="650"/>
      <c r="D7" s="650"/>
      <c r="E7" s="644">
        <f>E4-E5</f>
        <v>4.4999999999504325E-3</v>
      </c>
      <c r="F7" s="645"/>
      <c r="G7" s="642">
        <f t="shared" si="0"/>
        <v>0.69263387194179438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5"/>
    </row>
    <row r="8" spans="2:22" ht="15" customHeight="1" x14ac:dyDescent="0.25">
      <c r="B8" s="655" t="s">
        <v>300</v>
      </c>
      <c r="C8" s="656"/>
      <c r="D8" s="656"/>
      <c r="E8" s="657">
        <f>SUM(N:N)-E5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5"/>
    </row>
    <row r="9" spans="2:22" ht="15" customHeight="1" thickBot="1" x14ac:dyDescent="0.3">
      <c r="B9" s="651" t="s">
        <v>301</v>
      </c>
      <c r="C9" s="652"/>
      <c r="D9" s="652"/>
      <c r="E9" s="646">
        <f>SUMIF(S:S,CAPA!$I$2,N:N)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8"/>
    </row>
    <row r="10" spans="2:22" ht="10.15" customHeight="1" thickTop="1" thickBot="1" x14ac:dyDescent="0.3"/>
    <row r="11" spans="2:22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6"/>
    </row>
    <row r="12" spans="2:22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14" t="s">
        <v>303</v>
      </c>
      <c r="R12" s="619" t="s">
        <v>304</v>
      </c>
      <c r="S12" s="620"/>
    </row>
    <row r="13" spans="2:22" s="8" customFormat="1" ht="30" customHeight="1" thickBot="1" x14ac:dyDescent="0.3">
      <c r="B13" s="15" t="str">
        <f>RESUMO!C70</f>
        <v>D.2</v>
      </c>
      <c r="C13" s="623" t="str">
        <f>IF($B$13="","",VLOOKUP($B$13,RESUMO!$C:$F,2,FALSE))</f>
        <v>Pavimento</v>
      </c>
      <c r="D13" s="623"/>
      <c r="E13" s="623"/>
      <c r="F13" s="662"/>
      <c r="G13" s="16" t="str">
        <f>RESUMO!C73</f>
        <v>D.2.3</v>
      </c>
      <c r="H13" s="623" t="str">
        <f>IF($G$13="","",VLOOKUP($G$13,RESUMO!$C:$F,2,FALSE))</f>
        <v>Rachão ou pedra de mão</v>
      </c>
      <c r="I13" s="623"/>
      <c r="J13" s="623"/>
      <c r="K13" s="623"/>
      <c r="L13" s="623"/>
      <c r="M13" s="623"/>
      <c r="N13" s="623"/>
      <c r="O13" s="623"/>
      <c r="P13" s="623"/>
      <c r="Q13" s="17" t="str">
        <f>IF($G$13="","",VLOOKUP($G$13,RESUMO!$C:$F,3,FALSE))</f>
        <v>m³</v>
      </c>
      <c r="R13" s="621">
        <f>IF($G$13="","",VLOOKUP($G$13,RESUMO!$C:$F,4,FALSE))</f>
        <v>153.91863821098306</v>
      </c>
      <c r="S13" s="622"/>
    </row>
    <row r="14" spans="2:22" ht="10.15" customHeight="1" thickTop="1" thickBot="1" x14ac:dyDescent="0.3"/>
    <row r="15" spans="2:22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329</v>
      </c>
      <c r="K15" s="9" t="s">
        <v>320</v>
      </c>
      <c r="L15" s="9" t="s">
        <v>321</v>
      </c>
      <c r="M15" s="9" t="s">
        <v>323</v>
      </c>
      <c r="N15" s="627" t="s">
        <v>310</v>
      </c>
      <c r="O15" s="627" t="s">
        <v>311</v>
      </c>
      <c r="P15" s="627" t="s">
        <v>312</v>
      </c>
      <c r="Q15" s="627"/>
      <c r="R15" s="627"/>
      <c r="S15" s="629" t="s">
        <v>27</v>
      </c>
      <c r="U15" s="611" t="s">
        <v>313</v>
      </c>
      <c r="V15" s="611"/>
    </row>
    <row r="16" spans="2:22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333</v>
      </c>
      <c r="K16" s="10" t="s">
        <v>322</v>
      </c>
      <c r="L16" s="10" t="s">
        <v>322</v>
      </c>
      <c r="M16" s="10" t="s">
        <v>322</v>
      </c>
      <c r="N16" s="628"/>
      <c r="O16" s="628"/>
      <c r="P16" s="628"/>
      <c r="Q16" s="628"/>
      <c r="R16" s="628"/>
      <c r="S16" s="630"/>
      <c r="U16" s="35" t="s">
        <v>269</v>
      </c>
      <c r="V16" s="35" t="s">
        <v>47</v>
      </c>
    </row>
    <row r="17" spans="2:24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23">
        <f>'D.2.2'!L17</f>
        <v>427.79700000000003</v>
      </c>
      <c r="K17" s="23"/>
      <c r="L17" s="23"/>
      <c r="M17" s="23">
        <v>0.5</v>
      </c>
      <c r="N17" s="23">
        <f>J17*M17</f>
        <v>213.89850000000001</v>
      </c>
      <c r="O17" s="23">
        <f>IF(OR(B17="",N17=""),"",IF(AND(O16="",S17=""),O16,SUM(N17,O16)))</f>
        <v>213.89850000000001</v>
      </c>
      <c r="P17" s="612" t="s">
        <v>326</v>
      </c>
      <c r="Q17" s="612"/>
      <c r="R17" s="612"/>
      <c r="S17" s="24">
        <v>1</v>
      </c>
      <c r="U17" s="84" t="s">
        <v>151</v>
      </c>
      <c r="V17" s="83" t="str">
        <f>IF($U17="","",VLOOKUP($U17,RESUMO!$C:$D,2,FALSE))</f>
        <v>Fresagem contínua de revestimento betuminoso</v>
      </c>
      <c r="X17" s="85" t="str">
        <f>HYPERLINK("#"&amp;"'"&amp;U17&amp;"'"&amp;"!A1","LINK")</f>
        <v>LINK</v>
      </c>
    </row>
    <row r="18" spans="2:24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">
        <f>'D.2.2'!L18</f>
        <v>590.85400000000004</v>
      </c>
      <c r="K18" s="11"/>
      <c r="L18" s="11"/>
      <c r="M18" s="11">
        <v>0.5</v>
      </c>
      <c r="N18" s="11">
        <f>J18*M18</f>
        <v>295.42700000000002</v>
      </c>
      <c r="O18" s="11">
        <f>IF(B18="","",IF(OR(O17="",S18=""),O17,SUM(N18,O17)))</f>
        <v>509.32550000000003</v>
      </c>
      <c r="P18" s="612" t="s">
        <v>326</v>
      </c>
      <c r="Q18" s="612"/>
      <c r="R18" s="612"/>
      <c r="S18" s="29">
        <v>1</v>
      </c>
      <c r="U18" s="84" t="s">
        <v>153</v>
      </c>
      <c r="V18" s="83" t="str">
        <f>IF($U18="","",VLOOKUP($U18,RESUMO!$C:$D,2,FALSE))</f>
        <v>Preparo e melhoramento do subleito</v>
      </c>
      <c r="X18" s="85" t="str">
        <f t="shared" ref="X18:X22" si="1">HYPERLINK("#"&amp;"'"&amp;U18&amp;"'"&amp;"!A1","LINK")</f>
        <v>LINK</v>
      </c>
    </row>
    <row r="19" spans="2:24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11" t="str">
        <f t="shared" ref="N19:N39" si="2">IF(K19="","",K19*L19*M19)</f>
        <v/>
      </c>
      <c r="O19" s="11" t="str">
        <f t="shared" ref="O19:O39" si="3">IF(B19="","",IF(OR(O18="",S19=""),O18,SUM(N19,O18)))</f>
        <v/>
      </c>
      <c r="P19" s="612"/>
      <c r="Q19" s="612"/>
      <c r="R19" s="612"/>
      <c r="S19" s="29"/>
      <c r="U19" s="84" t="s">
        <v>154</v>
      </c>
      <c r="V19" s="83" t="str">
        <f>IF($U19="","",VLOOKUP($U19,RESUMO!$C:$D,2,FALSE))</f>
        <v>Rachão ou pedra de mão</v>
      </c>
      <c r="X19" s="85" t="str">
        <f t="shared" si="1"/>
        <v>LINK</v>
      </c>
    </row>
    <row r="20" spans="2:24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 t="str">
        <f t="shared" si="2"/>
        <v/>
      </c>
      <c r="O20" s="11" t="str">
        <f t="shared" si="3"/>
        <v/>
      </c>
      <c r="P20" s="612"/>
      <c r="Q20" s="612"/>
      <c r="R20" s="612"/>
      <c r="S20" s="29"/>
      <c r="U20" s="84" t="s">
        <v>155</v>
      </c>
      <c r="V20" s="83" t="str">
        <f>IF($U20="","",VLOOKUP($U20,RESUMO!$C:$D,2,FALSE))</f>
        <v>Sub-base ou base de brita graduada simples (BGS)</v>
      </c>
      <c r="X20" s="85" t="str">
        <f t="shared" si="1"/>
        <v>LINK</v>
      </c>
    </row>
    <row r="21" spans="2:24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 t="str">
        <f t="shared" si="2"/>
        <v/>
      </c>
      <c r="O21" s="11" t="str">
        <f t="shared" si="3"/>
        <v/>
      </c>
      <c r="P21" s="612"/>
      <c r="Q21" s="612"/>
      <c r="R21" s="612"/>
      <c r="S21" s="29"/>
      <c r="U21" s="84" t="s">
        <v>156</v>
      </c>
      <c r="V21" s="83" t="str">
        <f>IF($U21="","",VLOOKUP($U21,RESUMO!$C:$D,2,FALSE))</f>
        <v>Imprimadura betuminosa impermeabilizante</v>
      </c>
      <c r="X21" s="85" t="str">
        <f t="shared" si="1"/>
        <v>LINK</v>
      </c>
    </row>
    <row r="22" spans="2:24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 t="str">
        <f t="shared" si="2"/>
        <v/>
      </c>
      <c r="O22" s="11" t="str">
        <f t="shared" si="3"/>
        <v/>
      </c>
      <c r="P22" s="612"/>
      <c r="Q22" s="612"/>
      <c r="R22" s="612"/>
      <c r="S22" s="29"/>
      <c r="U22" s="84" t="s">
        <v>157</v>
      </c>
      <c r="V22" s="83" t="str">
        <f>IF($U22="","",VLOOKUP($U22,RESUMO!$C:$D,2,FALSE))</f>
        <v>Imprimadura betuminosa ligante</v>
      </c>
      <c r="X22" s="85" t="str">
        <f t="shared" si="1"/>
        <v>LINK</v>
      </c>
    </row>
    <row r="23" spans="2:24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/>
      <c r="N23" s="11" t="str">
        <f t="shared" si="2"/>
        <v/>
      </c>
      <c r="O23" s="11" t="str">
        <f t="shared" si="3"/>
        <v/>
      </c>
      <c r="P23" s="612"/>
      <c r="Q23" s="612"/>
      <c r="R23" s="612"/>
      <c r="S23" s="29"/>
      <c r="U23" s="84" t="s">
        <v>158</v>
      </c>
      <c r="V23" s="83" t="str">
        <f>IF($U23="","",VLOOKUP($U23,RESUMO!$C:$D,2,FALSE))</f>
        <v>CBUQ  Faixa C/D c/ DOP ou polímero similar</v>
      </c>
      <c r="X23" s="85" t="str">
        <f t="shared" ref="X23" si="4">HYPERLINK("#"&amp;"'"&amp;U23&amp;"'"&amp;"!A1","LINK")</f>
        <v>LINK</v>
      </c>
    </row>
    <row r="24" spans="2:24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/>
      <c r="N24" s="11" t="str">
        <f t="shared" si="2"/>
        <v/>
      </c>
      <c r="O24" s="11" t="str">
        <f t="shared" si="3"/>
        <v/>
      </c>
      <c r="P24" s="612"/>
      <c r="Q24" s="612"/>
      <c r="R24" s="612"/>
      <c r="S24" s="29"/>
    </row>
    <row r="25" spans="2:24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/>
      <c r="N25" s="11" t="str">
        <f t="shared" si="2"/>
        <v/>
      </c>
      <c r="O25" s="11" t="str">
        <f t="shared" si="3"/>
        <v/>
      </c>
      <c r="P25" s="612"/>
      <c r="Q25" s="612"/>
      <c r="R25" s="612"/>
      <c r="S25" s="29"/>
    </row>
    <row r="26" spans="2:24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/>
      <c r="N26" s="11" t="str">
        <f t="shared" si="2"/>
        <v/>
      </c>
      <c r="O26" s="11" t="str">
        <f t="shared" si="3"/>
        <v/>
      </c>
      <c r="P26" s="612"/>
      <c r="Q26" s="612"/>
      <c r="R26" s="612"/>
      <c r="S26" s="29"/>
    </row>
    <row r="27" spans="2:24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/>
      <c r="N27" s="11" t="str">
        <f t="shared" si="2"/>
        <v/>
      </c>
      <c r="O27" s="11" t="str">
        <f>IF(B27="","",IF(OR(O26="",S27=""),O26,SUM(N27,O26)))</f>
        <v/>
      </c>
      <c r="P27" s="612"/>
      <c r="Q27" s="612"/>
      <c r="R27" s="612"/>
      <c r="S27" s="29"/>
    </row>
    <row r="28" spans="2:24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/>
      <c r="N28" s="11" t="str">
        <f t="shared" si="2"/>
        <v/>
      </c>
      <c r="O28" s="11" t="str">
        <f t="shared" si="3"/>
        <v/>
      </c>
      <c r="P28" s="612"/>
      <c r="Q28" s="612"/>
      <c r="R28" s="612"/>
      <c r="S28" s="29"/>
    </row>
    <row r="29" spans="2:24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/>
      <c r="N29" s="11" t="str">
        <f t="shared" si="2"/>
        <v/>
      </c>
      <c r="O29" s="11" t="str">
        <f t="shared" si="3"/>
        <v/>
      </c>
      <c r="P29" s="612"/>
      <c r="Q29" s="612"/>
      <c r="R29" s="612"/>
      <c r="S29" s="29"/>
    </row>
    <row r="30" spans="2:24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/>
      <c r="N30" s="11" t="str">
        <f t="shared" si="2"/>
        <v/>
      </c>
      <c r="O30" s="11" t="str">
        <f t="shared" si="3"/>
        <v/>
      </c>
      <c r="P30" s="612"/>
      <c r="Q30" s="612"/>
      <c r="R30" s="612"/>
      <c r="S30" s="29"/>
    </row>
    <row r="31" spans="2:24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/>
      <c r="N31" s="11" t="str">
        <f t="shared" si="2"/>
        <v/>
      </c>
      <c r="O31" s="11" t="str">
        <f t="shared" si="3"/>
        <v/>
      </c>
      <c r="P31" s="612"/>
      <c r="Q31" s="612"/>
      <c r="R31" s="612"/>
      <c r="S31" s="29"/>
    </row>
    <row r="32" spans="2:24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/>
      <c r="N32" s="11" t="str">
        <f t="shared" si="2"/>
        <v/>
      </c>
      <c r="O32" s="11" t="str">
        <f t="shared" si="3"/>
        <v/>
      </c>
      <c r="P32" s="612"/>
      <c r="Q32" s="612"/>
      <c r="R32" s="612"/>
      <c r="S32" s="29"/>
    </row>
    <row r="33" spans="2:19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/>
      <c r="N33" s="11" t="str">
        <f t="shared" si="2"/>
        <v/>
      </c>
      <c r="O33" s="11" t="str">
        <f t="shared" si="3"/>
        <v/>
      </c>
      <c r="P33" s="612"/>
      <c r="Q33" s="612"/>
      <c r="R33" s="612"/>
      <c r="S33" s="29"/>
    </row>
    <row r="34" spans="2:19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/>
      <c r="N34" s="11" t="str">
        <f t="shared" si="2"/>
        <v/>
      </c>
      <c r="O34" s="11" t="str">
        <f t="shared" si="3"/>
        <v/>
      </c>
      <c r="P34" s="612"/>
      <c r="Q34" s="612"/>
      <c r="R34" s="612"/>
      <c r="S34" s="29"/>
    </row>
    <row r="35" spans="2:19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/>
      <c r="N35" s="11" t="str">
        <f t="shared" si="2"/>
        <v/>
      </c>
      <c r="O35" s="11" t="str">
        <f t="shared" si="3"/>
        <v/>
      </c>
      <c r="P35" s="612"/>
      <c r="Q35" s="612"/>
      <c r="R35" s="612"/>
      <c r="S35" s="29"/>
    </row>
    <row r="36" spans="2:19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/>
      <c r="N36" s="11" t="str">
        <f t="shared" si="2"/>
        <v/>
      </c>
      <c r="O36" s="11" t="str">
        <f t="shared" si="3"/>
        <v/>
      </c>
      <c r="P36" s="612"/>
      <c r="Q36" s="612"/>
      <c r="R36" s="612"/>
      <c r="S36" s="29"/>
    </row>
    <row r="37" spans="2:19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/>
      <c r="N37" s="11" t="str">
        <f t="shared" si="2"/>
        <v/>
      </c>
      <c r="O37" s="11" t="str">
        <f t="shared" si="3"/>
        <v/>
      </c>
      <c r="P37" s="612"/>
      <c r="Q37" s="612"/>
      <c r="R37" s="612"/>
      <c r="S37" s="29"/>
    </row>
    <row r="38" spans="2:19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/>
      <c r="N38" s="11" t="str">
        <f t="shared" si="2"/>
        <v/>
      </c>
      <c r="O38" s="11" t="str">
        <f t="shared" si="3"/>
        <v/>
      </c>
      <c r="P38" s="612"/>
      <c r="Q38" s="612"/>
      <c r="R38" s="612"/>
      <c r="S38" s="29"/>
    </row>
    <row r="39" spans="2:19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/>
      <c r="N39" s="12" t="str">
        <f t="shared" si="2"/>
        <v/>
      </c>
      <c r="O39" s="12" t="str">
        <f t="shared" si="3"/>
        <v/>
      </c>
      <c r="P39" s="634"/>
      <c r="Q39" s="634"/>
      <c r="R39" s="634"/>
      <c r="S39" s="34"/>
    </row>
    <row r="40" spans="2:19" ht="19.899999999999999" customHeight="1" thickTop="1" x14ac:dyDescent="0.25"/>
  </sheetData>
  <mergeCells count="73">
    <mergeCell ref="P36:R36"/>
    <mergeCell ref="P37:R37"/>
    <mergeCell ref="P38:R38"/>
    <mergeCell ref="P39:R39"/>
    <mergeCell ref="P30:R30"/>
    <mergeCell ref="P31:R31"/>
    <mergeCell ref="P32:R32"/>
    <mergeCell ref="P33:R33"/>
    <mergeCell ref="P34:R34"/>
    <mergeCell ref="P35:R35"/>
    <mergeCell ref="U15:V15"/>
    <mergeCell ref="P29:R29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17:R17"/>
    <mergeCell ref="C13:F13"/>
    <mergeCell ref="H13:P13"/>
    <mergeCell ref="R13:S13"/>
    <mergeCell ref="B15:B16"/>
    <mergeCell ref="C15:C16"/>
    <mergeCell ref="D15:E15"/>
    <mergeCell ref="F15:G15"/>
    <mergeCell ref="H15:H16"/>
    <mergeCell ref="S15:S16"/>
    <mergeCell ref="J8:S8"/>
    <mergeCell ref="J9:S9"/>
    <mergeCell ref="I15:I16"/>
    <mergeCell ref="N15:N16"/>
    <mergeCell ref="O15:O16"/>
    <mergeCell ref="P15:R16"/>
    <mergeCell ref="B8:D8"/>
    <mergeCell ref="E8:F8"/>
    <mergeCell ref="G8:H8"/>
    <mergeCell ref="B9:D9"/>
    <mergeCell ref="E9:F9"/>
    <mergeCell ref="G9:H9"/>
    <mergeCell ref="B11:F11"/>
    <mergeCell ref="G11:S11"/>
    <mergeCell ref="C12:F12"/>
    <mergeCell ref="H12:P12"/>
    <mergeCell ref="R12:S12"/>
    <mergeCell ref="B7:D7"/>
    <mergeCell ref="E7:F7"/>
    <mergeCell ref="G7:H7"/>
    <mergeCell ref="J6:S6"/>
    <mergeCell ref="J7:S7"/>
    <mergeCell ref="J4:S4"/>
    <mergeCell ref="J5:S5"/>
    <mergeCell ref="B6:D6"/>
    <mergeCell ref="E6:F6"/>
    <mergeCell ref="G6:H6"/>
    <mergeCell ref="B4:D4"/>
    <mergeCell ref="E4:F4"/>
    <mergeCell ref="G4:H4"/>
    <mergeCell ref="B5:D5"/>
    <mergeCell ref="E5:F5"/>
    <mergeCell ref="G5:H5"/>
    <mergeCell ref="B2:D3"/>
    <mergeCell ref="E2:H2"/>
    <mergeCell ref="U2:V2"/>
    <mergeCell ref="E3:F3"/>
    <mergeCell ref="G3:H3"/>
    <mergeCell ref="J2:S2"/>
    <mergeCell ref="J3:S3"/>
  </mergeCells>
  <conditionalFormatting sqref="B17:P39 S17:S39">
    <cfRule type="containsBlanks" dxfId="33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7B48-BDE1-455F-AF7B-2440E642C390}">
  <sheetPr>
    <pageSetUpPr fitToPage="1"/>
  </sheetPr>
  <dimension ref="B1:X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5" width="12.7109375" style="3" customWidth="1"/>
    <col min="16" max="16" width="20.7109375" style="3" customWidth="1"/>
    <col min="17" max="18" width="10.7109375" style="3" customWidth="1"/>
    <col min="19" max="16384" width="10.7109375" style="3"/>
  </cols>
  <sheetData>
    <row r="1" spans="2:22" ht="19.899999999999999" customHeight="1" thickBot="1" x14ac:dyDescent="0.3"/>
    <row r="2" spans="2:22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3"/>
      <c r="U2" s="611" t="s">
        <v>294</v>
      </c>
      <c r="V2" s="611"/>
    </row>
    <row r="3" spans="2:22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4"/>
      <c r="S3" s="615"/>
      <c r="U3" s="36"/>
      <c r="V3" s="36"/>
    </row>
    <row r="4" spans="2:22" ht="15" customHeight="1" x14ac:dyDescent="0.25">
      <c r="B4" s="647" t="s">
        <v>296</v>
      </c>
      <c r="C4" s="648"/>
      <c r="D4" s="648"/>
      <c r="E4" s="653">
        <f>IF($G$13="","",VLOOKUP($G$13,RESUMO!$C:$G,5,FALSE))</f>
        <v>203.73</v>
      </c>
      <c r="F4" s="653"/>
      <c r="G4" s="640">
        <f t="shared" ref="G4:G9" si="0">E4*$R$13</f>
        <v>35357.379999999997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5"/>
      <c r="U4" s="36"/>
      <c r="V4" s="36"/>
    </row>
    <row r="5" spans="2:22" ht="15" customHeight="1" x14ac:dyDescent="0.25">
      <c r="B5" s="649" t="s">
        <v>297</v>
      </c>
      <c r="C5" s="650"/>
      <c r="D5" s="650"/>
      <c r="E5" s="654">
        <f>SUMIFS(N:N,S:S,"&lt;&gt;")</f>
        <v>203.73020000000002</v>
      </c>
      <c r="F5" s="654"/>
      <c r="G5" s="642">
        <f t="shared" si="0"/>
        <v>35357.414710037796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5"/>
      <c r="U5" s="36"/>
      <c r="V5" s="36"/>
    </row>
    <row r="6" spans="2:22" ht="15" customHeight="1" x14ac:dyDescent="0.25">
      <c r="B6" s="649" t="s">
        <v>298</v>
      </c>
      <c r="C6" s="650"/>
      <c r="D6" s="650"/>
      <c r="E6" s="654">
        <f>E5-E9</f>
        <v>203.73020000000002</v>
      </c>
      <c r="F6" s="654"/>
      <c r="G6" s="642">
        <f t="shared" si="0"/>
        <v>35357.414710037796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5"/>
    </row>
    <row r="7" spans="2:22" ht="15" customHeight="1" x14ac:dyDescent="0.25">
      <c r="B7" s="649" t="s">
        <v>299</v>
      </c>
      <c r="C7" s="650"/>
      <c r="D7" s="650"/>
      <c r="E7" s="644">
        <f>E4-E5</f>
        <v>-2.0000000003506102E-4</v>
      </c>
      <c r="F7" s="645"/>
      <c r="G7" s="642">
        <f t="shared" si="0"/>
        <v>-3.4710037801205837E-2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5"/>
    </row>
    <row r="8" spans="2:22" ht="15" customHeight="1" x14ac:dyDescent="0.25">
      <c r="B8" s="655" t="s">
        <v>300</v>
      </c>
      <c r="C8" s="656"/>
      <c r="D8" s="656"/>
      <c r="E8" s="657">
        <f>SUM(N:N)-E5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5"/>
    </row>
    <row r="9" spans="2:22" ht="15" customHeight="1" thickBot="1" x14ac:dyDescent="0.3">
      <c r="B9" s="651" t="s">
        <v>301</v>
      </c>
      <c r="C9" s="652"/>
      <c r="D9" s="652"/>
      <c r="E9" s="646">
        <f>SUMIF(S:S,CAPA!$I$2,N:N)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8"/>
    </row>
    <row r="10" spans="2:22" ht="10.15" customHeight="1" thickTop="1" thickBot="1" x14ac:dyDescent="0.3"/>
    <row r="11" spans="2:22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6"/>
    </row>
    <row r="12" spans="2:22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14" t="s">
        <v>303</v>
      </c>
      <c r="R12" s="619" t="s">
        <v>304</v>
      </c>
      <c r="S12" s="620"/>
    </row>
    <row r="13" spans="2:22" s="8" customFormat="1" ht="30" customHeight="1" thickBot="1" x14ac:dyDescent="0.3">
      <c r="B13" s="15" t="str">
        <f>RESUMO!C70</f>
        <v>D.2</v>
      </c>
      <c r="C13" s="623" t="str">
        <f>IF($B$13="","",VLOOKUP($B$13,RESUMO!$C:$F,2,FALSE))</f>
        <v>Pavimento</v>
      </c>
      <c r="D13" s="623"/>
      <c r="E13" s="623"/>
      <c r="F13" s="662"/>
      <c r="G13" s="16" t="str">
        <f>RESUMO!C74</f>
        <v>D.2.4</v>
      </c>
      <c r="H13" s="623" t="str">
        <f>IF($G$13="","",VLOOKUP($G$13,RESUMO!$C:$F,2,FALSE))</f>
        <v>Sub-base ou base de brita graduada simples (BGS)</v>
      </c>
      <c r="I13" s="623"/>
      <c r="J13" s="623"/>
      <c r="K13" s="623"/>
      <c r="L13" s="623"/>
      <c r="M13" s="623"/>
      <c r="N13" s="623"/>
      <c r="O13" s="623"/>
      <c r="P13" s="623"/>
      <c r="Q13" s="17" t="str">
        <f>IF($G$13="","",VLOOKUP($G$13,RESUMO!$C:$F,3,FALSE))</f>
        <v>m³</v>
      </c>
      <c r="R13" s="621">
        <f>IF($G$13="","",VLOOKUP($G$13,RESUMO!$C:$F,4,FALSE))</f>
        <v>173.55018897560495</v>
      </c>
      <c r="S13" s="622"/>
    </row>
    <row r="14" spans="2:22" ht="10.15" customHeight="1" thickTop="1" thickBot="1" x14ac:dyDescent="0.3"/>
    <row r="15" spans="2:22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329</v>
      </c>
      <c r="K15" s="9" t="s">
        <v>320</v>
      </c>
      <c r="L15" s="9" t="s">
        <v>321</v>
      </c>
      <c r="M15" s="9" t="s">
        <v>323</v>
      </c>
      <c r="N15" s="627" t="s">
        <v>310</v>
      </c>
      <c r="O15" s="627" t="s">
        <v>311</v>
      </c>
      <c r="P15" s="627" t="s">
        <v>312</v>
      </c>
      <c r="Q15" s="627"/>
      <c r="R15" s="627"/>
      <c r="S15" s="629" t="s">
        <v>27</v>
      </c>
      <c r="U15" s="611" t="s">
        <v>313</v>
      </c>
      <c r="V15" s="611"/>
    </row>
    <row r="16" spans="2:22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333</v>
      </c>
      <c r="K16" s="10" t="s">
        <v>322</v>
      </c>
      <c r="L16" s="10" t="s">
        <v>322</v>
      </c>
      <c r="M16" s="10" t="s">
        <v>322</v>
      </c>
      <c r="N16" s="628"/>
      <c r="O16" s="628"/>
      <c r="P16" s="628"/>
      <c r="Q16" s="628"/>
      <c r="R16" s="628"/>
      <c r="S16" s="630"/>
      <c r="U16" s="35" t="s">
        <v>269</v>
      </c>
      <c r="V16" s="35" t="s">
        <v>47</v>
      </c>
    </row>
    <row r="17" spans="2:24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23">
        <f>'D.2.2'!L17</f>
        <v>427.79700000000003</v>
      </c>
      <c r="K17" s="23"/>
      <c r="L17" s="23"/>
      <c r="M17" s="23">
        <v>0.2</v>
      </c>
      <c r="N17" s="23">
        <f>J17*M17</f>
        <v>85.559400000000011</v>
      </c>
      <c r="O17" s="23">
        <f>IF(OR(B17="",N17=""),"",IF(AND(O16="",S17=""),O16,SUM(N17,O16)))</f>
        <v>85.559400000000011</v>
      </c>
      <c r="P17" s="612" t="s">
        <v>326</v>
      </c>
      <c r="Q17" s="612"/>
      <c r="R17" s="612"/>
      <c r="S17" s="24">
        <v>1</v>
      </c>
      <c r="U17" s="84" t="s">
        <v>151</v>
      </c>
      <c r="V17" s="83" t="str">
        <f>IF($U17="","",VLOOKUP($U17,RESUMO!$C:$D,2,FALSE))</f>
        <v>Fresagem contínua de revestimento betuminoso</v>
      </c>
      <c r="X17" s="85" t="str">
        <f>HYPERLINK("#"&amp;"'"&amp;U17&amp;"'"&amp;"!A1","LINK")</f>
        <v>LINK</v>
      </c>
    </row>
    <row r="18" spans="2:24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">
        <f>'D.2.2'!L18</f>
        <v>590.85400000000004</v>
      </c>
      <c r="K18" s="11"/>
      <c r="L18" s="11"/>
      <c r="M18" s="11">
        <v>0.2</v>
      </c>
      <c r="N18" s="11">
        <f>J18*M18</f>
        <v>118.17080000000001</v>
      </c>
      <c r="O18" s="11">
        <f>IF(B18="","",IF(OR(O17="",S18=""),O17,SUM(N18,O17)))</f>
        <v>203.73020000000002</v>
      </c>
      <c r="P18" s="612" t="s">
        <v>326</v>
      </c>
      <c r="Q18" s="612"/>
      <c r="R18" s="612"/>
      <c r="S18" s="29">
        <v>1</v>
      </c>
      <c r="U18" s="84" t="s">
        <v>153</v>
      </c>
      <c r="V18" s="83" t="str">
        <f>IF($U18="","",VLOOKUP($U18,RESUMO!$C:$D,2,FALSE))</f>
        <v>Preparo e melhoramento do subleito</v>
      </c>
      <c r="X18" s="85" t="str">
        <f t="shared" ref="X18:X22" si="1">HYPERLINK("#"&amp;"'"&amp;U18&amp;"'"&amp;"!A1","LINK")</f>
        <v>LINK</v>
      </c>
    </row>
    <row r="19" spans="2:24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/>
      <c r="N19" s="11" t="str">
        <f t="shared" ref="N19:N39" si="2">IF(K19="","",K19*L19*M19)</f>
        <v/>
      </c>
      <c r="O19" s="11" t="str">
        <f t="shared" ref="O19:O39" si="3">IF(B19="","",IF(OR(O18="",S19=""),O18,SUM(N19,O18)))</f>
        <v/>
      </c>
      <c r="P19" s="612"/>
      <c r="Q19" s="612"/>
      <c r="R19" s="612"/>
      <c r="S19" s="29"/>
      <c r="U19" s="84" t="s">
        <v>154</v>
      </c>
      <c r="V19" s="83" t="str">
        <f>IF($U19="","",VLOOKUP($U19,RESUMO!$C:$D,2,FALSE))</f>
        <v>Rachão ou pedra de mão</v>
      </c>
      <c r="X19" s="85" t="str">
        <f t="shared" si="1"/>
        <v>LINK</v>
      </c>
    </row>
    <row r="20" spans="2:24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 t="str">
        <f t="shared" si="2"/>
        <v/>
      </c>
      <c r="O20" s="11" t="str">
        <f t="shared" si="3"/>
        <v/>
      </c>
      <c r="P20" s="612"/>
      <c r="Q20" s="612"/>
      <c r="R20" s="612"/>
      <c r="S20" s="29"/>
      <c r="U20" s="84" t="s">
        <v>155</v>
      </c>
      <c r="V20" s="83" t="str">
        <f>IF($U20="","",VLOOKUP($U20,RESUMO!$C:$D,2,FALSE))</f>
        <v>Sub-base ou base de brita graduada simples (BGS)</v>
      </c>
      <c r="X20" s="85" t="str">
        <f t="shared" si="1"/>
        <v>LINK</v>
      </c>
    </row>
    <row r="21" spans="2:24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 t="str">
        <f t="shared" si="2"/>
        <v/>
      </c>
      <c r="O21" s="11" t="str">
        <f t="shared" si="3"/>
        <v/>
      </c>
      <c r="P21" s="612"/>
      <c r="Q21" s="612"/>
      <c r="R21" s="612"/>
      <c r="S21" s="29"/>
      <c r="U21" s="84" t="s">
        <v>156</v>
      </c>
      <c r="V21" s="83" t="str">
        <f>IF($U21="","",VLOOKUP($U21,RESUMO!$C:$D,2,FALSE))</f>
        <v>Imprimadura betuminosa impermeabilizante</v>
      </c>
      <c r="X21" s="85" t="str">
        <f t="shared" si="1"/>
        <v>LINK</v>
      </c>
    </row>
    <row r="22" spans="2:24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 t="str">
        <f t="shared" si="2"/>
        <v/>
      </c>
      <c r="O22" s="11" t="str">
        <f t="shared" si="3"/>
        <v/>
      </c>
      <c r="P22" s="612"/>
      <c r="Q22" s="612"/>
      <c r="R22" s="612"/>
      <c r="S22" s="29"/>
      <c r="U22" s="84" t="s">
        <v>157</v>
      </c>
      <c r="V22" s="83" t="str">
        <f>IF($U22="","",VLOOKUP($U22,RESUMO!$C:$D,2,FALSE))</f>
        <v>Imprimadura betuminosa ligante</v>
      </c>
      <c r="X22" s="85" t="str">
        <f t="shared" si="1"/>
        <v>LINK</v>
      </c>
    </row>
    <row r="23" spans="2:24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/>
      <c r="N23" s="11" t="str">
        <f t="shared" si="2"/>
        <v/>
      </c>
      <c r="O23" s="11" t="str">
        <f t="shared" si="3"/>
        <v/>
      </c>
      <c r="P23" s="612"/>
      <c r="Q23" s="612"/>
      <c r="R23" s="612"/>
      <c r="S23" s="29"/>
      <c r="U23" s="84" t="s">
        <v>158</v>
      </c>
      <c r="V23" s="83" t="str">
        <f>IF($U23="","",VLOOKUP($U23,RESUMO!$C:$D,2,FALSE))</f>
        <v>CBUQ  Faixa C/D c/ DOP ou polímero similar</v>
      </c>
      <c r="X23" s="85" t="str">
        <f t="shared" ref="X23" si="4">HYPERLINK("#"&amp;"'"&amp;U23&amp;"'"&amp;"!A1","LINK")</f>
        <v>LINK</v>
      </c>
    </row>
    <row r="24" spans="2:24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/>
      <c r="N24" s="11" t="str">
        <f t="shared" si="2"/>
        <v/>
      </c>
      <c r="O24" s="11" t="str">
        <f t="shared" si="3"/>
        <v/>
      </c>
      <c r="P24" s="612"/>
      <c r="Q24" s="612"/>
      <c r="R24" s="612"/>
      <c r="S24" s="29"/>
    </row>
    <row r="25" spans="2:24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/>
      <c r="N25" s="11" t="str">
        <f t="shared" si="2"/>
        <v/>
      </c>
      <c r="O25" s="11" t="str">
        <f t="shared" si="3"/>
        <v/>
      </c>
      <c r="P25" s="612"/>
      <c r="Q25" s="612"/>
      <c r="R25" s="612"/>
      <c r="S25" s="29"/>
    </row>
    <row r="26" spans="2:24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/>
      <c r="N26" s="11" t="str">
        <f t="shared" si="2"/>
        <v/>
      </c>
      <c r="O26" s="11" t="str">
        <f t="shared" si="3"/>
        <v/>
      </c>
      <c r="P26" s="612"/>
      <c r="Q26" s="612"/>
      <c r="R26" s="612"/>
      <c r="S26" s="29"/>
    </row>
    <row r="27" spans="2:24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/>
      <c r="N27" s="11" t="str">
        <f t="shared" si="2"/>
        <v/>
      </c>
      <c r="O27" s="11" t="str">
        <f>IF(B27="","",IF(OR(O26="",S27=""),O26,SUM(N27,O26)))</f>
        <v/>
      </c>
      <c r="P27" s="612"/>
      <c r="Q27" s="612"/>
      <c r="R27" s="612"/>
      <c r="S27" s="29"/>
    </row>
    <row r="28" spans="2:24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/>
      <c r="N28" s="11" t="str">
        <f t="shared" si="2"/>
        <v/>
      </c>
      <c r="O28" s="11" t="str">
        <f t="shared" si="3"/>
        <v/>
      </c>
      <c r="P28" s="612"/>
      <c r="Q28" s="612"/>
      <c r="R28" s="612"/>
      <c r="S28" s="29"/>
    </row>
    <row r="29" spans="2:24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/>
      <c r="N29" s="11" t="str">
        <f t="shared" si="2"/>
        <v/>
      </c>
      <c r="O29" s="11" t="str">
        <f t="shared" si="3"/>
        <v/>
      </c>
      <c r="P29" s="612"/>
      <c r="Q29" s="612"/>
      <c r="R29" s="612"/>
      <c r="S29" s="29"/>
    </row>
    <row r="30" spans="2:24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/>
      <c r="N30" s="11" t="str">
        <f t="shared" si="2"/>
        <v/>
      </c>
      <c r="O30" s="11" t="str">
        <f t="shared" si="3"/>
        <v/>
      </c>
      <c r="P30" s="612"/>
      <c r="Q30" s="612"/>
      <c r="R30" s="612"/>
      <c r="S30" s="29"/>
    </row>
    <row r="31" spans="2:24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/>
      <c r="N31" s="11" t="str">
        <f t="shared" si="2"/>
        <v/>
      </c>
      <c r="O31" s="11" t="str">
        <f t="shared" si="3"/>
        <v/>
      </c>
      <c r="P31" s="612"/>
      <c r="Q31" s="612"/>
      <c r="R31" s="612"/>
      <c r="S31" s="29"/>
    </row>
    <row r="32" spans="2:24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/>
      <c r="N32" s="11" t="str">
        <f t="shared" si="2"/>
        <v/>
      </c>
      <c r="O32" s="11" t="str">
        <f t="shared" si="3"/>
        <v/>
      </c>
      <c r="P32" s="612"/>
      <c r="Q32" s="612"/>
      <c r="R32" s="612"/>
      <c r="S32" s="29"/>
    </row>
    <row r="33" spans="2:19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/>
      <c r="N33" s="11" t="str">
        <f t="shared" si="2"/>
        <v/>
      </c>
      <c r="O33" s="11" t="str">
        <f t="shared" si="3"/>
        <v/>
      </c>
      <c r="P33" s="612"/>
      <c r="Q33" s="612"/>
      <c r="R33" s="612"/>
      <c r="S33" s="29"/>
    </row>
    <row r="34" spans="2:19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/>
      <c r="N34" s="11" t="str">
        <f t="shared" si="2"/>
        <v/>
      </c>
      <c r="O34" s="11" t="str">
        <f t="shared" si="3"/>
        <v/>
      </c>
      <c r="P34" s="612"/>
      <c r="Q34" s="612"/>
      <c r="R34" s="612"/>
      <c r="S34" s="29"/>
    </row>
    <row r="35" spans="2:19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/>
      <c r="N35" s="11" t="str">
        <f t="shared" si="2"/>
        <v/>
      </c>
      <c r="O35" s="11" t="str">
        <f t="shared" si="3"/>
        <v/>
      </c>
      <c r="P35" s="612"/>
      <c r="Q35" s="612"/>
      <c r="R35" s="612"/>
      <c r="S35" s="29"/>
    </row>
    <row r="36" spans="2:19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/>
      <c r="N36" s="11" t="str">
        <f t="shared" si="2"/>
        <v/>
      </c>
      <c r="O36" s="11" t="str">
        <f t="shared" si="3"/>
        <v/>
      </c>
      <c r="P36" s="612"/>
      <c r="Q36" s="612"/>
      <c r="R36" s="612"/>
      <c r="S36" s="29"/>
    </row>
    <row r="37" spans="2:19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/>
      <c r="N37" s="11" t="str">
        <f t="shared" si="2"/>
        <v/>
      </c>
      <c r="O37" s="11" t="str">
        <f t="shared" si="3"/>
        <v/>
      </c>
      <c r="P37" s="612"/>
      <c r="Q37" s="612"/>
      <c r="R37" s="612"/>
      <c r="S37" s="29"/>
    </row>
    <row r="38" spans="2:19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/>
      <c r="N38" s="11" t="str">
        <f t="shared" si="2"/>
        <v/>
      </c>
      <c r="O38" s="11" t="str">
        <f t="shared" si="3"/>
        <v/>
      </c>
      <c r="P38" s="612"/>
      <c r="Q38" s="612"/>
      <c r="R38" s="612"/>
      <c r="S38" s="29"/>
    </row>
    <row r="39" spans="2:19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/>
      <c r="N39" s="12" t="str">
        <f t="shared" si="2"/>
        <v/>
      </c>
      <c r="O39" s="12" t="str">
        <f t="shared" si="3"/>
        <v/>
      </c>
      <c r="P39" s="634"/>
      <c r="Q39" s="634"/>
      <c r="R39" s="634"/>
      <c r="S39" s="34"/>
    </row>
    <row r="40" spans="2:19" ht="19.899999999999999" customHeight="1" thickTop="1" x14ac:dyDescent="0.25"/>
  </sheetData>
  <mergeCells count="73">
    <mergeCell ref="P36:R36"/>
    <mergeCell ref="P37:R37"/>
    <mergeCell ref="P38:R38"/>
    <mergeCell ref="P39:R39"/>
    <mergeCell ref="P30:R30"/>
    <mergeCell ref="P31:R31"/>
    <mergeCell ref="P32:R32"/>
    <mergeCell ref="P33:R33"/>
    <mergeCell ref="P34:R34"/>
    <mergeCell ref="P35:R35"/>
    <mergeCell ref="U15:V15"/>
    <mergeCell ref="P29:R29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17:R17"/>
    <mergeCell ref="C13:F13"/>
    <mergeCell ref="H13:P13"/>
    <mergeCell ref="R13:S13"/>
    <mergeCell ref="B15:B16"/>
    <mergeCell ref="C15:C16"/>
    <mergeCell ref="D15:E15"/>
    <mergeCell ref="F15:G15"/>
    <mergeCell ref="H15:H16"/>
    <mergeCell ref="S15:S16"/>
    <mergeCell ref="J8:S8"/>
    <mergeCell ref="J9:S9"/>
    <mergeCell ref="I15:I16"/>
    <mergeCell ref="N15:N16"/>
    <mergeCell ref="O15:O16"/>
    <mergeCell ref="P15:R16"/>
    <mergeCell ref="B8:D8"/>
    <mergeCell ref="E8:F8"/>
    <mergeCell ref="G8:H8"/>
    <mergeCell ref="B9:D9"/>
    <mergeCell ref="E9:F9"/>
    <mergeCell ref="G9:H9"/>
    <mergeCell ref="B11:F11"/>
    <mergeCell ref="G11:S11"/>
    <mergeCell ref="C12:F12"/>
    <mergeCell ref="H12:P12"/>
    <mergeCell ref="R12:S12"/>
    <mergeCell ref="B7:D7"/>
    <mergeCell ref="E7:F7"/>
    <mergeCell ref="G7:H7"/>
    <mergeCell ref="J6:S6"/>
    <mergeCell ref="J7:S7"/>
    <mergeCell ref="J4:S4"/>
    <mergeCell ref="J5:S5"/>
    <mergeCell ref="B6:D6"/>
    <mergeCell ref="E6:F6"/>
    <mergeCell ref="G6:H6"/>
    <mergeCell ref="B4:D4"/>
    <mergeCell ref="E4:F4"/>
    <mergeCell ref="G4:H4"/>
    <mergeCell ref="B5:D5"/>
    <mergeCell ref="E5:F5"/>
    <mergeCell ref="G5:H5"/>
    <mergeCell ref="B2:D3"/>
    <mergeCell ref="E2:H2"/>
    <mergeCell ref="U2:V2"/>
    <mergeCell ref="E3:F3"/>
    <mergeCell ref="G3:H3"/>
    <mergeCell ref="J2:S2"/>
    <mergeCell ref="J3:S3"/>
  </mergeCells>
  <conditionalFormatting sqref="B17:P39 S17:S39">
    <cfRule type="containsBlanks" dxfId="32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F0B4-26FD-4764-B692-B4414868623C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1018.65</v>
      </c>
      <c r="F4" s="653"/>
      <c r="G4" s="640">
        <f t="shared" ref="G4:G9" si="0">E4*$P$13</f>
        <v>886.23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1018.6510000000001</v>
      </c>
      <c r="F5" s="654"/>
      <c r="G5" s="642">
        <f t="shared" si="0"/>
        <v>886.23087000441762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1018.6510000000001</v>
      </c>
      <c r="F6" s="654"/>
      <c r="G6" s="642">
        <f t="shared" si="0"/>
        <v>886.23087000441762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-1.00000000009004E-3</v>
      </c>
      <c r="F7" s="645"/>
      <c r="G7" s="642">
        <f t="shared" si="0"/>
        <v>-8.7000441768987982E-4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RESUMO!C70</f>
        <v>D.2</v>
      </c>
      <c r="C13" s="623" t="str">
        <f>IF($B$13="","",VLOOKUP($B$13,RESUMO!$C:$F,2,FALSE))</f>
        <v>Pavimento</v>
      </c>
      <c r="D13" s="623"/>
      <c r="E13" s="623"/>
      <c r="F13" s="662"/>
      <c r="G13" s="16" t="str">
        <f>RESUMO!C75</f>
        <v>D.2.5</v>
      </c>
      <c r="H13" s="623" t="str">
        <f>IF($G$13="","",VLOOKUP($G$13,RESUMO!$C:$F,2,FALSE))</f>
        <v>Imprimadura betuminosa impermeabilizante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m²</v>
      </c>
      <c r="P13" s="621">
        <f>IF($G$13="","",VLOOKUP($G$13,RESUMO!$C:$F,4,FALSE))</f>
        <v>0.87000441761154468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23"/>
      <c r="K17" s="23"/>
      <c r="L17" s="23">
        <f>'D.2.2'!L17</f>
        <v>427.79700000000003</v>
      </c>
      <c r="M17" s="23">
        <f>IF(OR(B17="",L17=""),"",IF(AND(M16="",Q17=""),M16,SUM(L17,M16)))</f>
        <v>427.79700000000003</v>
      </c>
      <c r="N17" s="612" t="s">
        <v>326</v>
      </c>
      <c r="O17" s="612"/>
      <c r="P17" s="612"/>
      <c r="Q17" s="24">
        <v>1</v>
      </c>
      <c r="S17" s="84" t="s">
        <v>151</v>
      </c>
      <c r="T17" s="83" t="str">
        <f>IF($S17="","",VLOOKUP($S17,RESUMO!$C:$D,2,FALSE))</f>
        <v>Fresagem contínua de revestimento betuminoso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"/>
      <c r="K18" s="11"/>
      <c r="L18" s="11">
        <f>'D.2.2'!L18</f>
        <v>590.85400000000004</v>
      </c>
      <c r="M18" s="11">
        <f t="shared" ref="M18:M36" si="1">IF(B18="","",IF(OR(M17="",Q18=""),M17,SUM(L18,M17)))</f>
        <v>1018.6510000000001</v>
      </c>
      <c r="N18" s="612" t="s">
        <v>326</v>
      </c>
      <c r="O18" s="612"/>
      <c r="P18" s="612"/>
      <c r="Q18" s="29">
        <v>1</v>
      </c>
      <c r="S18" s="84" t="s">
        <v>153</v>
      </c>
      <c r="T18" s="83" t="str">
        <f>IF($S18="","",VLOOKUP($S18,RESUMO!$C:$D,2,FALSE))</f>
        <v>Preparo e melhoramento do subleito</v>
      </c>
      <c r="V18" s="85" t="str">
        <f t="shared" ref="V18:V23" si="2">HYPERLINK("#"&amp;"'"&amp;S18&amp;"'"&amp;"!A1","LINK")</f>
        <v>LINK</v>
      </c>
    </row>
    <row r="19" spans="2:22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 t="str">
        <f t="shared" ref="L19:L36" si="3">IF(J19="","",J19*K19)</f>
        <v/>
      </c>
      <c r="M19" s="11" t="str">
        <f t="shared" si="1"/>
        <v/>
      </c>
      <c r="N19" s="612"/>
      <c r="O19" s="612"/>
      <c r="P19" s="612"/>
      <c r="Q19" s="29"/>
      <c r="S19" s="84" t="s">
        <v>154</v>
      </c>
      <c r="T19" s="83" t="str">
        <f>IF($S19="","",VLOOKUP($S19,RESUMO!$C:$D,2,FALSE))</f>
        <v>Rachão ou pedra de mão</v>
      </c>
      <c r="V19" s="85" t="str">
        <f t="shared" si="2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si="3"/>
        <v/>
      </c>
      <c r="M20" s="11" t="str">
        <f t="shared" si="1"/>
        <v/>
      </c>
      <c r="N20" s="612"/>
      <c r="O20" s="612"/>
      <c r="P20" s="612"/>
      <c r="Q20" s="29"/>
      <c r="S20" s="84" t="s">
        <v>155</v>
      </c>
      <c r="T20" s="83" t="str">
        <f>IF($S20="","",VLOOKUP($S20,RESUMO!$C:$D,2,FALSE))</f>
        <v>Sub-base ou base de brita graduada simples (BGS)</v>
      </c>
      <c r="V20" s="85" t="str">
        <f t="shared" si="2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3"/>
        <v/>
      </c>
      <c r="M21" s="11" t="str">
        <f t="shared" si="1"/>
        <v/>
      </c>
      <c r="N21" s="612"/>
      <c r="O21" s="612"/>
      <c r="P21" s="612"/>
      <c r="Q21" s="29"/>
      <c r="S21" s="84" t="s">
        <v>156</v>
      </c>
      <c r="T21" s="83" t="str">
        <f>IF($S21="","",VLOOKUP($S21,RESUMO!$C:$D,2,FALSE))</f>
        <v>Imprimadura betuminosa impermeabilizante</v>
      </c>
      <c r="V21" s="85" t="str">
        <f t="shared" si="2"/>
        <v>LINK</v>
      </c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3"/>
        <v/>
      </c>
      <c r="M22" s="11" t="str">
        <f t="shared" si="1"/>
        <v/>
      </c>
      <c r="N22" s="612"/>
      <c r="O22" s="612"/>
      <c r="P22" s="612"/>
      <c r="Q22" s="29"/>
      <c r="S22" s="84" t="s">
        <v>157</v>
      </c>
      <c r="T22" s="83" t="str">
        <f>IF($S22="","",VLOOKUP($S22,RESUMO!$C:$D,2,FALSE))</f>
        <v>Imprimadura betuminosa ligante</v>
      </c>
      <c r="V22" s="85" t="str">
        <f t="shared" si="2"/>
        <v>LINK</v>
      </c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3"/>
        <v/>
      </c>
      <c r="M23" s="11" t="str">
        <f t="shared" si="1"/>
        <v/>
      </c>
      <c r="N23" s="612"/>
      <c r="O23" s="612"/>
      <c r="P23" s="612"/>
      <c r="Q23" s="29"/>
      <c r="S23" s="84" t="s">
        <v>158</v>
      </c>
      <c r="T23" s="83" t="str">
        <f>IF($S23="","",VLOOKUP($S23,RESUMO!$C:$D,2,FALSE))</f>
        <v>CBUQ  Faixa C/D c/ DOP ou polímero similar</v>
      </c>
      <c r="V23" s="85" t="str">
        <f t="shared" si="2"/>
        <v>LINK</v>
      </c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3"/>
        <v/>
      </c>
      <c r="M24" s="11" t="str">
        <f t="shared" si="1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3"/>
        <v/>
      </c>
      <c r="M25" s="11" t="str">
        <f t="shared" si="1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3"/>
        <v/>
      </c>
      <c r="M26" s="11" t="str">
        <f t="shared" si="1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3"/>
        <v/>
      </c>
      <c r="M27" s="11" t="str">
        <f t="shared" si="1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3"/>
        <v/>
      </c>
      <c r="M28" s="11" t="str">
        <f t="shared" si="1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3"/>
        <v/>
      </c>
      <c r="M29" s="11" t="str">
        <f t="shared" si="1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3"/>
        <v/>
      </c>
      <c r="M30" s="11" t="str">
        <f t="shared" si="1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3"/>
        <v/>
      </c>
      <c r="M31" s="11" t="str">
        <f t="shared" si="1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3"/>
        <v/>
      </c>
      <c r="M32" s="11" t="str">
        <f t="shared" si="1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3"/>
        <v/>
      </c>
      <c r="M33" s="11" t="str">
        <f t="shared" si="1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3"/>
        <v/>
      </c>
      <c r="M34" s="11" t="str">
        <f t="shared" si="1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3"/>
        <v/>
      </c>
      <c r="M35" s="11" t="str">
        <f t="shared" si="1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3"/>
        <v/>
      </c>
      <c r="M36" s="12" t="str">
        <f t="shared" si="1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 Q17:Q36">
    <cfRule type="containsBlanks" dxfId="31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F8FD-7C87-4EBA-AA42-4F1AFCD20189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3063.02</v>
      </c>
      <c r="F4" s="653"/>
      <c r="G4" s="640">
        <f t="shared" ref="G4:G9" si="0">E4*$P$13</f>
        <v>1623.4000000000003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3063.0240000000003</v>
      </c>
      <c r="F5" s="654"/>
      <c r="G5" s="642">
        <f t="shared" si="0"/>
        <v>1623.4021199992169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3063.0240000000003</v>
      </c>
      <c r="F6" s="654"/>
      <c r="G6" s="642">
        <f t="shared" si="0"/>
        <v>1623.4021199992169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-4.0000000003601599E-3</v>
      </c>
      <c r="F7" s="645"/>
      <c r="G7" s="642">
        <f t="shared" si="0"/>
        <v>-2.1199992166504576E-3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RESUMO!C70</f>
        <v>D.2</v>
      </c>
      <c r="C13" s="623" t="str">
        <f>IF($B$13="","",VLOOKUP($B$13,RESUMO!$C:$F,2,FALSE))</f>
        <v>Pavimento</v>
      </c>
      <c r="D13" s="623"/>
      <c r="E13" s="623"/>
      <c r="F13" s="662"/>
      <c r="G13" s="16" t="str">
        <f>RESUMO!C76</f>
        <v>D.2.6</v>
      </c>
      <c r="H13" s="623" t="str">
        <f>IF($G$13="","",VLOOKUP($G$13,RESUMO!$C:$F,2,FALSE))</f>
        <v>Imprimadura betuminosa ligante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m²</v>
      </c>
      <c r="P13" s="621">
        <f>IF($G$13="","",VLOOKUP($G$13,RESUMO!$C:$F,4,FALSE))</f>
        <v>0.52999980411489322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23"/>
      <c r="K17" s="23"/>
      <c r="L17" s="23">
        <v>855.59500000000003</v>
      </c>
      <c r="M17" s="23">
        <f>IF(OR(B17="",L17=""),"",IF(AND(M16="",Q17=""),M16,SUM(L17,M16)))</f>
        <v>855.59500000000003</v>
      </c>
      <c r="N17" s="612" t="s">
        <v>326</v>
      </c>
      <c r="O17" s="612"/>
      <c r="P17" s="612"/>
      <c r="Q17" s="24">
        <v>1</v>
      </c>
      <c r="S17" s="84" t="s">
        <v>151</v>
      </c>
      <c r="T17" s="83" t="str">
        <f>IF($S17="","",VLOOKUP($S17,RESUMO!$C:$D,2,FALSE))</f>
        <v>Fresagem contínua de revestimento betuminoso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"/>
      <c r="K18" s="11"/>
      <c r="L18" s="11">
        <v>1181.7090000000001</v>
      </c>
      <c r="M18" s="11">
        <f>IF(B18="","",IF(OR(M17="",Q18=""),M17,SUM(L18,M17)))</f>
        <v>2037.3040000000001</v>
      </c>
      <c r="N18" s="612" t="s">
        <v>326</v>
      </c>
      <c r="O18" s="612"/>
      <c r="P18" s="612"/>
      <c r="Q18" s="29">
        <v>1</v>
      </c>
      <c r="S18" s="84" t="s">
        <v>153</v>
      </c>
      <c r="T18" s="83" t="str">
        <f>IF($S18="","",VLOOKUP($S18,RESUMO!$C:$D,2,FALSE))</f>
        <v>Preparo e melhoramento do subleito</v>
      </c>
      <c r="V18" s="85" t="str">
        <f t="shared" ref="V18:V23" si="1">HYPERLINK("#"&amp;"'"&amp;S18&amp;"'"&amp;"!A1","LINK")</f>
        <v>LINK</v>
      </c>
    </row>
    <row r="19" spans="2:22" ht="19.899999999999999" customHeight="1" x14ac:dyDescent="0.25">
      <c r="B19" s="25" t="s">
        <v>316</v>
      </c>
      <c r="C19" s="26" t="s">
        <v>306</v>
      </c>
      <c r="D19" s="27">
        <v>306</v>
      </c>
      <c r="E19" s="28">
        <v>630</v>
      </c>
      <c r="F19" s="27"/>
      <c r="G19" s="28"/>
      <c r="H19" s="26" t="s">
        <v>306</v>
      </c>
      <c r="I19" s="11" t="s">
        <v>325</v>
      </c>
      <c r="J19" s="11"/>
      <c r="K19" s="11"/>
      <c r="L19" s="11">
        <f>'D.2.1'!J17*2</f>
        <v>1025.72</v>
      </c>
      <c r="M19" s="11">
        <f>IF(B19="","",IF(OR(M18="",Q19=""),M18,SUM(L19,M18)))</f>
        <v>3063.0240000000003</v>
      </c>
      <c r="N19" s="612" t="s">
        <v>326</v>
      </c>
      <c r="O19" s="612"/>
      <c r="P19" s="612"/>
      <c r="Q19" s="29">
        <v>1</v>
      </c>
      <c r="S19" s="84" t="s">
        <v>154</v>
      </c>
      <c r="T19" s="83" t="str">
        <f>IF($S19="","",VLOOKUP($S19,RESUMO!$C:$D,2,FALSE))</f>
        <v>Rachão ou pedra de mão</v>
      </c>
      <c r="V19" s="85" t="str">
        <f t="shared" si="1"/>
        <v>LINK</v>
      </c>
    </row>
    <row r="20" spans="2:22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 t="str">
        <f t="shared" ref="L20:L36" si="2">IF(J20="","",J20*K20)</f>
        <v/>
      </c>
      <c r="M20" s="11" t="str">
        <f t="shared" ref="M20:M36" si="3">IF(B20="","",IF(OR(M19="",Q20=""),M19,SUM(L20,M19)))</f>
        <v/>
      </c>
      <c r="N20" s="612"/>
      <c r="O20" s="612"/>
      <c r="P20" s="612"/>
      <c r="Q20" s="29"/>
      <c r="S20" s="84" t="s">
        <v>155</v>
      </c>
      <c r="T20" s="83" t="str">
        <f>IF($S20="","",VLOOKUP($S20,RESUMO!$C:$D,2,FALSE))</f>
        <v>Sub-base ou base de brita graduada simples (BGS)</v>
      </c>
      <c r="V20" s="85" t="str">
        <f t="shared" si="1"/>
        <v>LINK</v>
      </c>
    </row>
    <row r="21" spans="2:22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 t="str">
        <f t="shared" si="2"/>
        <v/>
      </c>
      <c r="M21" s="11" t="str">
        <f t="shared" si="3"/>
        <v/>
      </c>
      <c r="N21" s="612"/>
      <c r="O21" s="612"/>
      <c r="P21" s="612"/>
      <c r="Q21" s="29"/>
      <c r="S21" s="84" t="s">
        <v>156</v>
      </c>
      <c r="T21" s="83" t="str">
        <f>IF($S21="","",VLOOKUP($S21,RESUMO!$C:$D,2,FALSE))</f>
        <v>Imprimadura betuminosa impermeabilizante</v>
      </c>
      <c r="V21" s="85" t="str">
        <f t="shared" si="1"/>
        <v>LINK</v>
      </c>
    </row>
    <row r="22" spans="2:22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 t="str">
        <f t="shared" si="2"/>
        <v/>
      </c>
      <c r="M22" s="11" t="str">
        <f t="shared" si="3"/>
        <v/>
      </c>
      <c r="N22" s="612"/>
      <c r="O22" s="612"/>
      <c r="P22" s="612"/>
      <c r="Q22" s="29"/>
      <c r="S22" s="84" t="s">
        <v>157</v>
      </c>
      <c r="T22" s="83" t="str">
        <f>IF($S22="","",VLOOKUP($S22,RESUMO!$C:$D,2,FALSE))</f>
        <v>Imprimadura betuminosa ligante</v>
      </c>
      <c r="V22" s="85" t="str">
        <f t="shared" si="1"/>
        <v>LINK</v>
      </c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 t="shared" si="2"/>
        <v/>
      </c>
      <c r="M23" s="11" t="str">
        <f t="shared" si="3"/>
        <v/>
      </c>
      <c r="N23" s="612"/>
      <c r="O23" s="612"/>
      <c r="P23" s="612"/>
      <c r="Q23" s="29"/>
      <c r="S23" s="84" t="s">
        <v>158</v>
      </c>
      <c r="T23" s="83" t="str">
        <f>IF($S23="","",VLOOKUP($S23,RESUMO!$C:$D,2,FALSE))</f>
        <v>CBUQ  Faixa C/D c/ DOP ou polímero similar</v>
      </c>
      <c r="V23" s="85" t="str">
        <f t="shared" si="1"/>
        <v>LINK</v>
      </c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 t="shared" si="2"/>
        <v/>
      </c>
      <c r="M24" s="11" t="str">
        <f t="shared" si="3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 t="shared" si="2"/>
        <v/>
      </c>
      <c r="M25" s="11" t="str">
        <f t="shared" si="3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2"/>
        <v/>
      </c>
      <c r="M26" s="11" t="str">
        <f t="shared" si="3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2"/>
        <v/>
      </c>
      <c r="M27" s="11" t="str">
        <f t="shared" si="3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2"/>
        <v/>
      </c>
      <c r="M28" s="11" t="str">
        <f t="shared" si="3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2"/>
        <v/>
      </c>
      <c r="M29" s="11" t="str">
        <f t="shared" si="3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2"/>
        <v/>
      </c>
      <c r="M30" s="11" t="str">
        <f t="shared" si="3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2"/>
        <v/>
      </c>
      <c r="M31" s="11" t="str">
        <f t="shared" si="3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2"/>
        <v/>
      </c>
      <c r="M32" s="11" t="str">
        <f t="shared" si="3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2"/>
        <v/>
      </c>
      <c r="M33" s="11" t="str">
        <f t="shared" si="3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2"/>
        <v/>
      </c>
      <c r="M34" s="11" t="str">
        <f t="shared" si="3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2"/>
        <v/>
      </c>
      <c r="M35" s="11" t="str">
        <f t="shared" si="3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2"/>
        <v/>
      </c>
      <c r="M36" s="12" t="str">
        <f t="shared" si="3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 Q17:Q36">
    <cfRule type="containsBlanks" dxfId="30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ADA7-5FCC-4DCE-A69B-90CDC1146221}">
  <sheetPr>
    <pageSetUpPr fitToPage="1"/>
  </sheetPr>
  <dimension ref="B1:Y42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6" width="12.7109375" style="3" customWidth="1"/>
    <col min="17" max="17" width="20.7109375" style="3" customWidth="1"/>
    <col min="18" max="19" width="10.7109375" style="3" customWidth="1"/>
    <col min="20" max="16384" width="10.7109375" style="3"/>
  </cols>
  <sheetData>
    <row r="1" spans="2:23" ht="19.899999999999999" customHeight="1" thickBot="1" x14ac:dyDescent="0.3"/>
    <row r="2" spans="2:23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2"/>
      <c r="T2" s="633"/>
      <c r="V2" s="611" t="s">
        <v>294</v>
      </c>
      <c r="W2" s="611"/>
    </row>
    <row r="3" spans="2:23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4"/>
      <c r="S3" s="614"/>
      <c r="T3" s="615"/>
      <c r="V3" s="36"/>
      <c r="W3" s="36"/>
    </row>
    <row r="4" spans="2:23" ht="15" customHeight="1" x14ac:dyDescent="0.25">
      <c r="B4" s="647" t="s">
        <v>296</v>
      </c>
      <c r="C4" s="648"/>
      <c r="D4" s="648"/>
      <c r="E4" s="653">
        <f>IF($G$13="","",VLOOKUP($G$13,RESUMO!$C:$G,5,FALSE))</f>
        <v>278.89</v>
      </c>
      <c r="F4" s="653"/>
      <c r="G4" s="640">
        <f t="shared" ref="G4:G9" si="0">E4*$S$13</f>
        <v>86103.93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4"/>
      <c r="T4" s="615"/>
      <c r="V4" s="36"/>
      <c r="W4" s="36"/>
    </row>
    <row r="5" spans="2:23" ht="15" customHeight="1" x14ac:dyDescent="0.25">
      <c r="B5" s="649" t="s">
        <v>297</v>
      </c>
      <c r="C5" s="650"/>
      <c r="D5" s="650"/>
      <c r="E5" s="654">
        <f>SUMIFS(O:O,T:T,"&lt;&gt;")</f>
        <v>278.88815309999995</v>
      </c>
      <c r="F5" s="654"/>
      <c r="G5" s="642">
        <f t="shared" si="0"/>
        <v>86103.359791859431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4"/>
      <c r="T5" s="615"/>
      <c r="V5" s="36"/>
      <c r="W5" s="36"/>
    </row>
    <row r="6" spans="2:23" ht="15" customHeight="1" x14ac:dyDescent="0.25">
      <c r="B6" s="649" t="s">
        <v>298</v>
      </c>
      <c r="C6" s="650"/>
      <c r="D6" s="650"/>
      <c r="E6" s="654">
        <f>E5-E9</f>
        <v>278.88815309999995</v>
      </c>
      <c r="F6" s="654"/>
      <c r="G6" s="642">
        <f t="shared" si="0"/>
        <v>86103.359791859431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4"/>
      <c r="T6" s="615"/>
    </row>
    <row r="7" spans="2:23" ht="15" customHeight="1" x14ac:dyDescent="0.25">
      <c r="B7" s="649" t="s">
        <v>299</v>
      </c>
      <c r="C7" s="650"/>
      <c r="D7" s="650"/>
      <c r="E7" s="644">
        <f>E4-E5</f>
        <v>1.8469000000322922E-3</v>
      </c>
      <c r="F7" s="645"/>
      <c r="G7" s="642">
        <f t="shared" si="0"/>
        <v>0.57020814055642177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4"/>
      <c r="T7" s="615"/>
    </row>
    <row r="8" spans="2:23" ht="15" customHeight="1" x14ac:dyDescent="0.25">
      <c r="B8" s="655" t="s">
        <v>300</v>
      </c>
      <c r="C8" s="656"/>
      <c r="D8" s="656"/>
      <c r="E8" s="657">
        <f>SUM(O:O)-E5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4"/>
      <c r="T8" s="615"/>
    </row>
    <row r="9" spans="2:23" ht="15" customHeight="1" thickBot="1" x14ac:dyDescent="0.3">
      <c r="B9" s="651" t="s">
        <v>301</v>
      </c>
      <c r="C9" s="652"/>
      <c r="D9" s="652"/>
      <c r="E9" s="646">
        <f>SUMIF(T:T,CAPA!$I$2,O:O)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7"/>
      <c r="T9" s="618"/>
    </row>
    <row r="10" spans="2:23" ht="10.15" customHeight="1" thickTop="1" thickBot="1" x14ac:dyDescent="0.3"/>
    <row r="11" spans="2:23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6"/>
    </row>
    <row r="12" spans="2:23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619"/>
      <c r="R12" s="14" t="s">
        <v>303</v>
      </c>
      <c r="S12" s="619" t="s">
        <v>304</v>
      </c>
      <c r="T12" s="620"/>
    </row>
    <row r="13" spans="2:23" s="8" customFormat="1" ht="30" customHeight="1" thickBot="1" x14ac:dyDescent="0.3">
      <c r="B13" s="15" t="str">
        <f>RESUMO!C70</f>
        <v>D.2</v>
      </c>
      <c r="C13" s="623" t="str">
        <f>IF($B$13="","",VLOOKUP($B$13,RESUMO!$C:$F,2,FALSE))</f>
        <v>Pavimento</v>
      </c>
      <c r="D13" s="623"/>
      <c r="E13" s="623"/>
      <c r="F13" s="662"/>
      <c r="G13" s="16" t="str">
        <f>RESUMO!C77</f>
        <v>D.2.7</v>
      </c>
      <c r="H13" s="623" t="str">
        <f>IF($G$13="","",VLOOKUP($G$13,RESUMO!$C:$F,2,FALSE))</f>
        <v>CBUQ  Faixa C/D c/ DOP ou polímero similar</v>
      </c>
      <c r="I13" s="623"/>
      <c r="J13" s="623"/>
      <c r="K13" s="623"/>
      <c r="L13" s="623"/>
      <c r="M13" s="623"/>
      <c r="N13" s="623"/>
      <c r="O13" s="623"/>
      <c r="P13" s="623"/>
      <c r="Q13" s="623"/>
      <c r="R13" s="17" t="str">
        <f>IF($G$13="","",VLOOKUP($G$13,RESUMO!$C:$F,3,FALSE))</f>
        <v>T</v>
      </c>
      <c r="S13" s="621">
        <f>IF($G$13="","",VLOOKUP($G$13,RESUMO!$C:$F,4,FALSE))</f>
        <v>308.7379612033418</v>
      </c>
      <c r="T13" s="622"/>
    </row>
    <row r="14" spans="2:23" ht="10.15" customHeight="1" thickTop="1" thickBot="1" x14ac:dyDescent="0.3"/>
    <row r="15" spans="2:23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329</v>
      </c>
      <c r="K15" s="9" t="s">
        <v>320</v>
      </c>
      <c r="L15" s="9" t="s">
        <v>321</v>
      </c>
      <c r="M15" s="9" t="s">
        <v>323</v>
      </c>
      <c r="N15" s="672" t="s">
        <v>332</v>
      </c>
      <c r="O15" s="627" t="s">
        <v>310</v>
      </c>
      <c r="P15" s="627" t="s">
        <v>311</v>
      </c>
      <c r="Q15" s="627" t="s">
        <v>312</v>
      </c>
      <c r="R15" s="627"/>
      <c r="S15" s="627"/>
      <c r="T15" s="629" t="s">
        <v>27</v>
      </c>
      <c r="V15" s="611" t="s">
        <v>313</v>
      </c>
      <c r="W15" s="611"/>
    </row>
    <row r="16" spans="2:23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385</v>
      </c>
      <c r="K16" s="10" t="s">
        <v>322</v>
      </c>
      <c r="L16" s="10" t="s">
        <v>322</v>
      </c>
      <c r="M16" s="10" t="s">
        <v>322</v>
      </c>
      <c r="N16" s="673"/>
      <c r="O16" s="628"/>
      <c r="P16" s="628"/>
      <c r="Q16" s="628"/>
      <c r="R16" s="628"/>
      <c r="S16" s="628"/>
      <c r="T16" s="630"/>
      <c r="V16" s="35" t="s">
        <v>269</v>
      </c>
      <c r="W16" s="35" t="s">
        <v>47</v>
      </c>
    </row>
    <row r="17" spans="2:25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23">
        <f>'D.2.2'!L17</f>
        <v>427.79700000000003</v>
      </c>
      <c r="K17" s="23"/>
      <c r="L17" s="23"/>
      <c r="M17" s="23">
        <v>7.4999999999999997E-2</v>
      </c>
      <c r="N17" s="23">
        <v>2.4279999999999999</v>
      </c>
      <c r="O17" s="23">
        <f>J17*M17*N17</f>
        <v>77.901833699999997</v>
      </c>
      <c r="P17" s="23">
        <f>IF(OR(B17="",O17=""),"",IF(AND(P16="",T17=""),P16,SUM(O17,P16)))</f>
        <v>77.901833699999997</v>
      </c>
      <c r="Q17" s="612" t="s">
        <v>326</v>
      </c>
      <c r="R17" s="612"/>
      <c r="S17" s="612"/>
      <c r="T17" s="24">
        <v>1</v>
      </c>
      <c r="V17" s="84" t="s">
        <v>151</v>
      </c>
      <c r="W17" s="83" t="str">
        <f>IF($V17="","",VLOOKUP($V17,RESUMO!$C:$D,2,FALSE))</f>
        <v>Fresagem contínua de revestimento betuminoso</v>
      </c>
      <c r="Y17" s="85" t="str">
        <f>HYPERLINK("#"&amp;"'"&amp;V17&amp;"'"&amp;"!A1","LINK")</f>
        <v>LINK</v>
      </c>
    </row>
    <row r="18" spans="2:25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">
        <f>'D.2.2'!L18</f>
        <v>590.85400000000004</v>
      </c>
      <c r="K18" s="11"/>
      <c r="L18" s="11"/>
      <c r="M18" s="11">
        <v>7.4999999999999997E-2</v>
      </c>
      <c r="N18" s="11">
        <v>2.4279999999999999</v>
      </c>
      <c r="O18" s="11">
        <f>J18*M18*N18</f>
        <v>107.5945134</v>
      </c>
      <c r="P18" s="11">
        <f>IF(B18="","",IF(OR(P17="",T18=""),P17,SUM(O18,P17)))</f>
        <v>185.49634709999998</v>
      </c>
      <c r="Q18" s="612" t="s">
        <v>326</v>
      </c>
      <c r="R18" s="612"/>
      <c r="S18" s="612"/>
      <c r="T18" s="29">
        <v>1</v>
      </c>
      <c r="V18" s="84" t="s">
        <v>153</v>
      </c>
      <c r="W18" s="83" t="str">
        <f>IF($V18="","",VLOOKUP($V18,RESUMO!$C:$D,2,FALSE))</f>
        <v>Preparo e melhoramento do subleito</v>
      </c>
      <c r="Y18" s="85" t="str">
        <f t="shared" ref="Y18:Y23" si="1">HYPERLINK("#"&amp;"'"&amp;V18&amp;"'"&amp;"!A1","LINK")</f>
        <v>LINK</v>
      </c>
    </row>
    <row r="19" spans="2:25" ht="19.899999999999999" customHeight="1" x14ac:dyDescent="0.25">
      <c r="B19" s="25" t="s">
        <v>316</v>
      </c>
      <c r="C19" s="26" t="s">
        <v>306</v>
      </c>
      <c r="D19" s="27">
        <v>306</v>
      </c>
      <c r="E19" s="28">
        <v>630</v>
      </c>
      <c r="F19" s="27"/>
      <c r="G19" s="28"/>
      <c r="H19" s="26" t="s">
        <v>306</v>
      </c>
      <c r="I19" s="11" t="s">
        <v>325</v>
      </c>
      <c r="J19" s="11">
        <f>'D.2.1'!J17</f>
        <v>512.86</v>
      </c>
      <c r="K19" s="11"/>
      <c r="L19" s="11"/>
      <c r="M19" s="11">
        <v>7.4999999999999997E-2</v>
      </c>
      <c r="N19" s="11">
        <v>2.4279999999999999</v>
      </c>
      <c r="O19" s="11">
        <f>J19*M19*N19</f>
        <v>93.391806000000003</v>
      </c>
      <c r="P19" s="11">
        <f t="shared" ref="P19:P41" si="2">IF(B19="","",IF(OR(P18="",T19=""),P18,SUM(O19,P18)))</f>
        <v>278.88815309999995</v>
      </c>
      <c r="Q19" s="612" t="s">
        <v>326</v>
      </c>
      <c r="R19" s="612"/>
      <c r="S19" s="612"/>
      <c r="T19" s="29">
        <v>1</v>
      </c>
      <c r="V19" s="84" t="s">
        <v>154</v>
      </c>
      <c r="W19" s="83" t="str">
        <f>IF($V19="","",VLOOKUP($V19,RESUMO!$C:$D,2,FALSE))</f>
        <v>Rachão ou pedra de mão</v>
      </c>
      <c r="Y19" s="85" t="str">
        <f t="shared" si="1"/>
        <v>LINK</v>
      </c>
    </row>
    <row r="20" spans="2:25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/>
      <c r="O20" s="11" t="str">
        <f t="shared" ref="O20:O41" si="3">IF(K20="","",K20*L20*M20*N20)</f>
        <v/>
      </c>
      <c r="P20" s="11" t="str">
        <f t="shared" si="2"/>
        <v/>
      </c>
      <c r="Q20" s="612"/>
      <c r="R20" s="612"/>
      <c r="S20" s="612"/>
      <c r="T20" s="29"/>
      <c r="V20" s="84" t="s">
        <v>155</v>
      </c>
      <c r="W20" s="83" t="str">
        <f>IF($V20="","",VLOOKUP($V20,RESUMO!$C:$D,2,FALSE))</f>
        <v>Sub-base ou base de brita graduada simples (BGS)</v>
      </c>
      <c r="Y20" s="85" t="str">
        <f t="shared" si="1"/>
        <v>LINK</v>
      </c>
    </row>
    <row r="21" spans="2:25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/>
      <c r="O21" s="11" t="str">
        <f t="shared" si="3"/>
        <v/>
      </c>
      <c r="P21" s="11" t="str">
        <f t="shared" si="2"/>
        <v/>
      </c>
      <c r="Q21" s="612"/>
      <c r="R21" s="612"/>
      <c r="S21" s="612"/>
      <c r="T21" s="29"/>
      <c r="V21" s="84" t="s">
        <v>156</v>
      </c>
      <c r="W21" s="83" t="str">
        <f>IF($V21="","",VLOOKUP($V21,RESUMO!$C:$D,2,FALSE))</f>
        <v>Imprimadura betuminosa impermeabilizante</v>
      </c>
      <c r="Y21" s="85" t="str">
        <f t="shared" si="1"/>
        <v>LINK</v>
      </c>
    </row>
    <row r="22" spans="2:25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/>
      <c r="O22" s="11" t="str">
        <f t="shared" si="3"/>
        <v/>
      </c>
      <c r="P22" s="11" t="str">
        <f t="shared" si="2"/>
        <v/>
      </c>
      <c r="Q22" s="612"/>
      <c r="R22" s="612"/>
      <c r="S22" s="612"/>
      <c r="T22" s="29"/>
      <c r="V22" s="84" t="s">
        <v>157</v>
      </c>
      <c r="W22" s="83" t="str">
        <f>IF($V22="","",VLOOKUP($V22,RESUMO!$C:$D,2,FALSE))</f>
        <v>Imprimadura betuminosa ligante</v>
      </c>
      <c r="Y22" s="85" t="str">
        <f t="shared" si="1"/>
        <v>LINK</v>
      </c>
    </row>
    <row r="23" spans="2:25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/>
      <c r="N23" s="11"/>
      <c r="O23" s="11" t="str">
        <f t="shared" si="3"/>
        <v/>
      </c>
      <c r="P23" s="11" t="str">
        <f t="shared" si="2"/>
        <v/>
      </c>
      <c r="Q23" s="612"/>
      <c r="R23" s="612"/>
      <c r="S23" s="612"/>
      <c r="T23" s="29"/>
      <c r="V23" s="84" t="s">
        <v>158</v>
      </c>
      <c r="W23" s="83" t="str">
        <f>IF($V23="","",VLOOKUP($V23,RESUMO!$C:$D,2,FALSE))</f>
        <v>CBUQ  Faixa C/D c/ DOP ou polímero similar</v>
      </c>
      <c r="Y23" s="85" t="str">
        <f t="shared" si="1"/>
        <v>LINK</v>
      </c>
    </row>
    <row r="24" spans="2:25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/>
      <c r="N24" s="11"/>
      <c r="O24" s="11" t="str">
        <f t="shared" si="3"/>
        <v/>
      </c>
      <c r="P24" s="11" t="str">
        <f t="shared" si="2"/>
        <v/>
      </c>
      <c r="Q24" s="612"/>
      <c r="R24" s="612"/>
      <c r="S24" s="612"/>
      <c r="T24" s="29"/>
    </row>
    <row r="25" spans="2:25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/>
      <c r="N25" s="11"/>
      <c r="O25" s="11" t="str">
        <f t="shared" si="3"/>
        <v/>
      </c>
      <c r="P25" s="11" t="str">
        <f t="shared" si="2"/>
        <v/>
      </c>
      <c r="Q25" s="612"/>
      <c r="R25" s="612"/>
      <c r="S25" s="612"/>
      <c r="T25" s="29"/>
    </row>
    <row r="26" spans="2:25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/>
      <c r="N26" s="11"/>
      <c r="O26" s="11" t="str">
        <f t="shared" si="3"/>
        <v/>
      </c>
      <c r="P26" s="11" t="str">
        <f t="shared" si="2"/>
        <v/>
      </c>
      <c r="Q26" s="612"/>
      <c r="R26" s="612"/>
      <c r="S26" s="612"/>
      <c r="T26" s="29"/>
    </row>
    <row r="27" spans="2:25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/>
      <c r="N27" s="11"/>
      <c r="O27" s="11" t="str">
        <f t="shared" si="3"/>
        <v/>
      </c>
      <c r="P27" s="11" t="str">
        <f t="shared" si="2"/>
        <v/>
      </c>
      <c r="Q27" s="612"/>
      <c r="R27" s="612"/>
      <c r="S27" s="612"/>
      <c r="T27" s="29"/>
    </row>
    <row r="28" spans="2:25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/>
      <c r="N28" s="11"/>
      <c r="O28" s="11" t="str">
        <f t="shared" si="3"/>
        <v/>
      </c>
      <c r="P28" s="11" t="str">
        <f t="shared" si="2"/>
        <v/>
      </c>
      <c r="Q28" s="612"/>
      <c r="R28" s="612"/>
      <c r="S28" s="612"/>
      <c r="T28" s="29"/>
    </row>
    <row r="29" spans="2:25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/>
      <c r="N29" s="11"/>
      <c r="O29" s="11" t="str">
        <f t="shared" si="3"/>
        <v/>
      </c>
      <c r="P29" s="11" t="str">
        <f t="shared" si="2"/>
        <v/>
      </c>
      <c r="Q29" s="612"/>
      <c r="R29" s="612"/>
      <c r="S29" s="612"/>
      <c r="T29" s="29"/>
    </row>
    <row r="30" spans="2:25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/>
      <c r="N30" s="11"/>
      <c r="O30" s="11" t="str">
        <f t="shared" si="3"/>
        <v/>
      </c>
      <c r="P30" s="11" t="str">
        <f t="shared" si="2"/>
        <v/>
      </c>
      <c r="Q30" s="612"/>
      <c r="R30" s="612"/>
      <c r="S30" s="612"/>
      <c r="T30" s="29"/>
    </row>
    <row r="31" spans="2:25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/>
      <c r="N31" s="11"/>
      <c r="O31" s="11" t="str">
        <f t="shared" si="3"/>
        <v/>
      </c>
      <c r="P31" s="11" t="str">
        <f t="shared" si="2"/>
        <v/>
      </c>
      <c r="Q31" s="612"/>
      <c r="R31" s="612"/>
      <c r="S31" s="612"/>
      <c r="T31" s="29"/>
    </row>
    <row r="32" spans="2:25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/>
      <c r="N32" s="11"/>
      <c r="O32" s="11" t="str">
        <f t="shared" si="3"/>
        <v/>
      </c>
      <c r="P32" s="11" t="str">
        <f t="shared" si="2"/>
        <v/>
      </c>
      <c r="Q32" s="612"/>
      <c r="R32" s="612"/>
      <c r="S32" s="612"/>
      <c r="T32" s="29"/>
    </row>
    <row r="33" spans="2:20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/>
      <c r="N33" s="11"/>
      <c r="O33" s="11" t="str">
        <f t="shared" si="3"/>
        <v/>
      </c>
      <c r="P33" s="11" t="str">
        <f t="shared" si="2"/>
        <v/>
      </c>
      <c r="Q33" s="612"/>
      <c r="R33" s="612"/>
      <c r="S33" s="612"/>
      <c r="T33" s="29"/>
    </row>
    <row r="34" spans="2:20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/>
      <c r="N34" s="11"/>
      <c r="O34" s="11" t="str">
        <f t="shared" si="3"/>
        <v/>
      </c>
      <c r="P34" s="11" t="str">
        <f t="shared" si="2"/>
        <v/>
      </c>
      <c r="Q34" s="612"/>
      <c r="R34" s="612"/>
      <c r="S34" s="612"/>
      <c r="T34" s="29"/>
    </row>
    <row r="35" spans="2:20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/>
      <c r="N35" s="11"/>
      <c r="O35" s="11" t="str">
        <f t="shared" si="3"/>
        <v/>
      </c>
      <c r="P35" s="11" t="str">
        <f t="shared" si="2"/>
        <v/>
      </c>
      <c r="Q35" s="612"/>
      <c r="R35" s="612"/>
      <c r="S35" s="612"/>
      <c r="T35" s="29"/>
    </row>
    <row r="36" spans="2:20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/>
      <c r="N36" s="11"/>
      <c r="O36" s="11" t="str">
        <f t="shared" si="3"/>
        <v/>
      </c>
      <c r="P36" s="11" t="str">
        <f t="shared" si="2"/>
        <v/>
      </c>
      <c r="Q36" s="612"/>
      <c r="R36" s="612"/>
      <c r="S36" s="612"/>
      <c r="T36" s="29"/>
    </row>
    <row r="37" spans="2:20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/>
      <c r="N37" s="11"/>
      <c r="O37" s="11" t="str">
        <f t="shared" si="3"/>
        <v/>
      </c>
      <c r="P37" s="11" t="str">
        <f t="shared" si="2"/>
        <v/>
      </c>
      <c r="Q37" s="612"/>
      <c r="R37" s="612"/>
      <c r="S37" s="612"/>
      <c r="T37" s="29"/>
    </row>
    <row r="38" spans="2:20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/>
      <c r="N38" s="11"/>
      <c r="O38" s="11" t="str">
        <f t="shared" si="3"/>
        <v/>
      </c>
      <c r="P38" s="11" t="str">
        <f t="shared" si="2"/>
        <v/>
      </c>
      <c r="Q38" s="612"/>
      <c r="R38" s="612"/>
      <c r="S38" s="612"/>
      <c r="T38" s="29"/>
    </row>
    <row r="39" spans="2:20" ht="19.899999999999999" customHeight="1" x14ac:dyDescent="0.25">
      <c r="B39" s="25"/>
      <c r="C39" s="26"/>
      <c r="D39" s="27"/>
      <c r="E39" s="28"/>
      <c r="F39" s="27"/>
      <c r="G39" s="28"/>
      <c r="H39" s="26"/>
      <c r="I39" s="11"/>
      <c r="J39" s="11"/>
      <c r="K39" s="11"/>
      <c r="L39" s="11"/>
      <c r="M39" s="11"/>
      <c r="N39" s="11"/>
      <c r="O39" s="11" t="str">
        <f t="shared" si="3"/>
        <v/>
      </c>
      <c r="P39" s="11" t="str">
        <f t="shared" si="2"/>
        <v/>
      </c>
      <c r="Q39" s="612"/>
      <c r="R39" s="612"/>
      <c r="S39" s="612"/>
      <c r="T39" s="29"/>
    </row>
    <row r="40" spans="2:20" ht="19.899999999999999" customHeight="1" x14ac:dyDescent="0.25">
      <c r="B40" s="25"/>
      <c r="C40" s="26"/>
      <c r="D40" s="27"/>
      <c r="E40" s="28"/>
      <c r="F40" s="27"/>
      <c r="G40" s="28"/>
      <c r="H40" s="26"/>
      <c r="I40" s="11"/>
      <c r="J40" s="11"/>
      <c r="K40" s="11"/>
      <c r="L40" s="11"/>
      <c r="M40" s="11"/>
      <c r="N40" s="11"/>
      <c r="O40" s="11" t="str">
        <f t="shared" si="3"/>
        <v/>
      </c>
      <c r="P40" s="11" t="str">
        <f t="shared" si="2"/>
        <v/>
      </c>
      <c r="Q40" s="612"/>
      <c r="R40" s="612"/>
      <c r="S40" s="612"/>
      <c r="T40" s="29"/>
    </row>
    <row r="41" spans="2:20" ht="19.899999999999999" customHeight="1" thickBot="1" x14ac:dyDescent="0.3">
      <c r="B41" s="30"/>
      <c r="C41" s="31"/>
      <c r="D41" s="32"/>
      <c r="E41" s="33"/>
      <c r="F41" s="32"/>
      <c r="G41" s="33"/>
      <c r="H41" s="31"/>
      <c r="I41" s="12"/>
      <c r="J41" s="12"/>
      <c r="K41" s="12"/>
      <c r="L41" s="12"/>
      <c r="M41" s="12"/>
      <c r="N41" s="12"/>
      <c r="O41" s="12" t="str">
        <f t="shared" si="3"/>
        <v/>
      </c>
      <c r="P41" s="12" t="str">
        <f t="shared" si="2"/>
        <v/>
      </c>
      <c r="Q41" s="634"/>
      <c r="R41" s="634"/>
      <c r="S41" s="634"/>
      <c r="T41" s="34"/>
    </row>
    <row r="42" spans="2:20" ht="19.899999999999999" customHeight="1" thickTop="1" x14ac:dyDescent="0.25"/>
  </sheetData>
  <mergeCells count="76">
    <mergeCell ref="Q41:S41"/>
    <mergeCell ref="Q35:S35"/>
    <mergeCell ref="Q36:S36"/>
    <mergeCell ref="Q37:S37"/>
    <mergeCell ref="Q38:S38"/>
    <mergeCell ref="Q39:S39"/>
    <mergeCell ref="Q40:S40"/>
    <mergeCell ref="Q34:S34"/>
    <mergeCell ref="Q23:S23"/>
    <mergeCell ref="Q24:S24"/>
    <mergeCell ref="Q25:S25"/>
    <mergeCell ref="Q26:S26"/>
    <mergeCell ref="Q27:S27"/>
    <mergeCell ref="Q28:S28"/>
    <mergeCell ref="Q29:S29"/>
    <mergeCell ref="Q30:S30"/>
    <mergeCell ref="Q31:S31"/>
    <mergeCell ref="Q32:S32"/>
    <mergeCell ref="Q33:S33"/>
    <mergeCell ref="Q22:S22"/>
    <mergeCell ref="N15:N16"/>
    <mergeCell ref="O15:O16"/>
    <mergeCell ref="P15:P16"/>
    <mergeCell ref="Q15:S16"/>
    <mergeCell ref="Q17:S17"/>
    <mergeCell ref="Q18:S18"/>
    <mergeCell ref="Q19:S19"/>
    <mergeCell ref="Q20:S20"/>
    <mergeCell ref="Q21:S21"/>
    <mergeCell ref="J8:T8"/>
    <mergeCell ref="J9:T9"/>
    <mergeCell ref="T15:T16"/>
    <mergeCell ref="V15:W15"/>
    <mergeCell ref="B15:B16"/>
    <mergeCell ref="C15:C16"/>
    <mergeCell ref="D15:E15"/>
    <mergeCell ref="F15:G15"/>
    <mergeCell ref="H15:H16"/>
    <mergeCell ref="I15:I16"/>
    <mergeCell ref="J6:T6"/>
    <mergeCell ref="J7:T7"/>
    <mergeCell ref="C13:F13"/>
    <mergeCell ref="H13:Q13"/>
    <mergeCell ref="S13:T13"/>
    <mergeCell ref="B8:D8"/>
    <mergeCell ref="E8:F8"/>
    <mergeCell ref="G8:H8"/>
    <mergeCell ref="B9:D9"/>
    <mergeCell ref="E9:F9"/>
    <mergeCell ref="G9:H9"/>
    <mergeCell ref="B11:F11"/>
    <mergeCell ref="G11:T11"/>
    <mergeCell ref="C12:F12"/>
    <mergeCell ref="H12:Q12"/>
    <mergeCell ref="S12:T12"/>
    <mergeCell ref="B6:D6"/>
    <mergeCell ref="E6:F6"/>
    <mergeCell ref="G6:H6"/>
    <mergeCell ref="B7:D7"/>
    <mergeCell ref="E7:F7"/>
    <mergeCell ref="G7:H7"/>
    <mergeCell ref="B2:D3"/>
    <mergeCell ref="E2:H2"/>
    <mergeCell ref="V2:W2"/>
    <mergeCell ref="E3:F3"/>
    <mergeCell ref="G3:H3"/>
    <mergeCell ref="J2:T2"/>
    <mergeCell ref="J3:T3"/>
    <mergeCell ref="J4:T4"/>
    <mergeCell ref="B4:D4"/>
    <mergeCell ref="E4:F4"/>
    <mergeCell ref="G4:H4"/>
    <mergeCell ref="B5:D5"/>
    <mergeCell ref="E5:F5"/>
    <mergeCell ref="G5:H5"/>
    <mergeCell ref="J5:T5"/>
  </mergeCells>
  <conditionalFormatting sqref="B17:Q41 T17:T41">
    <cfRule type="containsBlanks" dxfId="29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66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233B-C018-40A1-BA01-01E46DB5D330}">
  <sheetPr>
    <pageSetUpPr fitToPage="1"/>
  </sheetPr>
  <dimension ref="B1:W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77" t="s">
        <v>358</v>
      </c>
      <c r="K2" s="678"/>
      <c r="L2" s="679"/>
      <c r="N2" s="631" t="s">
        <v>293</v>
      </c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100" t="s">
        <v>359</v>
      </c>
      <c r="K3" s="101" t="s">
        <v>360</v>
      </c>
      <c r="L3" s="102" t="s">
        <v>361</v>
      </c>
      <c r="N3" s="613"/>
      <c r="O3" s="614"/>
      <c r="P3" s="614"/>
      <c r="Q3" s="614"/>
      <c r="R3" s="615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14.22</v>
      </c>
      <c r="F4" s="653"/>
      <c r="G4" s="640">
        <f t="shared" ref="G4:G9" si="0">E4*$Q$13</f>
        <v>86439.95</v>
      </c>
      <c r="H4" s="641"/>
      <c r="J4" s="107" t="s">
        <v>362</v>
      </c>
      <c r="K4" s="103">
        <v>45762</v>
      </c>
      <c r="L4" s="104">
        <v>5.0999999999999997E-2</v>
      </c>
      <c r="N4" s="613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14.223295808099998</v>
      </c>
      <c r="F5" s="654"/>
      <c r="G5" s="642">
        <f t="shared" si="0"/>
        <v>86459.984422459442</v>
      </c>
      <c r="H5" s="643"/>
      <c r="J5" s="107" t="s">
        <v>363</v>
      </c>
      <c r="K5" s="103">
        <v>45826</v>
      </c>
      <c r="L5" s="104">
        <v>4.53E-2</v>
      </c>
      <c r="N5" s="613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14.223295808099998</v>
      </c>
      <c r="F6" s="654"/>
      <c r="G6" s="642">
        <f t="shared" si="0"/>
        <v>86459.984422459442</v>
      </c>
      <c r="H6" s="643"/>
      <c r="J6" s="107" t="s">
        <v>364</v>
      </c>
      <c r="K6" s="103">
        <v>45807</v>
      </c>
      <c r="L6" s="104">
        <v>4.5999999999999999E-2</v>
      </c>
      <c r="N6" s="613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-3.2958080999971884E-3</v>
      </c>
      <c r="F7" s="645"/>
      <c r="G7" s="642">
        <f t="shared" si="0"/>
        <v>-20.034422459448098</v>
      </c>
      <c r="H7" s="643"/>
      <c r="J7" s="107" t="s">
        <v>365</v>
      </c>
      <c r="K7" s="103">
        <v>45790</v>
      </c>
      <c r="L7" s="104">
        <v>4.7800000000000002E-2</v>
      </c>
      <c r="N7" s="613"/>
      <c r="O7" s="614"/>
      <c r="P7" s="614"/>
      <c r="Q7" s="614"/>
      <c r="R7" s="615"/>
    </row>
    <row r="8" spans="2:21" ht="15" customHeight="1" thickBot="1" x14ac:dyDescent="0.3">
      <c r="B8" s="655" t="s">
        <v>300</v>
      </c>
      <c r="C8" s="656"/>
      <c r="D8" s="656"/>
      <c r="E8" s="657">
        <f>SUM(M:M)-E5</f>
        <v>0</v>
      </c>
      <c r="F8" s="657"/>
      <c r="G8" s="658">
        <f t="shared" si="0"/>
        <v>0</v>
      </c>
      <c r="H8" s="659"/>
      <c r="J8" s="108" t="s">
        <v>366</v>
      </c>
      <c r="K8" s="105">
        <v>45799</v>
      </c>
      <c r="L8" s="106">
        <v>4.4999999999999998E-2</v>
      </c>
      <c r="N8" s="613"/>
      <c r="O8" s="614"/>
      <c r="P8" s="614"/>
      <c r="Q8" s="614"/>
      <c r="R8" s="615"/>
    </row>
    <row r="9" spans="2:21" ht="15" customHeight="1" thickTop="1" thickBot="1" x14ac:dyDescent="0.3">
      <c r="B9" s="651" t="s">
        <v>301</v>
      </c>
      <c r="C9" s="652"/>
      <c r="D9" s="652"/>
      <c r="E9" s="646">
        <f>SUMIF(R:R,CAPA!$I$2,M:M)</f>
        <v>0</v>
      </c>
      <c r="F9" s="646"/>
      <c r="G9" s="660">
        <f t="shared" si="0"/>
        <v>0</v>
      </c>
      <c r="H9" s="661"/>
      <c r="N9" s="616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RESUMO!C78</f>
        <v>D.3</v>
      </c>
      <c r="C13" s="623" t="str">
        <f>IF($B$13="","",VLOOKUP($B$13,RESUMO!$C:$F,2,FALSE))</f>
        <v>Material Betuminoso e Transportes</v>
      </c>
      <c r="D13" s="623"/>
      <c r="E13" s="623"/>
      <c r="F13" s="662"/>
      <c r="G13" s="16" t="str">
        <f>RESUMO!C79</f>
        <v>D.3.1</v>
      </c>
      <c r="H13" s="623" t="str">
        <f>IF($G$13="","",VLOOKUP($G$13,RESUMO!$C:$F,2,FALSE))</f>
        <v>Fornecimento de CAP modificado com adição de polímero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T</v>
      </c>
      <c r="Q13" s="621">
        <f>IF($G$13="","",VLOOKUP($G$13,RESUMO!$C:$F,4,FALSE))</f>
        <v>6078.7587904360053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672" t="s">
        <v>327</v>
      </c>
      <c r="K15" s="9" t="s">
        <v>367</v>
      </c>
      <c r="L15" s="9" t="s">
        <v>352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73"/>
      <c r="K16" s="10" t="s">
        <v>368</v>
      </c>
      <c r="L16" s="10" t="s">
        <v>369</v>
      </c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109" t="s">
        <v>362</v>
      </c>
      <c r="K17" s="23">
        <f>'D.2.7'!O17</f>
        <v>77.901833699999997</v>
      </c>
      <c r="L17" s="23">
        <f>L4</f>
        <v>5.0999999999999997E-2</v>
      </c>
      <c r="M17" s="23">
        <f>IF(K17="","",K17*L17)</f>
        <v>3.9729935186999996</v>
      </c>
      <c r="N17" s="23">
        <f>IF(OR(B17="",M17=""),"",IF(AND(N16="",R17=""),N16,SUM(M17,N16)))</f>
        <v>3.9729935186999996</v>
      </c>
      <c r="O17" s="612" t="s">
        <v>326</v>
      </c>
      <c r="P17" s="612"/>
      <c r="Q17" s="612"/>
      <c r="R17" s="24">
        <v>1</v>
      </c>
      <c r="T17" s="84" t="s">
        <v>158</v>
      </c>
      <c r="U17" s="83" t="str">
        <f>IF($T17="","",VLOOKUP($T17,RESUMO!$C:$D,2,FALSE))</f>
        <v>CBUQ  Faixa C/D c/ DOP ou polímero similar</v>
      </c>
      <c r="W17" s="85" t="str">
        <f t="shared" ref="W17:W23" si="1"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0" t="s">
        <v>362</v>
      </c>
      <c r="K18" s="11">
        <f>'D.2.7'!O18</f>
        <v>107.5945134</v>
      </c>
      <c r="L18" s="11">
        <f>L4</f>
        <v>5.0999999999999997E-2</v>
      </c>
      <c r="M18" s="11">
        <f t="shared" ref="M18:M39" si="2">IF(K18="","",K18*L18)</f>
        <v>5.4873201833999996</v>
      </c>
      <c r="N18" s="11">
        <f t="shared" ref="N18:N39" si="3">IF(B18="","",IF(OR(N17="",R18=""),N17,SUM(M18,N17)))</f>
        <v>9.4603137020999988</v>
      </c>
      <c r="O18" s="612" t="s">
        <v>326</v>
      </c>
      <c r="P18" s="612"/>
      <c r="Q18" s="612"/>
      <c r="R18" s="29">
        <v>1</v>
      </c>
      <c r="T18" s="84" t="s">
        <v>160</v>
      </c>
      <c r="U18" s="83" t="str">
        <f>IF($T18="","",VLOOKUP($T18,RESUMO!$C:$D,2,FALSE))</f>
        <v>Fornecimento de CAP modificado com adição de polímero</v>
      </c>
      <c r="W18" s="85" t="str">
        <f t="shared" si="1"/>
        <v>LINK</v>
      </c>
    </row>
    <row r="19" spans="2:23" ht="19.899999999999999" customHeight="1" x14ac:dyDescent="0.25">
      <c r="B19" s="25" t="s">
        <v>316</v>
      </c>
      <c r="C19" s="26" t="s">
        <v>306</v>
      </c>
      <c r="D19" s="27">
        <v>306</v>
      </c>
      <c r="E19" s="28">
        <v>630</v>
      </c>
      <c r="F19" s="27"/>
      <c r="G19" s="28"/>
      <c r="H19" s="26" t="s">
        <v>306</v>
      </c>
      <c r="I19" s="11" t="s">
        <v>325</v>
      </c>
      <c r="J19" s="110" t="s">
        <v>362</v>
      </c>
      <c r="K19" s="11">
        <f>'D.2.7'!O19</f>
        <v>93.391806000000003</v>
      </c>
      <c r="L19" s="11">
        <f>L4</f>
        <v>5.0999999999999997E-2</v>
      </c>
      <c r="M19" s="11">
        <f t="shared" si="2"/>
        <v>4.7629821059999999</v>
      </c>
      <c r="N19" s="11">
        <f t="shared" si="3"/>
        <v>14.223295808099998</v>
      </c>
      <c r="O19" s="612" t="s">
        <v>326</v>
      </c>
      <c r="P19" s="612"/>
      <c r="Q19" s="612"/>
      <c r="R19" s="29">
        <v>1</v>
      </c>
      <c r="T19" s="84" t="s">
        <v>161</v>
      </c>
      <c r="U19" s="83" t="str">
        <f>IF($T19="","",VLOOKUP($T19,RESUMO!$C:$D,2,FALSE))</f>
        <v xml:space="preserve">Fornecimento de emulsão asfáltica tipo RR-1C                                </v>
      </c>
      <c r="W19" s="85" t="str">
        <f t="shared" si="1"/>
        <v>LINK</v>
      </c>
    </row>
    <row r="20" spans="2:23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0"/>
      <c r="K20" s="11"/>
      <c r="L20" s="11"/>
      <c r="M20" s="11" t="str">
        <f t="shared" si="2"/>
        <v/>
      </c>
      <c r="N20" s="11" t="str">
        <f t="shared" si="3"/>
        <v/>
      </c>
      <c r="O20" s="612"/>
      <c r="P20" s="612"/>
      <c r="Q20" s="612"/>
      <c r="R20" s="29"/>
      <c r="T20" s="84" t="s">
        <v>162</v>
      </c>
      <c r="U20" s="83" t="str">
        <f>IF($T20="","",VLOOKUP($T20,RESUMO!$C:$D,2,FALSE))</f>
        <v xml:space="preserve">Fornecimento de emulsão asfáltica Imprimer                </v>
      </c>
      <c r="W20" s="85" t="str">
        <f t="shared" si="1"/>
        <v>LINK</v>
      </c>
    </row>
    <row r="21" spans="2:23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0"/>
      <c r="K21" s="11"/>
      <c r="L21" s="11"/>
      <c r="M21" s="11" t="str">
        <f t="shared" si="2"/>
        <v/>
      </c>
      <c r="N21" s="11" t="str">
        <f t="shared" si="3"/>
        <v/>
      </c>
      <c r="O21" s="612"/>
      <c r="P21" s="612"/>
      <c r="Q21" s="612"/>
      <c r="R21" s="29"/>
      <c r="T21" s="84" t="s">
        <v>163</v>
      </c>
      <c r="U21" s="83" t="str">
        <f>IF($T21="","",VLOOKUP($T21,RESUMO!$C:$D,2,FALSE))</f>
        <v xml:space="preserve">Transporte com caminhão basculante de 14 m³ - rodovia pavimentada  - Agregados  </v>
      </c>
      <c r="W21" s="85" t="str">
        <f t="shared" si="1"/>
        <v>LINK</v>
      </c>
    </row>
    <row r="22" spans="2:23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0"/>
      <c r="K22" s="11"/>
      <c r="L22" s="11"/>
      <c r="M22" s="11" t="str">
        <f t="shared" si="2"/>
        <v/>
      </c>
      <c r="N22" s="11" t="str">
        <f t="shared" si="3"/>
        <v/>
      </c>
      <c r="O22" s="612"/>
      <c r="P22" s="612"/>
      <c r="Q22" s="612"/>
      <c r="R22" s="29"/>
      <c r="T22" s="84" t="s">
        <v>164</v>
      </c>
      <c r="U22" s="83" t="str">
        <f>IF($T22="","",VLOOKUP($T22,RESUMO!$C:$D,2,FALSE))</f>
        <v xml:space="preserve">Transporte com caminhão basculante de 14 m³ - rodovia pavimentada  - Massa Asfaltica  </v>
      </c>
      <c r="W22" s="85" t="str">
        <f t="shared" si="1"/>
        <v>LINK</v>
      </c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0"/>
      <c r="K23" s="11"/>
      <c r="L23" s="11"/>
      <c r="M23" s="11" t="str">
        <f t="shared" si="2"/>
        <v/>
      </c>
      <c r="N23" s="11" t="str">
        <f t="shared" si="3"/>
        <v/>
      </c>
      <c r="O23" s="612"/>
      <c r="P23" s="612"/>
      <c r="Q23" s="612"/>
      <c r="R23" s="29"/>
      <c r="T23" s="84" t="s">
        <v>165</v>
      </c>
      <c r="U23" s="83" t="str">
        <f>IF($T23="","",VLOOKUP($T23,RESUMO!$C:$D,2,FALSE))</f>
        <v>Transporte com caminhão basculante de 14 m³ - rodovia pavimentada  - Materiais Betuminosos</v>
      </c>
      <c r="W23" s="85" t="str">
        <f t="shared" si="1"/>
        <v>LINK</v>
      </c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0"/>
      <c r="K24" s="11"/>
      <c r="L24" s="11"/>
      <c r="M24" s="11" t="str">
        <f t="shared" si="2"/>
        <v/>
      </c>
      <c r="N24" s="11" t="str">
        <f t="shared" si="3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0"/>
      <c r="K25" s="11"/>
      <c r="L25" s="11"/>
      <c r="M25" s="11" t="str">
        <f t="shared" si="2"/>
        <v/>
      </c>
      <c r="N25" s="11" t="str">
        <f t="shared" si="3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0"/>
      <c r="K26" s="11"/>
      <c r="L26" s="11"/>
      <c r="M26" s="11" t="str">
        <f t="shared" si="2"/>
        <v/>
      </c>
      <c r="N26" s="11" t="str">
        <f t="shared" si="3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0"/>
      <c r="K27" s="11"/>
      <c r="L27" s="11"/>
      <c r="M27" s="11" t="str">
        <f t="shared" si="2"/>
        <v/>
      </c>
      <c r="N27" s="11" t="str">
        <f t="shared" si="3"/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0"/>
      <c r="K28" s="11"/>
      <c r="L28" s="11"/>
      <c r="M28" s="11" t="str">
        <f t="shared" si="2"/>
        <v/>
      </c>
      <c r="N28" s="11" t="str">
        <f t="shared" si="3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0"/>
      <c r="K29" s="11"/>
      <c r="L29" s="11"/>
      <c r="M29" s="11" t="str">
        <f t="shared" si="2"/>
        <v/>
      </c>
      <c r="N29" s="11" t="str">
        <f t="shared" si="3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0"/>
      <c r="K30" s="11"/>
      <c r="L30" s="11"/>
      <c r="M30" s="11" t="str">
        <f t="shared" si="2"/>
        <v/>
      </c>
      <c r="N30" s="11" t="str">
        <f t="shared" si="3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0"/>
      <c r="K31" s="11"/>
      <c r="L31" s="11"/>
      <c r="M31" s="11" t="str">
        <f t="shared" si="2"/>
        <v/>
      </c>
      <c r="N31" s="11" t="str">
        <f t="shared" si="3"/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0"/>
      <c r="K32" s="11"/>
      <c r="L32" s="11"/>
      <c r="M32" s="11" t="str">
        <f t="shared" si="2"/>
        <v/>
      </c>
      <c r="N32" s="11" t="str">
        <f t="shared" si="3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0"/>
      <c r="K33" s="11"/>
      <c r="L33" s="11"/>
      <c r="M33" s="11" t="str">
        <f t="shared" si="2"/>
        <v/>
      </c>
      <c r="N33" s="11" t="str">
        <f t="shared" si="3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0"/>
      <c r="K34" s="11"/>
      <c r="L34" s="11"/>
      <c r="M34" s="11" t="str">
        <f t="shared" si="2"/>
        <v/>
      </c>
      <c r="N34" s="11" t="str">
        <f t="shared" si="3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0"/>
      <c r="K35" s="11"/>
      <c r="L35" s="11"/>
      <c r="M35" s="11" t="str">
        <f t="shared" si="2"/>
        <v/>
      </c>
      <c r="N35" s="11" t="str">
        <f t="shared" si="3"/>
        <v/>
      </c>
      <c r="O35" s="612"/>
      <c r="P35" s="612"/>
      <c r="Q35" s="612"/>
      <c r="R35" s="29"/>
    </row>
    <row r="36" spans="2:18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0"/>
      <c r="K36" s="11"/>
      <c r="L36" s="11"/>
      <c r="M36" s="11" t="str">
        <f t="shared" si="2"/>
        <v/>
      </c>
      <c r="N36" s="11" t="str">
        <f t="shared" si="3"/>
        <v/>
      </c>
      <c r="O36" s="612"/>
      <c r="P36" s="612"/>
      <c r="Q36" s="612"/>
      <c r="R36" s="29"/>
    </row>
    <row r="37" spans="2:18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0"/>
      <c r="K37" s="11"/>
      <c r="L37" s="11"/>
      <c r="M37" s="11" t="str">
        <f t="shared" si="2"/>
        <v/>
      </c>
      <c r="N37" s="11" t="str">
        <f t="shared" si="3"/>
        <v/>
      </c>
      <c r="O37" s="612"/>
      <c r="P37" s="612"/>
      <c r="Q37" s="612"/>
      <c r="R37" s="29"/>
    </row>
    <row r="38" spans="2:18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0"/>
      <c r="K38" s="11"/>
      <c r="L38" s="11"/>
      <c r="M38" s="11" t="str">
        <f t="shared" si="2"/>
        <v/>
      </c>
      <c r="N38" s="11" t="str">
        <f t="shared" si="3"/>
        <v/>
      </c>
      <c r="O38" s="612"/>
      <c r="P38" s="612"/>
      <c r="Q38" s="612"/>
      <c r="R38" s="29"/>
    </row>
    <row r="39" spans="2:18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11"/>
      <c r="K39" s="12"/>
      <c r="L39" s="12"/>
      <c r="M39" s="12" t="str">
        <f t="shared" si="2"/>
        <v/>
      </c>
      <c r="N39" s="12" t="str">
        <f t="shared" si="3"/>
        <v/>
      </c>
      <c r="O39" s="634"/>
      <c r="P39" s="634"/>
      <c r="Q39" s="634"/>
      <c r="R39" s="34"/>
    </row>
    <row r="40" spans="2:18" ht="19.899999999999999" customHeight="1" thickTop="1" x14ac:dyDescent="0.25"/>
  </sheetData>
  <mergeCells count="75">
    <mergeCell ref="O35:Q35"/>
    <mergeCell ref="O36:Q36"/>
    <mergeCell ref="O37:Q37"/>
    <mergeCell ref="O38:Q38"/>
    <mergeCell ref="O39:Q39"/>
    <mergeCell ref="O34:Q34"/>
    <mergeCell ref="O23:Q23"/>
    <mergeCell ref="O24:Q24"/>
    <mergeCell ref="O25:Q25"/>
    <mergeCell ref="O26:Q26"/>
    <mergeCell ref="O27:Q27"/>
    <mergeCell ref="O28:Q28"/>
    <mergeCell ref="O29:Q29"/>
    <mergeCell ref="O30:Q30"/>
    <mergeCell ref="O31:Q31"/>
    <mergeCell ref="O32:Q32"/>
    <mergeCell ref="O33:Q33"/>
    <mergeCell ref="O22:Q22"/>
    <mergeCell ref="J15:J16"/>
    <mergeCell ref="M15:M16"/>
    <mergeCell ref="N15:N16"/>
    <mergeCell ref="O15:Q16"/>
    <mergeCell ref="O17:Q17"/>
    <mergeCell ref="O18:Q18"/>
    <mergeCell ref="O19:Q19"/>
    <mergeCell ref="O20:Q20"/>
    <mergeCell ref="O21:Q21"/>
    <mergeCell ref="R15:R16"/>
    <mergeCell ref="T15:U15"/>
    <mergeCell ref="B15:B16"/>
    <mergeCell ref="C15:C16"/>
    <mergeCell ref="D15:E15"/>
    <mergeCell ref="F15:G15"/>
    <mergeCell ref="H15:H16"/>
    <mergeCell ref="I15:I16"/>
    <mergeCell ref="C13:F13"/>
    <mergeCell ref="H13:O13"/>
    <mergeCell ref="Q13:R13"/>
    <mergeCell ref="B8:D8"/>
    <mergeCell ref="E8:F8"/>
    <mergeCell ref="G8:H8"/>
    <mergeCell ref="N8:R8"/>
    <mergeCell ref="B9:D9"/>
    <mergeCell ref="E9:F9"/>
    <mergeCell ref="G9:H9"/>
    <mergeCell ref="N9:R9"/>
    <mergeCell ref="B11:F11"/>
    <mergeCell ref="G11:R11"/>
    <mergeCell ref="C12:F12"/>
    <mergeCell ref="H12:O12"/>
    <mergeCell ref="Q12:R12"/>
    <mergeCell ref="B6:D6"/>
    <mergeCell ref="E6:F6"/>
    <mergeCell ref="G6:H6"/>
    <mergeCell ref="N6:R6"/>
    <mergeCell ref="B7:D7"/>
    <mergeCell ref="E7:F7"/>
    <mergeCell ref="G7:H7"/>
    <mergeCell ref="N7:R7"/>
    <mergeCell ref="B4:D4"/>
    <mergeCell ref="E4:F4"/>
    <mergeCell ref="G4:H4"/>
    <mergeCell ref="N4:R4"/>
    <mergeCell ref="B5:D5"/>
    <mergeCell ref="E5:F5"/>
    <mergeCell ref="G5:H5"/>
    <mergeCell ref="N5:R5"/>
    <mergeCell ref="B2:D3"/>
    <mergeCell ref="E2:H2"/>
    <mergeCell ref="J2:L2"/>
    <mergeCell ref="N2:R2"/>
    <mergeCell ref="T2:U2"/>
    <mergeCell ref="E3:F3"/>
    <mergeCell ref="G3:H3"/>
    <mergeCell ref="N3:R3"/>
  </mergeCells>
  <phoneticPr fontId="16" type="noConversion"/>
  <conditionalFormatting sqref="B17:O39 R17:R39">
    <cfRule type="containsBlanks" dxfId="28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2435-2140-4170-94A2-5120C8671F98}">
  <sheetPr>
    <pageSetUpPr fitToPage="1"/>
  </sheetPr>
  <dimension ref="B1:W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98" t="s">
        <v>351</v>
      </c>
      <c r="L2" s="87" t="s">
        <v>293</v>
      </c>
      <c r="M2" s="88"/>
      <c r="N2" s="88"/>
      <c r="O2" s="88"/>
      <c r="P2" s="88"/>
      <c r="Q2" s="88"/>
      <c r="R2" s="89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99" t="s">
        <v>352</v>
      </c>
      <c r="L3" s="90"/>
      <c r="M3" s="91"/>
      <c r="N3" s="91"/>
      <c r="O3" s="91"/>
      <c r="P3" s="91"/>
      <c r="Q3" s="91"/>
      <c r="R3" s="92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1.49</v>
      </c>
      <c r="F4" s="653"/>
      <c r="G4" s="640">
        <f t="shared" ref="G4:G9" si="0">E4*$Q$13</f>
        <v>5157.84</v>
      </c>
      <c r="H4" s="641"/>
      <c r="J4" s="96">
        <v>0.45549299999999998</v>
      </c>
      <c r="L4" s="90"/>
      <c r="M4" s="91"/>
      <c r="N4" s="91"/>
      <c r="O4" s="91"/>
      <c r="P4" s="91"/>
      <c r="Q4" s="91"/>
      <c r="R4" s="92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1.4928490101902399</v>
      </c>
      <c r="F5" s="654"/>
      <c r="G5" s="642">
        <f t="shared" si="0"/>
        <v>5167.7022407514269</v>
      </c>
      <c r="H5" s="643"/>
      <c r="J5" s="99" t="s">
        <v>353</v>
      </c>
      <c r="L5" s="90"/>
      <c r="M5" s="91"/>
      <c r="N5" s="91"/>
      <c r="O5" s="91"/>
      <c r="P5" s="91"/>
      <c r="Q5" s="91"/>
      <c r="R5" s="92"/>
      <c r="T5" s="36"/>
      <c r="U5" s="36"/>
    </row>
    <row r="6" spans="2:21" ht="15" customHeight="1" thickBot="1" x14ac:dyDescent="0.3">
      <c r="B6" s="649" t="s">
        <v>298</v>
      </c>
      <c r="C6" s="650"/>
      <c r="D6" s="650"/>
      <c r="E6" s="654">
        <f>E5-E9</f>
        <v>1.4928490101902399</v>
      </c>
      <c r="F6" s="654"/>
      <c r="G6" s="642">
        <f t="shared" si="0"/>
        <v>5167.7022407514269</v>
      </c>
      <c r="H6" s="643"/>
      <c r="J6" s="97">
        <f>1.07/1000</f>
        <v>1.07E-3</v>
      </c>
      <c r="L6" s="90"/>
      <c r="M6" s="91"/>
      <c r="N6" s="91"/>
      <c r="O6" s="91"/>
      <c r="P6" s="91"/>
      <c r="Q6" s="91"/>
      <c r="R6" s="92"/>
    </row>
    <row r="7" spans="2:21" ht="15" customHeight="1" thickTop="1" x14ac:dyDescent="0.25">
      <c r="B7" s="649" t="s">
        <v>299</v>
      </c>
      <c r="C7" s="650"/>
      <c r="D7" s="650"/>
      <c r="E7" s="644">
        <f>E4-E5</f>
        <v>-2.8490101902398646E-3</v>
      </c>
      <c r="F7" s="645"/>
      <c r="G7" s="642">
        <f t="shared" si="0"/>
        <v>-9.8622407514273718</v>
      </c>
      <c r="H7" s="643"/>
      <c r="L7" s="90"/>
      <c r="M7" s="91"/>
      <c r="N7" s="91"/>
      <c r="O7" s="91"/>
      <c r="P7" s="91"/>
      <c r="Q7" s="91"/>
      <c r="R7" s="92"/>
    </row>
    <row r="8" spans="2:21" ht="15" customHeight="1" x14ac:dyDescent="0.25">
      <c r="B8" s="655" t="s">
        <v>300</v>
      </c>
      <c r="C8" s="656"/>
      <c r="D8" s="656"/>
      <c r="E8" s="657">
        <f>SUM(M:M)-E5</f>
        <v>0</v>
      </c>
      <c r="F8" s="657"/>
      <c r="G8" s="658">
        <f t="shared" si="0"/>
        <v>0</v>
      </c>
      <c r="H8" s="659"/>
      <c r="L8" s="90"/>
      <c r="M8" s="91"/>
      <c r="N8" s="91"/>
      <c r="O8" s="91"/>
      <c r="P8" s="91"/>
      <c r="Q8" s="91"/>
      <c r="R8" s="92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0</v>
      </c>
      <c r="F9" s="646"/>
      <c r="G9" s="660">
        <f t="shared" si="0"/>
        <v>0</v>
      </c>
      <c r="H9" s="661"/>
      <c r="L9" s="93"/>
      <c r="M9" s="94"/>
      <c r="N9" s="94"/>
      <c r="O9" s="94"/>
      <c r="P9" s="94"/>
      <c r="Q9" s="94"/>
      <c r="R9" s="95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RESUMO!C78</f>
        <v>D.3</v>
      </c>
      <c r="C13" s="623" t="str">
        <f>IF($B$13="","",VLOOKUP($B$13,RESUMO!$C:$F,2,FALSE))</f>
        <v>Material Betuminoso e Transportes</v>
      </c>
      <c r="D13" s="623"/>
      <c r="E13" s="623"/>
      <c r="F13" s="662"/>
      <c r="G13" s="16" t="str">
        <f>RESUMO!C80</f>
        <v>D.3.2</v>
      </c>
      <c r="H13" s="623" t="str">
        <f>IF($G$13="","",VLOOKUP($G$13,RESUMO!$C:$F,2,FALSE))</f>
        <v xml:space="preserve">Fornecimento de emulsão asfáltica tipo RR-1C                                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T</v>
      </c>
      <c r="Q13" s="621">
        <f>IF($G$13="","",VLOOKUP($G$13,RESUMO!$C:$F,4,FALSE))</f>
        <v>3461.6375838926174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357</v>
      </c>
      <c r="K15" s="9" t="s">
        <v>352</v>
      </c>
      <c r="L15" s="9" t="s">
        <v>353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333</v>
      </c>
      <c r="K16" s="10" t="s">
        <v>355</v>
      </c>
      <c r="L16" s="10" t="s">
        <v>356</v>
      </c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23">
        <f>'D.2.6'!L17</f>
        <v>855.59500000000003</v>
      </c>
      <c r="K17" s="23">
        <f>J4</f>
        <v>0.45549299999999998</v>
      </c>
      <c r="L17" s="23">
        <f>J6</f>
        <v>1.07E-3</v>
      </c>
      <c r="M17" s="23">
        <f t="shared" ref="M17:M28" si="1">IF(J17="","",J17*K17*L17)</f>
        <v>0.41699776066844996</v>
      </c>
      <c r="N17" s="23">
        <f>IF(OR(B17="",M17=""),"",IF(AND(N16="",R17=""),N16,SUM(M17,N16)))</f>
        <v>0.41699776066844996</v>
      </c>
      <c r="O17" s="612" t="s">
        <v>326</v>
      </c>
      <c r="P17" s="612"/>
      <c r="Q17" s="612"/>
      <c r="R17" s="24">
        <v>1</v>
      </c>
      <c r="T17" s="84" t="s">
        <v>157</v>
      </c>
      <c r="U17" s="83" t="str">
        <f>IF($T17="","",VLOOKUP($T17,RESUMO!$C:$D,2,FALSE))</f>
        <v>Imprimadura betuminosa ligante</v>
      </c>
      <c r="W17" s="85" t="str">
        <f t="shared" ref="W17:W23" si="2"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">
        <f>'D.2.6'!L18</f>
        <v>1181.7090000000001</v>
      </c>
      <c r="K18" s="11">
        <f>J4</f>
        <v>0.45549299999999998</v>
      </c>
      <c r="L18" s="11">
        <f>J6</f>
        <v>1.07E-3</v>
      </c>
      <c r="M18" s="11">
        <f t="shared" si="1"/>
        <v>0.57593838996459001</v>
      </c>
      <c r="N18" s="11">
        <f t="shared" ref="N18:N30" si="3">IF(B18="","",IF(OR(N17="",R18=""),N17,SUM(M18,N17)))</f>
        <v>0.99293615063303997</v>
      </c>
      <c r="O18" s="612" t="s">
        <v>326</v>
      </c>
      <c r="P18" s="612"/>
      <c r="Q18" s="612"/>
      <c r="R18" s="29">
        <v>1</v>
      </c>
      <c r="T18" s="84" t="s">
        <v>160</v>
      </c>
      <c r="U18" s="83" t="str">
        <f>IF($T18="","",VLOOKUP($T18,RESUMO!$C:$D,2,FALSE))</f>
        <v>Fornecimento de CAP modificado com adição de polímero</v>
      </c>
      <c r="W18" s="85" t="str">
        <f t="shared" si="2"/>
        <v>LINK</v>
      </c>
    </row>
    <row r="19" spans="2:23" ht="19.899999999999999" customHeight="1" x14ac:dyDescent="0.25">
      <c r="B19" s="25" t="s">
        <v>316</v>
      </c>
      <c r="C19" s="26" t="s">
        <v>306</v>
      </c>
      <c r="D19" s="27">
        <v>303</v>
      </c>
      <c r="E19" s="28">
        <v>630</v>
      </c>
      <c r="F19" s="27"/>
      <c r="G19" s="28"/>
      <c r="H19" s="26" t="s">
        <v>306</v>
      </c>
      <c r="I19" s="11" t="s">
        <v>325</v>
      </c>
      <c r="J19" s="11">
        <f>'D.2.6'!L19</f>
        <v>1025.72</v>
      </c>
      <c r="K19" s="11">
        <f>J4</f>
        <v>0.45549299999999998</v>
      </c>
      <c r="L19" s="11">
        <f>J6</f>
        <v>1.07E-3</v>
      </c>
      <c r="M19" s="11">
        <f t="shared" si="1"/>
        <v>0.49991285955719994</v>
      </c>
      <c r="N19" s="11">
        <f t="shared" si="3"/>
        <v>1.4928490101902399</v>
      </c>
      <c r="O19" s="612" t="s">
        <v>326</v>
      </c>
      <c r="P19" s="612"/>
      <c r="Q19" s="612"/>
      <c r="R19" s="29">
        <v>1</v>
      </c>
      <c r="T19" s="84" t="s">
        <v>161</v>
      </c>
      <c r="U19" s="83" t="str">
        <f>IF($T19="","",VLOOKUP($T19,RESUMO!$C:$D,2,FALSE))</f>
        <v xml:space="preserve">Fornecimento de emulsão asfáltica tipo RR-1C                                </v>
      </c>
      <c r="W19" s="85" t="str">
        <f t="shared" si="2"/>
        <v>LINK</v>
      </c>
    </row>
    <row r="20" spans="2:23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 t="str">
        <f t="shared" si="1"/>
        <v/>
      </c>
      <c r="N20" s="11" t="str">
        <f t="shared" si="3"/>
        <v/>
      </c>
      <c r="O20" s="612"/>
      <c r="P20" s="612"/>
      <c r="Q20" s="612"/>
      <c r="R20" s="29"/>
      <c r="T20" s="84" t="s">
        <v>162</v>
      </c>
      <c r="U20" s="83" t="str">
        <f>IF($T20="","",VLOOKUP($T20,RESUMO!$C:$D,2,FALSE))</f>
        <v xml:space="preserve">Fornecimento de emulsão asfáltica Imprimer                </v>
      </c>
      <c r="W20" s="85" t="str">
        <f t="shared" si="2"/>
        <v>LINK</v>
      </c>
    </row>
    <row r="21" spans="2:23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 t="str">
        <f t="shared" si="1"/>
        <v/>
      </c>
      <c r="N21" s="11" t="str">
        <f t="shared" si="3"/>
        <v/>
      </c>
      <c r="O21" s="612"/>
      <c r="P21" s="612"/>
      <c r="Q21" s="612"/>
      <c r="R21" s="29"/>
      <c r="T21" s="84" t="s">
        <v>163</v>
      </c>
      <c r="U21" s="83" t="str">
        <f>IF($T21="","",VLOOKUP($T21,RESUMO!$C:$D,2,FALSE))</f>
        <v xml:space="preserve">Transporte com caminhão basculante de 14 m³ - rodovia pavimentada  - Agregados  </v>
      </c>
      <c r="W21" s="85" t="str">
        <f t="shared" si="2"/>
        <v>LINK</v>
      </c>
    </row>
    <row r="22" spans="2:23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 t="str">
        <f t="shared" si="1"/>
        <v/>
      </c>
      <c r="N22" s="11" t="str">
        <f t="shared" si="3"/>
        <v/>
      </c>
      <c r="O22" s="612"/>
      <c r="P22" s="612"/>
      <c r="Q22" s="612"/>
      <c r="R22" s="29"/>
      <c r="T22" s="84" t="s">
        <v>164</v>
      </c>
      <c r="U22" s="83" t="str">
        <f>IF($T22="","",VLOOKUP($T22,RESUMO!$C:$D,2,FALSE))</f>
        <v xml:space="preserve">Transporte com caminhão basculante de 14 m³ - rodovia pavimentada  - Massa Asfaltica  </v>
      </c>
      <c r="W22" s="85" t="str">
        <f t="shared" si="2"/>
        <v>LINK</v>
      </c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 t="shared" si="1"/>
        <v/>
      </c>
      <c r="N23" s="11" t="str">
        <f t="shared" si="3"/>
        <v/>
      </c>
      <c r="O23" s="612"/>
      <c r="P23" s="612"/>
      <c r="Q23" s="612"/>
      <c r="R23" s="29"/>
      <c r="T23" s="84" t="s">
        <v>165</v>
      </c>
      <c r="U23" s="83" t="str">
        <f>IF($T23="","",VLOOKUP($T23,RESUMO!$C:$D,2,FALSE))</f>
        <v>Transporte com caminhão basculante de 14 m³ - rodovia pavimentada  - Materiais Betuminosos</v>
      </c>
      <c r="W23" s="85" t="str">
        <f t="shared" si="2"/>
        <v>LINK</v>
      </c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 t="shared" si="1"/>
        <v/>
      </c>
      <c r="N24" s="11" t="str">
        <f t="shared" si="3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 t="shared" si="1"/>
        <v/>
      </c>
      <c r="N25" s="11" t="str">
        <f t="shared" si="3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 t="shared" si="1"/>
        <v/>
      </c>
      <c r="N26" s="11" t="str">
        <f t="shared" si="3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 t="shared" si="1"/>
        <v/>
      </c>
      <c r="N27" s="11" t="str">
        <f t="shared" si="3"/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 t="shared" si="1"/>
        <v/>
      </c>
      <c r="N28" s="11" t="str">
        <f t="shared" si="3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 t="shared" ref="M29:M39" si="4">IF(J29="","",J29*K29*L29)</f>
        <v/>
      </c>
      <c r="N29" s="11" t="str">
        <f t="shared" si="3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 t="shared" si="4"/>
        <v/>
      </c>
      <c r="N30" s="11" t="str">
        <f t="shared" si="3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 t="shared" si="4"/>
        <v/>
      </c>
      <c r="N31" s="11" t="str">
        <f t="shared" ref="N31:N39" si="5">IF(B31="","",IF(OR(N30="",R31=""),N30,SUM(M31,N30)))</f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 t="shared" si="4"/>
        <v/>
      </c>
      <c r="N32" s="11" t="str">
        <f t="shared" si="5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 t="shared" si="4"/>
        <v/>
      </c>
      <c r="N33" s="11" t="str">
        <f t="shared" si="5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 t="shared" si="4"/>
        <v/>
      </c>
      <c r="N34" s="11" t="str">
        <f t="shared" si="5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 t="shared" si="4"/>
        <v/>
      </c>
      <c r="N35" s="11" t="str">
        <f t="shared" si="5"/>
        <v/>
      </c>
      <c r="O35" s="612"/>
      <c r="P35" s="612"/>
      <c r="Q35" s="612"/>
      <c r="R35" s="29"/>
    </row>
    <row r="36" spans="2:18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 t="str">
        <f t="shared" si="4"/>
        <v/>
      </c>
      <c r="N36" s="11" t="str">
        <f t="shared" si="5"/>
        <v/>
      </c>
      <c r="O36" s="612"/>
      <c r="P36" s="612"/>
      <c r="Q36" s="612"/>
      <c r="R36" s="29"/>
    </row>
    <row r="37" spans="2:18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 t="str">
        <f t="shared" si="4"/>
        <v/>
      </c>
      <c r="N37" s="11" t="str">
        <f t="shared" si="5"/>
        <v/>
      </c>
      <c r="O37" s="612"/>
      <c r="P37" s="612"/>
      <c r="Q37" s="612"/>
      <c r="R37" s="29"/>
    </row>
    <row r="38" spans="2:18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 t="str">
        <f t="shared" si="4"/>
        <v/>
      </c>
      <c r="N38" s="11" t="str">
        <f t="shared" si="5"/>
        <v/>
      </c>
      <c r="O38" s="612"/>
      <c r="P38" s="612"/>
      <c r="Q38" s="612"/>
      <c r="R38" s="29"/>
    </row>
    <row r="39" spans="2:18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 t="str">
        <f t="shared" si="4"/>
        <v/>
      </c>
      <c r="N39" s="12" t="str">
        <f t="shared" si="5"/>
        <v/>
      </c>
      <c r="O39" s="634"/>
      <c r="P39" s="634"/>
      <c r="Q39" s="634"/>
      <c r="R39" s="34"/>
    </row>
    <row r="40" spans="2:18" ht="19.899999999999999" customHeight="1" thickTop="1" x14ac:dyDescent="0.25"/>
  </sheetData>
  <mergeCells count="65">
    <mergeCell ref="O37:Q37"/>
    <mergeCell ref="O38:Q38"/>
    <mergeCell ref="O39:Q39"/>
    <mergeCell ref="O31:Q31"/>
    <mergeCell ref="O32:Q32"/>
    <mergeCell ref="O33:Q33"/>
    <mergeCell ref="O34:Q34"/>
    <mergeCell ref="O35:Q35"/>
    <mergeCell ref="O36:Q36"/>
    <mergeCell ref="T15:U15"/>
    <mergeCell ref="O17:Q17"/>
    <mergeCell ref="O30:Q30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18:Q18"/>
    <mergeCell ref="C13:F13"/>
    <mergeCell ref="H13:O13"/>
    <mergeCell ref="Q13:R13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R15:R16"/>
    <mergeCell ref="Q12:R12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1:F11"/>
    <mergeCell ref="G11:R11"/>
    <mergeCell ref="B6:D6"/>
    <mergeCell ref="E6:F6"/>
    <mergeCell ref="G6:H6"/>
    <mergeCell ref="C12:F12"/>
    <mergeCell ref="H12:O12"/>
    <mergeCell ref="T2:U2"/>
    <mergeCell ref="E3:F3"/>
    <mergeCell ref="G3:H3"/>
    <mergeCell ref="B5:D5"/>
    <mergeCell ref="E5:F5"/>
    <mergeCell ref="G5:H5"/>
    <mergeCell ref="B4:D4"/>
    <mergeCell ref="E4:F4"/>
    <mergeCell ref="G4:H4"/>
    <mergeCell ref="B2:D3"/>
    <mergeCell ref="E2:H2"/>
  </mergeCells>
  <phoneticPr fontId="16" type="noConversion"/>
  <conditionalFormatting sqref="B17:O39 R17:R39">
    <cfRule type="containsBlanks" dxfId="27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B848-2C4B-43DE-AD74-55C77D226188}">
  <sheetPr>
    <pageSetUpPr fitToPage="1"/>
  </sheetPr>
  <dimension ref="B1:W40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98" t="s">
        <v>351</v>
      </c>
      <c r="L2" s="87" t="s">
        <v>293</v>
      </c>
      <c r="M2" s="88"/>
      <c r="N2" s="88"/>
      <c r="O2" s="88"/>
      <c r="P2" s="88"/>
      <c r="Q2" s="88"/>
      <c r="R2" s="89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99" t="s">
        <v>352</v>
      </c>
      <c r="L3" s="90"/>
      <c r="M3" s="91"/>
      <c r="N3" s="91"/>
      <c r="O3" s="91"/>
      <c r="P3" s="91"/>
      <c r="Q3" s="91"/>
      <c r="R3" s="92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1.39</v>
      </c>
      <c r="F4" s="653"/>
      <c r="G4" s="640">
        <f t="shared" ref="G4:G9" si="0">E4*$Q$13</f>
        <v>4244.96</v>
      </c>
      <c r="H4" s="641"/>
      <c r="J4" s="96">
        <v>1.3</v>
      </c>
      <c r="L4" s="90"/>
      <c r="M4" s="91"/>
      <c r="N4" s="91"/>
      <c r="O4" s="91"/>
      <c r="P4" s="91"/>
      <c r="Q4" s="91"/>
      <c r="R4" s="92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1.3904586150000005</v>
      </c>
      <c r="F5" s="654"/>
      <c r="G5" s="642">
        <f t="shared" si="0"/>
        <v>4246.3605772161163</v>
      </c>
      <c r="H5" s="643"/>
      <c r="J5" s="99" t="s">
        <v>353</v>
      </c>
      <c r="L5" s="90"/>
      <c r="M5" s="91"/>
      <c r="N5" s="91"/>
      <c r="O5" s="91"/>
      <c r="P5" s="91"/>
      <c r="Q5" s="91"/>
      <c r="R5" s="92"/>
      <c r="T5" s="36"/>
      <c r="U5" s="36"/>
    </row>
    <row r="6" spans="2:21" ht="15" customHeight="1" thickBot="1" x14ac:dyDescent="0.3">
      <c r="B6" s="649" t="s">
        <v>298</v>
      </c>
      <c r="C6" s="650"/>
      <c r="D6" s="650"/>
      <c r="E6" s="654">
        <f>E5-E9</f>
        <v>1.3904586150000005</v>
      </c>
      <c r="F6" s="654"/>
      <c r="G6" s="642">
        <f t="shared" si="0"/>
        <v>4246.3605772161163</v>
      </c>
      <c r="H6" s="643"/>
      <c r="J6" s="97">
        <f>1.05/1000</f>
        <v>1.0500000000000002E-3</v>
      </c>
      <c r="L6" s="90"/>
      <c r="M6" s="91"/>
      <c r="N6" s="91"/>
      <c r="O6" s="91"/>
      <c r="P6" s="91"/>
      <c r="Q6" s="91"/>
      <c r="R6" s="92"/>
    </row>
    <row r="7" spans="2:21" ht="15" customHeight="1" thickTop="1" x14ac:dyDescent="0.25">
      <c r="B7" s="649" t="s">
        <v>299</v>
      </c>
      <c r="C7" s="650"/>
      <c r="D7" s="650"/>
      <c r="E7" s="644">
        <f>E4-E5</f>
        <v>-4.5861500000055067E-4</v>
      </c>
      <c r="F7" s="645"/>
      <c r="G7" s="642">
        <f t="shared" si="0"/>
        <v>-1.4005772161167898</v>
      </c>
      <c r="H7" s="643"/>
      <c r="L7" s="90"/>
      <c r="M7" s="91"/>
      <c r="N7" s="91"/>
      <c r="O7" s="91"/>
      <c r="P7" s="91"/>
      <c r="Q7" s="91"/>
      <c r="R7" s="92"/>
    </row>
    <row r="8" spans="2:21" ht="15" customHeight="1" x14ac:dyDescent="0.25">
      <c r="B8" s="655" t="s">
        <v>300</v>
      </c>
      <c r="C8" s="656"/>
      <c r="D8" s="656"/>
      <c r="E8" s="657">
        <f>SUM(M:M)-E5</f>
        <v>0</v>
      </c>
      <c r="F8" s="657"/>
      <c r="G8" s="658">
        <f t="shared" si="0"/>
        <v>0</v>
      </c>
      <c r="H8" s="659"/>
      <c r="L8" s="90"/>
      <c r="M8" s="91"/>
      <c r="N8" s="91"/>
      <c r="O8" s="91"/>
      <c r="P8" s="91"/>
      <c r="Q8" s="91"/>
      <c r="R8" s="92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0</v>
      </c>
      <c r="F9" s="646"/>
      <c r="G9" s="660">
        <f t="shared" si="0"/>
        <v>0</v>
      </c>
      <c r="H9" s="661"/>
      <c r="L9" s="93"/>
      <c r="M9" s="94"/>
      <c r="N9" s="94"/>
      <c r="O9" s="94"/>
      <c r="P9" s="94"/>
      <c r="Q9" s="94"/>
      <c r="R9" s="95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RESUMO!C78</f>
        <v>D.3</v>
      </c>
      <c r="C13" s="623" t="str">
        <f>IF($B$13="","",VLOOKUP($B$13,RESUMO!$C:$F,2,FALSE))</f>
        <v>Material Betuminoso e Transportes</v>
      </c>
      <c r="D13" s="623"/>
      <c r="E13" s="623"/>
      <c r="F13" s="662"/>
      <c r="G13" s="16" t="str">
        <f>RESUMO!C81</f>
        <v>D.3.3</v>
      </c>
      <c r="H13" s="623" t="str">
        <f>IF($G$13="","",VLOOKUP($G$13,RESUMO!$C:$F,2,FALSE))</f>
        <v xml:space="preserve">Fornecimento de emulsão asfáltica Imprimer                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T</v>
      </c>
      <c r="Q13" s="621">
        <f>IF($G$13="","",VLOOKUP($G$13,RESUMO!$C:$F,4,FALSE))</f>
        <v>3053.9280575539569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354</v>
      </c>
      <c r="K15" s="9" t="s">
        <v>352</v>
      </c>
      <c r="L15" s="9" t="s">
        <v>353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333</v>
      </c>
      <c r="K16" s="10" t="s">
        <v>355</v>
      </c>
      <c r="L16" s="10" t="s">
        <v>356</v>
      </c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23">
        <f>'D.2.5'!L17</f>
        <v>427.79700000000003</v>
      </c>
      <c r="K17" s="23">
        <f>J4</f>
        <v>1.3</v>
      </c>
      <c r="L17" s="23">
        <f>J6</f>
        <v>1.0500000000000002E-3</v>
      </c>
      <c r="M17" s="23">
        <f>IF(J17="","",J17*K17*L17)</f>
        <v>0.58394290500000012</v>
      </c>
      <c r="N17" s="23">
        <f>IF(OR(B17="",M17=""),"",IF(AND(N16="",R17=""),N16,SUM(M17,N16)))</f>
        <v>0.58394290500000012</v>
      </c>
      <c r="O17" s="612" t="s">
        <v>326</v>
      </c>
      <c r="P17" s="612"/>
      <c r="Q17" s="612"/>
      <c r="R17" s="24">
        <v>1</v>
      </c>
      <c r="T17" s="84" t="s">
        <v>156</v>
      </c>
      <c r="U17" s="83" t="str">
        <f>IF($T17="","",VLOOKUP($T17,RESUMO!$C:$D,2,FALSE))</f>
        <v>Imprimadura betuminosa impermeabilizante</v>
      </c>
      <c r="W17" s="85" t="str">
        <f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">
        <f>'D.2.5'!L18</f>
        <v>590.85400000000004</v>
      </c>
      <c r="K18" s="11">
        <f>J4</f>
        <v>1.3</v>
      </c>
      <c r="L18" s="11">
        <f>J6</f>
        <v>1.0500000000000002E-3</v>
      </c>
      <c r="M18" s="11">
        <f t="shared" ref="M18:M39" si="1">IF(J18="","",J18*K18*L18)</f>
        <v>0.80651571000000022</v>
      </c>
      <c r="N18" s="11">
        <f t="shared" ref="N18:N30" si="2">IF(B18="","",IF(OR(N17="",R18=""),N17,SUM(M18,N17)))</f>
        <v>1.3904586150000005</v>
      </c>
      <c r="O18" s="612" t="s">
        <v>326</v>
      </c>
      <c r="P18" s="612"/>
      <c r="Q18" s="612"/>
      <c r="R18" s="29">
        <v>1</v>
      </c>
      <c r="T18" s="84" t="s">
        <v>160</v>
      </c>
      <c r="U18" s="83" t="str">
        <f>IF($T18="","",VLOOKUP($T18,RESUMO!$C:$D,2,FALSE))</f>
        <v>Fornecimento de CAP modificado com adição de polímero</v>
      </c>
      <c r="W18" s="85" t="str">
        <f>HYPERLINK("#"&amp;"'"&amp;T18&amp;"'"&amp;"!A1","LINK")</f>
        <v>LINK</v>
      </c>
    </row>
    <row r="19" spans="2:23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11" t="str">
        <f t="shared" si="1"/>
        <v/>
      </c>
      <c r="N19" s="11" t="str">
        <f t="shared" si="2"/>
        <v/>
      </c>
      <c r="O19" s="612"/>
      <c r="P19" s="612"/>
      <c r="Q19" s="612"/>
      <c r="R19" s="29"/>
      <c r="T19" s="84" t="s">
        <v>161</v>
      </c>
      <c r="U19" s="83" t="str">
        <f>IF($T19="","",VLOOKUP($T19,RESUMO!$C:$D,2,FALSE))</f>
        <v xml:space="preserve">Fornecimento de emulsão asfáltica tipo RR-1C                                </v>
      </c>
      <c r="W19" s="85" t="str">
        <f t="shared" ref="W19:W23" si="3">HYPERLINK("#"&amp;"'"&amp;T19&amp;"'"&amp;"!A1","LINK")</f>
        <v>LINK</v>
      </c>
    </row>
    <row r="20" spans="2:23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 t="str">
        <f t="shared" si="1"/>
        <v/>
      </c>
      <c r="N20" s="11" t="str">
        <f t="shared" si="2"/>
        <v/>
      </c>
      <c r="O20" s="612"/>
      <c r="P20" s="612"/>
      <c r="Q20" s="612"/>
      <c r="R20" s="29"/>
      <c r="T20" s="84" t="s">
        <v>162</v>
      </c>
      <c r="U20" s="83" t="str">
        <f>IF($T20="","",VLOOKUP($T20,RESUMO!$C:$D,2,FALSE))</f>
        <v xml:space="preserve">Fornecimento de emulsão asfáltica Imprimer                </v>
      </c>
      <c r="W20" s="85" t="str">
        <f t="shared" si="3"/>
        <v>LINK</v>
      </c>
    </row>
    <row r="21" spans="2:23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 t="str">
        <f t="shared" si="1"/>
        <v/>
      </c>
      <c r="N21" s="11" t="str">
        <f t="shared" si="2"/>
        <v/>
      </c>
      <c r="O21" s="612"/>
      <c r="P21" s="612"/>
      <c r="Q21" s="612"/>
      <c r="R21" s="29"/>
      <c r="T21" s="84" t="s">
        <v>163</v>
      </c>
      <c r="U21" s="83" t="str">
        <f>IF($T21="","",VLOOKUP($T21,RESUMO!$C:$D,2,FALSE))</f>
        <v xml:space="preserve">Transporte com caminhão basculante de 14 m³ - rodovia pavimentada  - Agregados  </v>
      </c>
      <c r="W21" s="85" t="str">
        <f t="shared" si="3"/>
        <v>LINK</v>
      </c>
    </row>
    <row r="22" spans="2:23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 t="str">
        <f t="shared" si="1"/>
        <v/>
      </c>
      <c r="N22" s="11" t="str">
        <f t="shared" si="2"/>
        <v/>
      </c>
      <c r="O22" s="612"/>
      <c r="P22" s="612"/>
      <c r="Q22" s="612"/>
      <c r="R22" s="29"/>
      <c r="T22" s="84" t="s">
        <v>164</v>
      </c>
      <c r="U22" s="83" t="str">
        <f>IF($T22="","",VLOOKUP($T22,RESUMO!$C:$D,2,FALSE))</f>
        <v xml:space="preserve">Transporte com caminhão basculante de 14 m³ - rodovia pavimentada  - Massa Asfaltica  </v>
      </c>
      <c r="W22" s="85" t="str">
        <f t="shared" si="3"/>
        <v>LINK</v>
      </c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 t="shared" si="1"/>
        <v/>
      </c>
      <c r="N23" s="11" t="str">
        <f t="shared" si="2"/>
        <v/>
      </c>
      <c r="O23" s="612"/>
      <c r="P23" s="612"/>
      <c r="Q23" s="612"/>
      <c r="R23" s="29"/>
      <c r="T23" s="84" t="s">
        <v>165</v>
      </c>
      <c r="U23" s="83" t="str">
        <f>IF($T23="","",VLOOKUP($T23,RESUMO!$C:$D,2,FALSE))</f>
        <v>Transporte com caminhão basculante de 14 m³ - rodovia pavimentada  - Materiais Betuminosos</v>
      </c>
      <c r="W23" s="85" t="str">
        <f t="shared" si="3"/>
        <v>LINK</v>
      </c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 t="shared" si="1"/>
        <v/>
      </c>
      <c r="N24" s="11" t="str">
        <f t="shared" si="2"/>
        <v/>
      </c>
      <c r="O24" s="612"/>
      <c r="P24" s="612"/>
      <c r="Q24" s="612"/>
      <c r="R24" s="29"/>
      <c r="T24" s="84"/>
      <c r="U24" s="83"/>
      <c r="W24" s="85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 t="shared" si="1"/>
        <v/>
      </c>
      <c r="N25" s="11" t="str">
        <f t="shared" si="2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 t="shared" si="1"/>
        <v/>
      </c>
      <c r="N26" s="11" t="str">
        <f t="shared" si="2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 t="shared" si="1"/>
        <v/>
      </c>
      <c r="N27" s="11" t="str">
        <f t="shared" si="2"/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 t="shared" si="1"/>
        <v/>
      </c>
      <c r="N28" s="11" t="str">
        <f t="shared" si="2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 t="shared" si="1"/>
        <v/>
      </c>
      <c r="N29" s="11" t="str">
        <f t="shared" si="2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 t="shared" si="1"/>
        <v/>
      </c>
      <c r="N30" s="11" t="str">
        <f t="shared" si="2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 t="shared" si="1"/>
        <v/>
      </c>
      <c r="N31" s="11" t="str">
        <f t="shared" ref="N31:N39" si="4">IF(B31="","",IF(OR(N30="",R31=""),N30,SUM(M31,N30)))</f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 t="shared" si="1"/>
        <v/>
      </c>
      <c r="N32" s="11" t="str">
        <f t="shared" si="4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 t="shared" si="1"/>
        <v/>
      </c>
      <c r="N33" s="11" t="str">
        <f t="shared" si="4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 t="shared" si="1"/>
        <v/>
      </c>
      <c r="N34" s="11" t="str">
        <f t="shared" si="4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 t="shared" si="1"/>
        <v/>
      </c>
      <c r="N35" s="11" t="str">
        <f t="shared" si="4"/>
        <v/>
      </c>
      <c r="O35" s="612"/>
      <c r="P35" s="612"/>
      <c r="Q35" s="612"/>
      <c r="R35" s="29"/>
    </row>
    <row r="36" spans="2:18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"/>
      <c r="K36" s="11"/>
      <c r="L36" s="11"/>
      <c r="M36" s="11" t="str">
        <f t="shared" si="1"/>
        <v/>
      </c>
      <c r="N36" s="11" t="str">
        <f t="shared" si="4"/>
        <v/>
      </c>
      <c r="O36" s="612"/>
      <c r="P36" s="612"/>
      <c r="Q36" s="612"/>
      <c r="R36" s="29"/>
    </row>
    <row r="37" spans="2:18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"/>
      <c r="K37" s="11"/>
      <c r="L37" s="11"/>
      <c r="M37" s="11" t="str">
        <f t="shared" si="1"/>
        <v/>
      </c>
      <c r="N37" s="11" t="str">
        <f t="shared" si="4"/>
        <v/>
      </c>
      <c r="O37" s="612"/>
      <c r="P37" s="612"/>
      <c r="Q37" s="612"/>
      <c r="R37" s="29"/>
    </row>
    <row r="38" spans="2:18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"/>
      <c r="K38" s="11"/>
      <c r="L38" s="11"/>
      <c r="M38" s="11" t="str">
        <f t="shared" si="1"/>
        <v/>
      </c>
      <c r="N38" s="11" t="str">
        <f t="shared" si="4"/>
        <v/>
      </c>
      <c r="O38" s="612"/>
      <c r="P38" s="612"/>
      <c r="Q38" s="612"/>
      <c r="R38" s="29"/>
    </row>
    <row r="39" spans="2:18" ht="19.899999999999999" customHeight="1" thickBot="1" x14ac:dyDescent="0.3">
      <c r="B39" s="30"/>
      <c r="C39" s="31"/>
      <c r="D39" s="32"/>
      <c r="E39" s="33"/>
      <c r="F39" s="32"/>
      <c r="G39" s="33"/>
      <c r="H39" s="31"/>
      <c r="I39" s="12"/>
      <c r="J39" s="12"/>
      <c r="K39" s="12"/>
      <c r="L39" s="12"/>
      <c r="M39" s="12" t="str">
        <f t="shared" si="1"/>
        <v/>
      </c>
      <c r="N39" s="12" t="str">
        <f t="shared" si="4"/>
        <v/>
      </c>
      <c r="O39" s="634"/>
      <c r="P39" s="634"/>
      <c r="Q39" s="634"/>
      <c r="R39" s="34"/>
    </row>
    <row r="40" spans="2:18" ht="19.899999999999999" customHeight="1" thickTop="1" x14ac:dyDescent="0.25"/>
  </sheetData>
  <mergeCells count="65">
    <mergeCell ref="O37:Q37"/>
    <mergeCell ref="O38:Q38"/>
    <mergeCell ref="O39:Q39"/>
    <mergeCell ref="O31:Q31"/>
    <mergeCell ref="O32:Q32"/>
    <mergeCell ref="O33:Q33"/>
    <mergeCell ref="O34:Q34"/>
    <mergeCell ref="O35:Q35"/>
    <mergeCell ref="O36:Q36"/>
    <mergeCell ref="T15:U15"/>
    <mergeCell ref="O17:Q17"/>
    <mergeCell ref="O30:Q30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18:Q18"/>
    <mergeCell ref="C13:F13"/>
    <mergeCell ref="H13:O13"/>
    <mergeCell ref="Q13:R13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R15:R16"/>
    <mergeCell ref="Q12:R12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1:F11"/>
    <mergeCell ref="G11:R11"/>
    <mergeCell ref="B6:D6"/>
    <mergeCell ref="E6:F6"/>
    <mergeCell ref="G6:H6"/>
    <mergeCell ref="C12:F12"/>
    <mergeCell ref="H12:O12"/>
    <mergeCell ref="T2:U2"/>
    <mergeCell ref="E3:F3"/>
    <mergeCell ref="G3:H3"/>
    <mergeCell ref="B5:D5"/>
    <mergeCell ref="E5:F5"/>
    <mergeCell ref="G5:H5"/>
    <mergeCell ref="B4:D4"/>
    <mergeCell ref="E4:F4"/>
    <mergeCell ref="G4:H4"/>
    <mergeCell ref="B2:D3"/>
    <mergeCell ref="E2:H2"/>
  </mergeCells>
  <phoneticPr fontId="16" type="noConversion"/>
  <conditionalFormatting sqref="B17:O39 R17:R39">
    <cfRule type="containsBlanks" dxfId="26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0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DE3A-EBA6-410C-B289-DE49D4020234}">
  <sheetPr>
    <pageSetUpPr fitToPage="1"/>
  </sheetPr>
  <dimension ref="B1:AB48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9" width="12.7109375" style="3" customWidth="1"/>
    <col min="20" max="20" width="20.7109375" style="3" customWidth="1"/>
    <col min="21" max="22" width="10.7109375" style="3" customWidth="1"/>
    <col min="23" max="16384" width="10.7109375" style="3"/>
  </cols>
  <sheetData>
    <row r="1" spans="2:26" ht="19.899999999999999" customHeight="1" thickBot="1" x14ac:dyDescent="0.3"/>
    <row r="2" spans="2:26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77" t="s">
        <v>358</v>
      </c>
      <c r="K2" s="678"/>
      <c r="L2" s="679"/>
      <c r="M2" s="112"/>
      <c r="N2" s="631" t="s">
        <v>293</v>
      </c>
      <c r="O2" s="632"/>
      <c r="P2" s="632"/>
      <c r="Q2" s="632"/>
      <c r="R2" s="632"/>
      <c r="S2" s="632"/>
      <c r="T2" s="632"/>
      <c r="U2" s="632"/>
      <c r="V2" s="632"/>
      <c r="W2" s="633"/>
      <c r="Y2" s="611" t="s">
        <v>294</v>
      </c>
      <c r="Z2" s="611"/>
    </row>
    <row r="3" spans="2:26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100" t="s">
        <v>359</v>
      </c>
      <c r="K3" s="101" t="s">
        <v>360</v>
      </c>
      <c r="L3" s="102" t="s">
        <v>361</v>
      </c>
      <c r="M3" s="112"/>
      <c r="N3" s="613"/>
      <c r="O3" s="614"/>
      <c r="P3" s="614"/>
      <c r="Q3" s="614"/>
      <c r="R3" s="614"/>
      <c r="S3" s="614"/>
      <c r="T3" s="614"/>
      <c r="U3" s="614"/>
      <c r="V3" s="614"/>
      <c r="W3" s="615"/>
      <c r="Y3" s="36"/>
      <c r="Z3" s="36"/>
    </row>
    <row r="4" spans="2:26" ht="15" customHeight="1" x14ac:dyDescent="0.25">
      <c r="B4" s="647" t="s">
        <v>296</v>
      </c>
      <c r="C4" s="648"/>
      <c r="D4" s="648"/>
      <c r="E4" s="653">
        <f>IF($G$13="","",VLOOKUP($G$13,RESUMO!$C:$G,5,FALSE))</f>
        <v>45369.07</v>
      </c>
      <c r="F4" s="653"/>
      <c r="G4" s="640">
        <f t="shared" ref="G4:G9" si="0">E4*$V$13</f>
        <v>48091.22</v>
      </c>
      <c r="H4" s="641"/>
      <c r="J4" s="107" t="s">
        <v>362</v>
      </c>
      <c r="K4" s="103">
        <v>45762</v>
      </c>
      <c r="L4" s="104">
        <f>1-'C.3.3'!L4</f>
        <v>0.94899999999999995</v>
      </c>
      <c r="M4" s="112"/>
      <c r="N4" s="613"/>
      <c r="O4" s="614"/>
      <c r="P4" s="614"/>
      <c r="Q4" s="614"/>
      <c r="R4" s="614"/>
      <c r="S4" s="614"/>
      <c r="T4" s="614"/>
      <c r="U4" s="614"/>
      <c r="V4" s="614"/>
      <c r="W4" s="615"/>
      <c r="Y4" s="36"/>
      <c r="Z4" s="36"/>
    </row>
    <row r="5" spans="2:26" ht="15" customHeight="1" x14ac:dyDescent="0.25">
      <c r="B5" s="649" t="s">
        <v>297</v>
      </c>
      <c r="C5" s="650"/>
      <c r="D5" s="650"/>
      <c r="E5" s="654">
        <f>SUMIFS(R:R,W:W,"&lt;&gt;")</f>
        <v>45369.073156375147</v>
      </c>
      <c r="F5" s="654"/>
      <c r="G5" s="642">
        <f t="shared" si="0"/>
        <v>48091.223345758059</v>
      </c>
      <c r="H5" s="643"/>
      <c r="J5" s="107" t="s">
        <v>363</v>
      </c>
      <c r="K5" s="103">
        <v>45826</v>
      </c>
      <c r="L5" s="104">
        <f>1-'C.3.3'!L5</f>
        <v>0.95469999999999999</v>
      </c>
      <c r="M5" s="112"/>
      <c r="N5" s="613"/>
      <c r="O5" s="614"/>
      <c r="P5" s="614"/>
      <c r="Q5" s="614"/>
      <c r="R5" s="614"/>
      <c r="S5" s="614"/>
      <c r="T5" s="614"/>
      <c r="U5" s="614"/>
      <c r="V5" s="614"/>
      <c r="W5" s="615"/>
      <c r="Y5" s="36"/>
      <c r="Z5" s="36"/>
    </row>
    <row r="6" spans="2:26" ht="15" customHeight="1" x14ac:dyDescent="0.25">
      <c r="B6" s="649" t="s">
        <v>298</v>
      </c>
      <c r="C6" s="650"/>
      <c r="D6" s="650"/>
      <c r="E6" s="654">
        <f>E5-E9</f>
        <v>45369.073156375147</v>
      </c>
      <c r="F6" s="654"/>
      <c r="G6" s="642">
        <f t="shared" si="0"/>
        <v>48091.223345758059</v>
      </c>
      <c r="H6" s="643"/>
      <c r="J6" s="107" t="s">
        <v>364</v>
      </c>
      <c r="K6" s="103">
        <v>45807</v>
      </c>
      <c r="L6" s="104">
        <f>1-'C.3.3'!L6</f>
        <v>0.95399999999999996</v>
      </c>
      <c r="M6" s="112"/>
      <c r="N6" s="613"/>
      <c r="O6" s="614"/>
      <c r="P6" s="614"/>
      <c r="Q6" s="614"/>
      <c r="R6" s="614"/>
      <c r="S6" s="614"/>
      <c r="T6" s="614"/>
      <c r="U6" s="614"/>
      <c r="V6" s="614"/>
      <c r="W6" s="615"/>
    </row>
    <row r="7" spans="2:26" ht="15" customHeight="1" x14ac:dyDescent="0.25">
      <c r="B7" s="649" t="s">
        <v>299</v>
      </c>
      <c r="C7" s="650"/>
      <c r="D7" s="650"/>
      <c r="E7" s="644">
        <f>E4-E5</f>
        <v>-3.1563751472276635E-3</v>
      </c>
      <c r="F7" s="645"/>
      <c r="G7" s="642">
        <f t="shared" si="0"/>
        <v>-3.3457580595735808E-3</v>
      </c>
      <c r="H7" s="643"/>
      <c r="J7" s="107" t="s">
        <v>365</v>
      </c>
      <c r="K7" s="103">
        <v>45790</v>
      </c>
      <c r="L7" s="104">
        <f>1-'C.3.3'!L7</f>
        <v>0.95220000000000005</v>
      </c>
      <c r="M7" s="112"/>
      <c r="N7" s="613"/>
      <c r="O7" s="614"/>
      <c r="P7" s="614"/>
      <c r="Q7" s="614"/>
      <c r="R7" s="614"/>
      <c r="S7" s="614"/>
      <c r="T7" s="614"/>
      <c r="U7" s="614"/>
      <c r="V7" s="614"/>
      <c r="W7" s="615"/>
    </row>
    <row r="8" spans="2:26" ht="15" customHeight="1" thickBot="1" x14ac:dyDescent="0.3">
      <c r="B8" s="655" t="s">
        <v>300</v>
      </c>
      <c r="C8" s="656"/>
      <c r="D8" s="656"/>
      <c r="E8" s="657">
        <f>SUM(R:R)-E5</f>
        <v>0</v>
      </c>
      <c r="F8" s="657"/>
      <c r="G8" s="658">
        <f t="shared" si="0"/>
        <v>0</v>
      </c>
      <c r="H8" s="659"/>
      <c r="J8" s="108" t="s">
        <v>366</v>
      </c>
      <c r="K8" s="105">
        <v>45799</v>
      </c>
      <c r="L8" s="106">
        <f>1-'C.3.3'!L8</f>
        <v>0.95499999999999996</v>
      </c>
      <c r="M8" s="112"/>
      <c r="N8" s="613"/>
      <c r="O8" s="614"/>
      <c r="P8" s="614"/>
      <c r="Q8" s="614"/>
      <c r="R8" s="614"/>
      <c r="S8" s="614"/>
      <c r="T8" s="614"/>
      <c r="U8" s="614"/>
      <c r="V8" s="614"/>
      <c r="W8" s="615"/>
    </row>
    <row r="9" spans="2:26" ht="15" customHeight="1" thickTop="1" thickBot="1" x14ac:dyDescent="0.3">
      <c r="B9" s="651" t="s">
        <v>301</v>
      </c>
      <c r="C9" s="652"/>
      <c r="D9" s="652"/>
      <c r="E9" s="646">
        <f>SUMIF(W:W,CAPA!$I$2,R:R)</f>
        <v>0</v>
      </c>
      <c r="F9" s="646"/>
      <c r="G9" s="660">
        <f t="shared" si="0"/>
        <v>0</v>
      </c>
      <c r="H9" s="661"/>
      <c r="N9" s="616"/>
      <c r="O9" s="617"/>
      <c r="P9" s="617"/>
      <c r="Q9" s="617"/>
      <c r="R9" s="617"/>
      <c r="S9" s="617"/>
      <c r="T9" s="617"/>
      <c r="U9" s="617"/>
      <c r="V9" s="617"/>
      <c r="W9" s="618"/>
    </row>
    <row r="10" spans="2:26" ht="10.15" customHeight="1" thickTop="1" thickBot="1" x14ac:dyDescent="0.3"/>
    <row r="11" spans="2:26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5"/>
      <c r="U11" s="625"/>
      <c r="V11" s="625"/>
      <c r="W11" s="626"/>
    </row>
    <row r="12" spans="2:26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619"/>
      <c r="R12" s="619"/>
      <c r="S12" s="619"/>
      <c r="T12" s="619"/>
      <c r="U12" s="14" t="s">
        <v>303</v>
      </c>
      <c r="V12" s="619" t="s">
        <v>304</v>
      </c>
      <c r="W12" s="620"/>
    </row>
    <row r="13" spans="2:26" s="8" customFormat="1" ht="30" customHeight="1" thickBot="1" x14ac:dyDescent="0.3">
      <c r="B13" s="15" t="str">
        <f>RESUMO!C78</f>
        <v>D.3</v>
      </c>
      <c r="C13" s="623" t="str">
        <f>IF($B$13="","",VLOOKUP($B$13,RESUMO!$C:$F,2,FALSE))</f>
        <v>Material Betuminoso e Transportes</v>
      </c>
      <c r="D13" s="623"/>
      <c r="E13" s="623"/>
      <c r="F13" s="662"/>
      <c r="G13" s="16" t="str">
        <f>RESUMO!C82</f>
        <v>D.3.4</v>
      </c>
      <c r="H13" s="623" t="str">
        <f>IF($G$13="","",VLOOKUP($G$13,RESUMO!$C:$F,2,FALSE))</f>
        <v xml:space="preserve">Transporte com caminhão basculante de 14 m³ - rodovia pavimentada  - Agregados  </v>
      </c>
      <c r="I13" s="623"/>
      <c r="J13" s="623"/>
      <c r="K13" s="623"/>
      <c r="L13" s="623"/>
      <c r="M13" s="623"/>
      <c r="N13" s="623"/>
      <c r="O13" s="623"/>
      <c r="P13" s="623"/>
      <c r="Q13" s="623"/>
      <c r="R13" s="623"/>
      <c r="S13" s="623"/>
      <c r="T13" s="623"/>
      <c r="U13" s="17" t="str">
        <f>IF($G$13="","",VLOOKUP($G$13,RESUMO!$C:$F,3,FALSE))</f>
        <v>T x Km</v>
      </c>
      <c r="V13" s="621">
        <f>IF($G$13="","",VLOOKUP($G$13,RESUMO!$C:$F,4,FALSE))</f>
        <v>1.0600001278403988</v>
      </c>
      <c r="W13" s="622"/>
    </row>
    <row r="14" spans="2:26" ht="10.15" customHeight="1" thickTop="1" thickBot="1" x14ac:dyDescent="0.3"/>
    <row r="15" spans="2:26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672" t="s">
        <v>327</v>
      </c>
      <c r="K15" s="627" t="s">
        <v>328</v>
      </c>
      <c r="L15" s="627"/>
      <c r="M15" s="9" t="s">
        <v>371</v>
      </c>
      <c r="N15" s="9" t="s">
        <v>330</v>
      </c>
      <c r="O15" s="9" t="s">
        <v>352</v>
      </c>
      <c r="P15" s="672" t="s">
        <v>332</v>
      </c>
      <c r="Q15" s="9" t="s">
        <v>331</v>
      </c>
      <c r="R15" s="672" t="s">
        <v>310</v>
      </c>
      <c r="S15" s="627" t="s">
        <v>311</v>
      </c>
      <c r="T15" s="627" t="s">
        <v>312</v>
      </c>
      <c r="U15" s="627"/>
      <c r="V15" s="627"/>
      <c r="W15" s="629" t="s">
        <v>27</v>
      </c>
      <c r="Y15" s="611" t="s">
        <v>313</v>
      </c>
      <c r="Z15" s="611"/>
    </row>
    <row r="16" spans="2:26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73"/>
      <c r="K16" s="10" t="s">
        <v>314</v>
      </c>
      <c r="L16" s="10" t="s">
        <v>315</v>
      </c>
      <c r="M16" s="10" t="s">
        <v>368</v>
      </c>
      <c r="N16" s="10" t="s">
        <v>334</v>
      </c>
      <c r="O16" s="10" t="s">
        <v>369</v>
      </c>
      <c r="P16" s="673"/>
      <c r="Q16" s="10" t="s">
        <v>335</v>
      </c>
      <c r="R16" s="673"/>
      <c r="S16" s="628"/>
      <c r="T16" s="628"/>
      <c r="U16" s="628"/>
      <c r="V16" s="628"/>
      <c r="W16" s="630"/>
      <c r="Y16" s="35" t="s">
        <v>269</v>
      </c>
      <c r="Z16" s="35" t="s">
        <v>47</v>
      </c>
    </row>
    <row r="17" spans="2:28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109" t="s">
        <v>372</v>
      </c>
      <c r="K17" s="21"/>
      <c r="L17" s="22"/>
      <c r="M17" s="23"/>
      <c r="N17" s="119">
        <f>'D.2.3'!N17</f>
        <v>213.89850000000001</v>
      </c>
      <c r="O17" s="23"/>
      <c r="P17" s="23">
        <v>1.6</v>
      </c>
      <c r="Q17" s="23">
        <v>38.700000000000003</v>
      </c>
      <c r="R17" s="23">
        <f>IF(N17="","",N17*P17*Q17)</f>
        <v>13244.595120000002</v>
      </c>
      <c r="S17" s="23">
        <f>IF(OR(B17="",R17=""),"",IF(AND(S16="",W17=""),S16,SUM(R17,S16)))</f>
        <v>13244.595120000002</v>
      </c>
      <c r="T17" s="635" t="s">
        <v>373</v>
      </c>
      <c r="U17" s="635"/>
      <c r="V17" s="635"/>
      <c r="W17" s="24">
        <v>1</v>
      </c>
      <c r="Y17" s="84" t="s">
        <v>160</v>
      </c>
      <c r="Z17" s="83" t="str">
        <f>IF($Y17="","",VLOOKUP($Y17,RESUMO!$C:$D,2,FALSE))</f>
        <v>Fornecimento de CAP modificado com adição de polímero</v>
      </c>
      <c r="AB17" s="85" t="str">
        <f>HYPERLINK("#"&amp;"'"&amp;Y17&amp;"'"&amp;"!A1","LINK")</f>
        <v>LINK</v>
      </c>
    </row>
    <row r="18" spans="2:28" ht="19.899999999999999" customHeight="1" x14ac:dyDescent="0.25">
      <c r="B18" s="25" t="s">
        <v>316</v>
      </c>
      <c r="C18" s="26" t="s">
        <v>306</v>
      </c>
      <c r="D18" s="27">
        <v>307</v>
      </c>
      <c r="E18" s="28">
        <v>90</v>
      </c>
      <c r="F18" s="27"/>
      <c r="G18" s="28"/>
      <c r="H18" s="26" t="s">
        <v>306</v>
      </c>
      <c r="I18" s="11" t="s">
        <v>325</v>
      </c>
      <c r="J18" s="110" t="s">
        <v>372</v>
      </c>
      <c r="K18" s="27"/>
      <c r="L18" s="28"/>
      <c r="M18" s="11"/>
      <c r="N18" s="120">
        <f>'D.2.4'!N17</f>
        <v>85.559400000000011</v>
      </c>
      <c r="O18" s="11"/>
      <c r="P18" s="11">
        <v>1.7</v>
      </c>
      <c r="Q18" s="11">
        <v>38.700000000000003</v>
      </c>
      <c r="R18" s="11">
        <f>N18*P18*Q18</f>
        <v>5628.9529260000008</v>
      </c>
      <c r="S18" s="11">
        <f>IF(B18="","",IF(OR(S17="",W18=""),S17,SUM(R18,S17)))</f>
        <v>18873.548046000004</v>
      </c>
      <c r="T18" s="612" t="s">
        <v>374</v>
      </c>
      <c r="U18" s="612"/>
      <c r="V18" s="612"/>
      <c r="W18" s="29">
        <v>1</v>
      </c>
      <c r="Y18" s="84" t="s">
        <v>161</v>
      </c>
      <c r="Z18" s="83" t="str">
        <f>IF($Y18="","",VLOOKUP($Y18,RESUMO!$C:$D,2,FALSE))</f>
        <v xml:space="preserve">Fornecimento de emulsão asfáltica tipo RR-1C                                </v>
      </c>
      <c r="AB18" s="85" t="str">
        <f t="shared" ref="AB18:AB22" si="1">HYPERLINK("#"&amp;"'"&amp;Y18&amp;"'"&amp;"!A1","LINK")</f>
        <v>LINK</v>
      </c>
    </row>
    <row r="19" spans="2:28" ht="19.899999999999999" customHeight="1" x14ac:dyDescent="0.25">
      <c r="B19" s="25" t="s">
        <v>316</v>
      </c>
      <c r="C19" s="26" t="s">
        <v>306</v>
      </c>
      <c r="D19" s="27">
        <v>307</v>
      </c>
      <c r="E19" s="28">
        <v>90</v>
      </c>
      <c r="F19" s="27"/>
      <c r="G19" s="28"/>
      <c r="H19" s="26" t="s">
        <v>306</v>
      </c>
      <c r="I19" s="11" t="s">
        <v>325</v>
      </c>
      <c r="J19" s="110" t="s">
        <v>372</v>
      </c>
      <c r="K19" s="27"/>
      <c r="L19" s="28"/>
      <c r="M19" s="11">
        <f>'D.2.7'!O17</f>
        <v>77.901833699999997</v>
      </c>
      <c r="N19" s="120"/>
      <c r="O19" s="11">
        <f>L4</f>
        <v>0.94899999999999995</v>
      </c>
      <c r="P19" s="11"/>
      <c r="Q19" s="11">
        <v>0.6</v>
      </c>
      <c r="R19" s="11">
        <f>M19*O19*Q19</f>
        <v>44.357304108779992</v>
      </c>
      <c r="S19" s="11">
        <f t="shared" ref="S19:S47" si="2">IF(B19="","",IF(OR(S18="",W19=""),S18,SUM(R19,S18)))</f>
        <v>18917.905350108784</v>
      </c>
      <c r="T19" s="612" t="s">
        <v>377</v>
      </c>
      <c r="U19" s="612"/>
      <c r="V19" s="612"/>
      <c r="W19" s="29">
        <v>1</v>
      </c>
      <c r="Y19" s="84" t="s">
        <v>162</v>
      </c>
      <c r="Z19" s="83" t="str">
        <f>IF($Y19="","",VLOOKUP($Y19,RESUMO!$C:$D,2,FALSE))</f>
        <v xml:space="preserve">Fornecimento de emulsão asfáltica Imprimer                </v>
      </c>
      <c r="AB19" s="85" t="str">
        <f t="shared" si="1"/>
        <v>LINK</v>
      </c>
    </row>
    <row r="20" spans="2:28" ht="19.899999999999999" customHeight="1" x14ac:dyDescent="0.25">
      <c r="B20" s="25" t="s">
        <v>316</v>
      </c>
      <c r="C20" s="26" t="s">
        <v>306</v>
      </c>
      <c r="D20" s="27">
        <v>306</v>
      </c>
      <c r="E20" s="28">
        <v>730</v>
      </c>
      <c r="F20" s="27"/>
      <c r="G20" s="28"/>
      <c r="H20" s="26" t="s">
        <v>306</v>
      </c>
      <c r="I20" s="11" t="s">
        <v>325</v>
      </c>
      <c r="J20" s="110" t="s">
        <v>372</v>
      </c>
      <c r="K20" s="27"/>
      <c r="L20" s="28"/>
      <c r="M20" s="11"/>
      <c r="N20" s="120">
        <f>'D.2.3'!N18</f>
        <v>295.42700000000002</v>
      </c>
      <c r="O20" s="11"/>
      <c r="P20" s="11">
        <v>1.6</v>
      </c>
      <c r="Q20" s="11">
        <v>39.1</v>
      </c>
      <c r="R20" s="11">
        <f>N20*P20*Q20</f>
        <v>18481.913120000001</v>
      </c>
      <c r="S20" s="11">
        <f t="shared" si="2"/>
        <v>37399.818470108788</v>
      </c>
      <c r="T20" s="612" t="s">
        <v>373</v>
      </c>
      <c r="U20" s="612"/>
      <c r="V20" s="612"/>
      <c r="W20" s="29">
        <v>1</v>
      </c>
      <c r="Y20" s="84" t="s">
        <v>163</v>
      </c>
      <c r="Z20" s="83" t="str">
        <f>IF($Y20="","",VLOOKUP($Y20,RESUMO!$C:$D,2,FALSE))</f>
        <v xml:space="preserve">Transporte com caminhão basculante de 14 m³ - rodovia pavimentada  - Agregados  </v>
      </c>
      <c r="AB20" s="85" t="str">
        <f t="shared" si="1"/>
        <v>LINK</v>
      </c>
    </row>
    <row r="21" spans="2:28" ht="19.899999999999999" customHeight="1" x14ac:dyDescent="0.25">
      <c r="B21" s="25" t="s">
        <v>316</v>
      </c>
      <c r="C21" s="26" t="s">
        <v>306</v>
      </c>
      <c r="D21" s="27">
        <v>306</v>
      </c>
      <c r="E21" s="28">
        <v>730</v>
      </c>
      <c r="F21" s="27"/>
      <c r="G21" s="28"/>
      <c r="H21" s="26" t="s">
        <v>306</v>
      </c>
      <c r="I21" s="11" t="s">
        <v>325</v>
      </c>
      <c r="J21" s="110" t="s">
        <v>372</v>
      </c>
      <c r="K21" s="27"/>
      <c r="L21" s="28"/>
      <c r="M21" s="11"/>
      <c r="N21" s="120">
        <f>'D.2.4'!N18</f>
        <v>118.17080000000001</v>
      </c>
      <c r="O21" s="11"/>
      <c r="P21" s="11">
        <v>1.7</v>
      </c>
      <c r="Q21" s="11">
        <v>39.1</v>
      </c>
      <c r="R21" s="11">
        <f>N21*P21*Q21</f>
        <v>7854.8130760000013</v>
      </c>
      <c r="S21" s="11">
        <f t="shared" si="2"/>
        <v>45254.631546108787</v>
      </c>
      <c r="T21" s="612" t="s">
        <v>374</v>
      </c>
      <c r="U21" s="612"/>
      <c r="V21" s="612"/>
      <c r="W21" s="29">
        <v>1</v>
      </c>
      <c r="Y21" s="84" t="s">
        <v>164</v>
      </c>
      <c r="Z21" s="83" t="str">
        <f>IF($Y21="","",VLOOKUP($Y21,RESUMO!$C:$D,2,FALSE))</f>
        <v xml:space="preserve">Transporte com caminhão basculante de 14 m³ - rodovia pavimentada  - Massa Asfaltica  </v>
      </c>
      <c r="AB21" s="85" t="str">
        <f t="shared" si="1"/>
        <v>LINK</v>
      </c>
    </row>
    <row r="22" spans="2:28" ht="19.899999999999999" customHeight="1" x14ac:dyDescent="0.25">
      <c r="B22" s="25" t="s">
        <v>316</v>
      </c>
      <c r="C22" s="26" t="s">
        <v>306</v>
      </c>
      <c r="D22" s="27">
        <v>306</v>
      </c>
      <c r="E22" s="28">
        <v>730</v>
      </c>
      <c r="F22" s="27"/>
      <c r="G22" s="28"/>
      <c r="H22" s="26" t="s">
        <v>306</v>
      </c>
      <c r="I22" s="11" t="s">
        <v>325</v>
      </c>
      <c r="J22" s="110" t="s">
        <v>372</v>
      </c>
      <c r="K22" s="27"/>
      <c r="L22" s="28"/>
      <c r="M22" s="11">
        <f>'D.2.7'!O18</f>
        <v>107.5945134</v>
      </c>
      <c r="N22" s="120"/>
      <c r="O22" s="11">
        <f>L4</f>
        <v>0.94899999999999995</v>
      </c>
      <c r="P22" s="11"/>
      <c r="Q22" s="11">
        <v>0.6</v>
      </c>
      <c r="R22" s="11">
        <f>M22*O22*Q22</f>
        <v>61.264315929959992</v>
      </c>
      <c r="S22" s="11">
        <f t="shared" si="2"/>
        <v>45315.895862038749</v>
      </c>
      <c r="T22" s="612" t="s">
        <v>377</v>
      </c>
      <c r="U22" s="612"/>
      <c r="V22" s="612"/>
      <c r="W22" s="29">
        <v>1</v>
      </c>
      <c r="Y22" s="84" t="s">
        <v>165</v>
      </c>
      <c r="Z22" s="83" t="str">
        <f>IF($Y22="","",VLOOKUP($Y22,RESUMO!$C:$D,2,FALSE))</f>
        <v>Transporte com caminhão basculante de 14 m³ - rodovia pavimentada  - Materiais Betuminosos</v>
      </c>
      <c r="AB22" s="85" t="str">
        <f t="shared" si="1"/>
        <v>LINK</v>
      </c>
    </row>
    <row r="23" spans="2:28" ht="19.899999999999999" customHeight="1" x14ac:dyDescent="0.25">
      <c r="B23" s="25" t="s">
        <v>316</v>
      </c>
      <c r="C23" s="26" t="s">
        <v>306</v>
      </c>
      <c r="D23" s="27">
        <v>306</v>
      </c>
      <c r="E23" s="28">
        <v>630</v>
      </c>
      <c r="F23" s="27"/>
      <c r="G23" s="28"/>
      <c r="H23" s="26" t="s">
        <v>306</v>
      </c>
      <c r="I23" s="11" t="s">
        <v>325</v>
      </c>
      <c r="J23" s="110" t="s">
        <v>372</v>
      </c>
      <c r="K23" s="27"/>
      <c r="L23" s="28"/>
      <c r="M23" s="11">
        <f>'D.2.7'!O19</f>
        <v>93.391806000000003</v>
      </c>
      <c r="N23" s="120"/>
      <c r="O23" s="11">
        <f>L4</f>
        <v>0.94899999999999995</v>
      </c>
      <c r="P23" s="11"/>
      <c r="Q23" s="11">
        <v>0.6</v>
      </c>
      <c r="R23" s="11">
        <f>M23*O23*Q23</f>
        <v>53.177294336399996</v>
      </c>
      <c r="S23" s="11">
        <f t="shared" si="2"/>
        <v>45369.073156375147</v>
      </c>
      <c r="T23" s="612" t="s">
        <v>377</v>
      </c>
      <c r="U23" s="612"/>
      <c r="V23" s="612"/>
      <c r="W23" s="29">
        <v>1</v>
      </c>
      <c r="Y23" s="84"/>
      <c r="Z23" s="83"/>
      <c r="AB23" s="85"/>
    </row>
    <row r="24" spans="2:28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0"/>
      <c r="K24" s="27"/>
      <c r="L24" s="28"/>
      <c r="M24" s="11"/>
      <c r="N24" s="120"/>
      <c r="O24" s="11"/>
      <c r="P24" s="11"/>
      <c r="Q24" s="11"/>
      <c r="R24" s="11" t="str">
        <f t="shared" ref="R24:R47" si="3">IF(K24="","",K24*L24*P24)</f>
        <v/>
      </c>
      <c r="S24" s="11" t="str">
        <f t="shared" si="2"/>
        <v/>
      </c>
      <c r="T24" s="612"/>
      <c r="U24" s="612"/>
      <c r="V24" s="612"/>
      <c r="W24" s="29"/>
    </row>
    <row r="25" spans="2:28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0"/>
      <c r="K25" s="27"/>
      <c r="L25" s="28"/>
      <c r="M25" s="11"/>
      <c r="N25" s="120"/>
      <c r="O25" s="11"/>
      <c r="P25" s="11"/>
      <c r="Q25" s="11"/>
      <c r="R25" s="11" t="str">
        <f t="shared" si="3"/>
        <v/>
      </c>
      <c r="S25" s="11" t="str">
        <f t="shared" si="2"/>
        <v/>
      </c>
      <c r="T25" s="612"/>
      <c r="U25" s="612"/>
      <c r="V25" s="612"/>
      <c r="W25" s="29"/>
    </row>
    <row r="26" spans="2:28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0"/>
      <c r="K26" s="27"/>
      <c r="L26" s="28"/>
      <c r="M26" s="11"/>
      <c r="N26" s="120"/>
      <c r="O26" s="11"/>
      <c r="P26" s="11"/>
      <c r="Q26" s="11"/>
      <c r="R26" s="11" t="str">
        <f t="shared" si="3"/>
        <v/>
      </c>
      <c r="S26" s="11" t="str">
        <f t="shared" si="2"/>
        <v/>
      </c>
      <c r="T26" s="612"/>
      <c r="U26" s="612"/>
      <c r="V26" s="612"/>
      <c r="W26" s="29"/>
    </row>
    <row r="27" spans="2:28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0"/>
      <c r="K27" s="27"/>
      <c r="L27" s="28"/>
      <c r="M27" s="11"/>
      <c r="N27" s="120"/>
      <c r="O27" s="11"/>
      <c r="P27" s="11"/>
      <c r="Q27" s="11"/>
      <c r="R27" s="11" t="str">
        <f t="shared" si="3"/>
        <v/>
      </c>
      <c r="S27" s="11" t="str">
        <f t="shared" si="2"/>
        <v/>
      </c>
      <c r="T27" s="612"/>
      <c r="U27" s="612"/>
      <c r="V27" s="612"/>
      <c r="W27" s="29"/>
    </row>
    <row r="28" spans="2:28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0"/>
      <c r="K28" s="27"/>
      <c r="L28" s="28"/>
      <c r="M28" s="11"/>
      <c r="N28" s="120"/>
      <c r="O28" s="11"/>
      <c r="P28" s="11"/>
      <c r="Q28" s="11"/>
      <c r="R28" s="11" t="str">
        <f t="shared" si="3"/>
        <v/>
      </c>
      <c r="S28" s="11" t="str">
        <f t="shared" si="2"/>
        <v/>
      </c>
      <c r="T28" s="612"/>
      <c r="U28" s="612"/>
      <c r="V28" s="612"/>
      <c r="W28" s="29"/>
    </row>
    <row r="29" spans="2:28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0"/>
      <c r="K29" s="27"/>
      <c r="L29" s="28"/>
      <c r="M29" s="11"/>
      <c r="N29" s="120"/>
      <c r="O29" s="11"/>
      <c r="P29" s="11"/>
      <c r="Q29" s="11"/>
      <c r="R29" s="11" t="str">
        <f t="shared" si="3"/>
        <v/>
      </c>
      <c r="S29" s="11" t="str">
        <f t="shared" si="2"/>
        <v/>
      </c>
      <c r="T29" s="612"/>
      <c r="U29" s="612"/>
      <c r="V29" s="612"/>
      <c r="W29" s="29"/>
    </row>
    <row r="30" spans="2:28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0"/>
      <c r="K30" s="27"/>
      <c r="L30" s="28"/>
      <c r="M30" s="11"/>
      <c r="N30" s="120"/>
      <c r="O30" s="11"/>
      <c r="P30" s="11"/>
      <c r="Q30" s="11"/>
      <c r="R30" s="11" t="str">
        <f t="shared" si="3"/>
        <v/>
      </c>
      <c r="S30" s="11" t="str">
        <f t="shared" si="2"/>
        <v/>
      </c>
      <c r="T30" s="612"/>
      <c r="U30" s="612"/>
      <c r="V30" s="612"/>
      <c r="W30" s="29"/>
    </row>
    <row r="31" spans="2:28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0"/>
      <c r="K31" s="27"/>
      <c r="L31" s="28"/>
      <c r="M31" s="11"/>
      <c r="N31" s="120"/>
      <c r="O31" s="11"/>
      <c r="P31" s="11"/>
      <c r="Q31" s="11"/>
      <c r="R31" s="11" t="str">
        <f t="shared" si="3"/>
        <v/>
      </c>
      <c r="S31" s="11" t="str">
        <f t="shared" si="2"/>
        <v/>
      </c>
      <c r="T31" s="612"/>
      <c r="U31" s="612"/>
      <c r="V31" s="612"/>
      <c r="W31" s="29"/>
    </row>
    <row r="32" spans="2:28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0"/>
      <c r="K32" s="27"/>
      <c r="L32" s="28"/>
      <c r="M32" s="11"/>
      <c r="N32" s="120"/>
      <c r="O32" s="11"/>
      <c r="P32" s="11"/>
      <c r="Q32" s="11"/>
      <c r="R32" s="11" t="str">
        <f t="shared" si="3"/>
        <v/>
      </c>
      <c r="S32" s="11" t="str">
        <f t="shared" si="2"/>
        <v/>
      </c>
      <c r="T32" s="612"/>
      <c r="U32" s="612"/>
      <c r="V32" s="612"/>
      <c r="W32" s="29"/>
    </row>
    <row r="33" spans="2:23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0"/>
      <c r="K33" s="27"/>
      <c r="L33" s="28"/>
      <c r="M33" s="11"/>
      <c r="N33" s="120"/>
      <c r="O33" s="11"/>
      <c r="P33" s="11"/>
      <c r="Q33" s="11"/>
      <c r="R33" s="11" t="str">
        <f t="shared" si="3"/>
        <v/>
      </c>
      <c r="S33" s="11" t="str">
        <f t="shared" si="2"/>
        <v/>
      </c>
      <c r="T33" s="612"/>
      <c r="U33" s="612"/>
      <c r="V33" s="612"/>
      <c r="W33" s="29"/>
    </row>
    <row r="34" spans="2:23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0"/>
      <c r="K34" s="27"/>
      <c r="L34" s="28"/>
      <c r="M34" s="11"/>
      <c r="N34" s="120"/>
      <c r="O34" s="11"/>
      <c r="P34" s="11"/>
      <c r="Q34" s="11"/>
      <c r="R34" s="11" t="str">
        <f t="shared" si="3"/>
        <v/>
      </c>
      <c r="S34" s="11" t="str">
        <f t="shared" si="2"/>
        <v/>
      </c>
      <c r="T34" s="612"/>
      <c r="U34" s="612"/>
      <c r="V34" s="612"/>
      <c r="W34" s="29"/>
    </row>
    <row r="35" spans="2:23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0"/>
      <c r="K35" s="27"/>
      <c r="L35" s="28"/>
      <c r="M35" s="11"/>
      <c r="N35" s="120"/>
      <c r="O35" s="11"/>
      <c r="P35" s="11"/>
      <c r="Q35" s="11"/>
      <c r="R35" s="11" t="str">
        <f t="shared" si="3"/>
        <v/>
      </c>
      <c r="S35" s="11" t="str">
        <f t="shared" si="2"/>
        <v/>
      </c>
      <c r="T35" s="612"/>
      <c r="U35" s="612"/>
      <c r="V35" s="612"/>
      <c r="W35" s="29"/>
    </row>
    <row r="36" spans="2:23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0"/>
      <c r="K36" s="27"/>
      <c r="L36" s="28"/>
      <c r="M36" s="11"/>
      <c r="N36" s="120"/>
      <c r="O36" s="11"/>
      <c r="P36" s="11"/>
      <c r="Q36" s="11"/>
      <c r="R36" s="11" t="str">
        <f t="shared" si="3"/>
        <v/>
      </c>
      <c r="S36" s="11" t="str">
        <f t="shared" si="2"/>
        <v/>
      </c>
      <c r="T36" s="612"/>
      <c r="U36" s="612"/>
      <c r="V36" s="612"/>
      <c r="W36" s="29"/>
    </row>
    <row r="37" spans="2:23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0"/>
      <c r="K37" s="27"/>
      <c r="L37" s="28"/>
      <c r="M37" s="11"/>
      <c r="N37" s="120"/>
      <c r="O37" s="11"/>
      <c r="P37" s="11"/>
      <c r="Q37" s="11"/>
      <c r="R37" s="11" t="str">
        <f t="shared" si="3"/>
        <v/>
      </c>
      <c r="S37" s="11" t="str">
        <f t="shared" si="2"/>
        <v/>
      </c>
      <c r="T37" s="612"/>
      <c r="U37" s="612"/>
      <c r="V37" s="612"/>
      <c r="W37" s="29"/>
    </row>
    <row r="38" spans="2:23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0"/>
      <c r="K38" s="27"/>
      <c r="L38" s="28"/>
      <c r="M38" s="11"/>
      <c r="N38" s="120"/>
      <c r="O38" s="11"/>
      <c r="P38" s="11"/>
      <c r="Q38" s="11"/>
      <c r="R38" s="11" t="str">
        <f t="shared" si="3"/>
        <v/>
      </c>
      <c r="S38" s="11" t="str">
        <f t="shared" si="2"/>
        <v/>
      </c>
      <c r="T38" s="612"/>
      <c r="U38" s="612"/>
      <c r="V38" s="612"/>
      <c r="W38" s="29"/>
    </row>
    <row r="39" spans="2:23" ht="19.899999999999999" customHeight="1" x14ac:dyDescent="0.25">
      <c r="B39" s="25"/>
      <c r="C39" s="26"/>
      <c r="D39" s="27"/>
      <c r="E39" s="28"/>
      <c r="F39" s="27"/>
      <c r="G39" s="28"/>
      <c r="H39" s="26"/>
      <c r="I39" s="11"/>
      <c r="J39" s="110"/>
      <c r="K39" s="27"/>
      <c r="L39" s="28"/>
      <c r="M39" s="11"/>
      <c r="N39" s="120"/>
      <c r="O39" s="11"/>
      <c r="P39" s="11"/>
      <c r="Q39" s="11"/>
      <c r="R39" s="11" t="str">
        <f t="shared" si="3"/>
        <v/>
      </c>
      <c r="S39" s="11" t="str">
        <f t="shared" si="2"/>
        <v/>
      </c>
      <c r="T39" s="612"/>
      <c r="U39" s="612"/>
      <c r="V39" s="612"/>
      <c r="W39" s="29"/>
    </row>
    <row r="40" spans="2:23" ht="19.899999999999999" customHeight="1" x14ac:dyDescent="0.25">
      <c r="B40" s="25"/>
      <c r="C40" s="26"/>
      <c r="D40" s="27"/>
      <c r="E40" s="28"/>
      <c r="F40" s="27"/>
      <c r="G40" s="28"/>
      <c r="H40" s="26"/>
      <c r="I40" s="11"/>
      <c r="J40" s="110"/>
      <c r="K40" s="27"/>
      <c r="L40" s="28"/>
      <c r="M40" s="11"/>
      <c r="N40" s="120"/>
      <c r="O40" s="11"/>
      <c r="P40" s="11"/>
      <c r="Q40" s="11"/>
      <c r="R40" s="11" t="str">
        <f t="shared" si="3"/>
        <v/>
      </c>
      <c r="S40" s="11" t="str">
        <f t="shared" si="2"/>
        <v/>
      </c>
      <c r="T40" s="612"/>
      <c r="U40" s="612"/>
      <c r="V40" s="612"/>
      <c r="W40" s="29"/>
    </row>
    <row r="41" spans="2:23" ht="19.899999999999999" customHeight="1" x14ac:dyDescent="0.25">
      <c r="B41" s="25"/>
      <c r="C41" s="26"/>
      <c r="D41" s="27"/>
      <c r="E41" s="28"/>
      <c r="F41" s="27"/>
      <c r="G41" s="28"/>
      <c r="H41" s="26"/>
      <c r="I41" s="11"/>
      <c r="J41" s="110"/>
      <c r="K41" s="27"/>
      <c r="L41" s="28"/>
      <c r="M41" s="11"/>
      <c r="N41" s="120"/>
      <c r="O41" s="11"/>
      <c r="P41" s="11"/>
      <c r="Q41" s="11"/>
      <c r="R41" s="11" t="str">
        <f t="shared" si="3"/>
        <v/>
      </c>
      <c r="S41" s="11" t="str">
        <f t="shared" si="2"/>
        <v/>
      </c>
      <c r="T41" s="612"/>
      <c r="U41" s="612"/>
      <c r="V41" s="612"/>
      <c r="W41" s="29"/>
    </row>
    <row r="42" spans="2:23" ht="19.899999999999999" customHeight="1" x14ac:dyDescent="0.25">
      <c r="B42" s="25"/>
      <c r="C42" s="26"/>
      <c r="D42" s="27"/>
      <c r="E42" s="28"/>
      <c r="F42" s="27"/>
      <c r="G42" s="28"/>
      <c r="H42" s="26"/>
      <c r="I42" s="11"/>
      <c r="J42" s="110"/>
      <c r="K42" s="27"/>
      <c r="L42" s="28"/>
      <c r="M42" s="11"/>
      <c r="N42" s="120"/>
      <c r="O42" s="11"/>
      <c r="P42" s="11"/>
      <c r="Q42" s="11"/>
      <c r="R42" s="11" t="str">
        <f t="shared" si="3"/>
        <v/>
      </c>
      <c r="S42" s="11" t="str">
        <f t="shared" si="2"/>
        <v/>
      </c>
      <c r="T42" s="612"/>
      <c r="U42" s="612"/>
      <c r="V42" s="612"/>
      <c r="W42" s="29"/>
    </row>
    <row r="43" spans="2:23" ht="19.899999999999999" customHeight="1" x14ac:dyDescent="0.25">
      <c r="B43" s="25"/>
      <c r="C43" s="26"/>
      <c r="D43" s="27"/>
      <c r="E43" s="28"/>
      <c r="F43" s="27"/>
      <c r="G43" s="28"/>
      <c r="H43" s="26"/>
      <c r="I43" s="11"/>
      <c r="J43" s="110"/>
      <c r="K43" s="27"/>
      <c r="L43" s="28"/>
      <c r="M43" s="11"/>
      <c r="N43" s="120"/>
      <c r="O43" s="11"/>
      <c r="P43" s="11"/>
      <c r="Q43" s="11"/>
      <c r="R43" s="11" t="str">
        <f t="shared" si="3"/>
        <v/>
      </c>
      <c r="S43" s="11" t="str">
        <f t="shared" si="2"/>
        <v/>
      </c>
      <c r="T43" s="612"/>
      <c r="U43" s="612"/>
      <c r="V43" s="612"/>
      <c r="W43" s="29"/>
    </row>
    <row r="44" spans="2:23" ht="19.899999999999999" customHeight="1" x14ac:dyDescent="0.25">
      <c r="B44" s="25"/>
      <c r="C44" s="26"/>
      <c r="D44" s="27"/>
      <c r="E44" s="28"/>
      <c r="F44" s="27"/>
      <c r="G44" s="28"/>
      <c r="H44" s="26"/>
      <c r="I44" s="11"/>
      <c r="J44" s="110"/>
      <c r="K44" s="27"/>
      <c r="L44" s="28"/>
      <c r="M44" s="11"/>
      <c r="N44" s="120"/>
      <c r="O44" s="11"/>
      <c r="P44" s="11"/>
      <c r="Q44" s="11"/>
      <c r="R44" s="11" t="str">
        <f t="shared" si="3"/>
        <v/>
      </c>
      <c r="S44" s="11" t="str">
        <f t="shared" si="2"/>
        <v/>
      </c>
      <c r="T44" s="612"/>
      <c r="U44" s="612"/>
      <c r="V44" s="612"/>
      <c r="W44" s="29"/>
    </row>
    <row r="45" spans="2:23" ht="19.899999999999999" customHeight="1" x14ac:dyDescent="0.25">
      <c r="B45" s="25"/>
      <c r="C45" s="26"/>
      <c r="D45" s="27"/>
      <c r="E45" s="28"/>
      <c r="F45" s="27"/>
      <c r="G45" s="28"/>
      <c r="H45" s="26"/>
      <c r="I45" s="11"/>
      <c r="J45" s="110"/>
      <c r="K45" s="27"/>
      <c r="L45" s="28"/>
      <c r="M45" s="11"/>
      <c r="N45" s="120"/>
      <c r="O45" s="11"/>
      <c r="P45" s="11"/>
      <c r="Q45" s="11"/>
      <c r="R45" s="11" t="str">
        <f t="shared" si="3"/>
        <v/>
      </c>
      <c r="S45" s="11" t="str">
        <f t="shared" si="2"/>
        <v/>
      </c>
      <c r="T45" s="612"/>
      <c r="U45" s="612"/>
      <c r="V45" s="612"/>
      <c r="W45" s="29"/>
    </row>
    <row r="46" spans="2:23" ht="19.899999999999999" customHeight="1" x14ac:dyDescent="0.25">
      <c r="B46" s="25"/>
      <c r="C46" s="26"/>
      <c r="D46" s="27"/>
      <c r="E46" s="28"/>
      <c r="F46" s="27"/>
      <c r="G46" s="28"/>
      <c r="H46" s="26"/>
      <c r="I46" s="11"/>
      <c r="J46" s="110"/>
      <c r="K46" s="27"/>
      <c r="L46" s="28"/>
      <c r="M46" s="11"/>
      <c r="N46" s="120"/>
      <c r="O46" s="11"/>
      <c r="P46" s="11"/>
      <c r="Q46" s="11"/>
      <c r="R46" s="11" t="str">
        <f t="shared" si="3"/>
        <v/>
      </c>
      <c r="S46" s="11" t="str">
        <f t="shared" si="2"/>
        <v/>
      </c>
      <c r="T46" s="612"/>
      <c r="U46" s="612"/>
      <c r="V46" s="612"/>
      <c r="W46" s="29"/>
    </row>
    <row r="47" spans="2:23" ht="19.899999999999999" customHeight="1" thickBot="1" x14ac:dyDescent="0.3">
      <c r="B47" s="30"/>
      <c r="C47" s="31"/>
      <c r="D47" s="32"/>
      <c r="E47" s="33"/>
      <c r="F47" s="32"/>
      <c r="G47" s="33"/>
      <c r="H47" s="31"/>
      <c r="I47" s="12"/>
      <c r="J47" s="111"/>
      <c r="K47" s="32"/>
      <c r="L47" s="33"/>
      <c r="M47" s="12"/>
      <c r="N47" s="121"/>
      <c r="O47" s="12"/>
      <c r="P47" s="12"/>
      <c r="Q47" s="12"/>
      <c r="R47" s="12" t="str">
        <f t="shared" si="3"/>
        <v/>
      </c>
      <c r="S47" s="12" t="str">
        <f t="shared" si="2"/>
        <v/>
      </c>
      <c r="T47" s="634"/>
      <c r="U47" s="634"/>
      <c r="V47" s="634"/>
      <c r="W47" s="34"/>
    </row>
    <row r="48" spans="2:23" ht="19.899999999999999" customHeight="1" thickTop="1" x14ac:dyDescent="0.25"/>
  </sheetData>
  <mergeCells count="85">
    <mergeCell ref="T45:V45"/>
    <mergeCell ref="T46:V46"/>
    <mergeCell ref="T47:V47"/>
    <mergeCell ref="T39:V39"/>
    <mergeCell ref="T40:V40"/>
    <mergeCell ref="T41:V41"/>
    <mergeCell ref="T42:V42"/>
    <mergeCell ref="T43:V43"/>
    <mergeCell ref="T44:V44"/>
    <mergeCell ref="T38:V38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Y15:Z15"/>
    <mergeCell ref="T17:V17"/>
    <mergeCell ref="T18:V18"/>
    <mergeCell ref="T19:V19"/>
    <mergeCell ref="T20:V20"/>
    <mergeCell ref="T15:V16"/>
    <mergeCell ref="S15:S16"/>
    <mergeCell ref="K15:L15"/>
    <mergeCell ref="P15:P16"/>
    <mergeCell ref="T26:V26"/>
    <mergeCell ref="W15:W16"/>
    <mergeCell ref="T21:V21"/>
    <mergeCell ref="T22:V22"/>
    <mergeCell ref="T23:V23"/>
    <mergeCell ref="T24:V24"/>
    <mergeCell ref="T25:V25"/>
    <mergeCell ref="I15:I16"/>
    <mergeCell ref="B11:F11"/>
    <mergeCell ref="G11:W11"/>
    <mergeCell ref="C12:F12"/>
    <mergeCell ref="H12:T12"/>
    <mergeCell ref="V12:W12"/>
    <mergeCell ref="C13:F13"/>
    <mergeCell ref="H13:T13"/>
    <mergeCell ref="V13:W13"/>
    <mergeCell ref="B15:B16"/>
    <mergeCell ref="C15:C16"/>
    <mergeCell ref="D15:E15"/>
    <mergeCell ref="F15:G15"/>
    <mergeCell ref="H15:H16"/>
    <mergeCell ref="J15:J16"/>
    <mergeCell ref="R15:R16"/>
    <mergeCell ref="B8:D8"/>
    <mergeCell ref="E8:F8"/>
    <mergeCell ref="G8:H8"/>
    <mergeCell ref="N8:W8"/>
    <mergeCell ref="B9:D9"/>
    <mergeCell ref="E9:F9"/>
    <mergeCell ref="G9:H9"/>
    <mergeCell ref="N9:W9"/>
    <mergeCell ref="B4:D4"/>
    <mergeCell ref="E4:F4"/>
    <mergeCell ref="G4:H4"/>
    <mergeCell ref="N4:W4"/>
    <mergeCell ref="B5:D5"/>
    <mergeCell ref="E5:F5"/>
    <mergeCell ref="G5:H5"/>
    <mergeCell ref="N5:W5"/>
    <mergeCell ref="B6:D6"/>
    <mergeCell ref="E6:F6"/>
    <mergeCell ref="G6:H6"/>
    <mergeCell ref="N6:W6"/>
    <mergeCell ref="B7:D7"/>
    <mergeCell ref="E7:F7"/>
    <mergeCell ref="G7:H7"/>
    <mergeCell ref="N7:W7"/>
    <mergeCell ref="B2:D3"/>
    <mergeCell ref="E2:H2"/>
    <mergeCell ref="J2:L2"/>
    <mergeCell ref="N2:W2"/>
    <mergeCell ref="Y2:Z2"/>
    <mergeCell ref="E3:F3"/>
    <mergeCell ref="G3:H3"/>
    <mergeCell ref="N3:W3"/>
  </mergeCells>
  <conditionalFormatting sqref="B17:T47">
    <cfRule type="containsBlanks" dxfId="25" priority="1">
      <formula>LEN(TRIM(B17))=0</formula>
    </cfRule>
  </conditionalFormatting>
  <conditionalFormatting sqref="W17:W47">
    <cfRule type="containsBlanks" dxfId="24" priority="4">
      <formula>LEN(TRIM(W17))=0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56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F56E-9340-4A8A-9681-6A921B4DF64B}">
  <sheetPr>
    <pageSetUpPr fitToPage="1"/>
  </sheetPr>
  <dimension ref="B1:Z46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7" width="12.7109375" style="3" customWidth="1"/>
    <col min="18" max="18" width="20.7109375" style="3" customWidth="1"/>
    <col min="19" max="20" width="10.7109375" style="3" customWidth="1"/>
    <col min="21" max="16384" width="10.7109375" style="3"/>
  </cols>
  <sheetData>
    <row r="1" spans="2:24" ht="19.899999999999999" customHeight="1" thickBot="1" x14ac:dyDescent="0.3"/>
    <row r="2" spans="2:24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3"/>
      <c r="W2" s="611" t="s">
        <v>294</v>
      </c>
      <c r="X2" s="611"/>
    </row>
    <row r="3" spans="2:24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5"/>
      <c r="W3" s="36"/>
      <c r="X3" s="36"/>
    </row>
    <row r="4" spans="2:24" ht="15" customHeight="1" x14ac:dyDescent="0.25">
      <c r="B4" s="647" t="s">
        <v>296</v>
      </c>
      <c r="C4" s="648"/>
      <c r="D4" s="648"/>
      <c r="E4" s="653">
        <f>IF($G$13="","",VLOOKUP($G$13,RESUMO!$C:$G,5,FALSE))</f>
        <v>17044.759999999998</v>
      </c>
      <c r="F4" s="653"/>
      <c r="G4" s="640">
        <f t="shared" ref="G4:G9" si="0">E4*$T$13</f>
        <v>13465.36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5"/>
      <c r="W4" s="36"/>
      <c r="X4" s="36"/>
    </row>
    <row r="5" spans="2:24" ht="15" customHeight="1" x14ac:dyDescent="0.25">
      <c r="B5" s="649" t="s">
        <v>297</v>
      </c>
      <c r="C5" s="650"/>
      <c r="D5" s="650"/>
      <c r="E5" s="654">
        <f>SUMIFS(P:P,U:U,"&lt;&gt;")</f>
        <v>17044.758343319998</v>
      </c>
      <c r="F5" s="654"/>
      <c r="G5" s="642">
        <f t="shared" si="0"/>
        <v>13465.358691222838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5"/>
      <c r="W5" s="36"/>
      <c r="X5" s="36"/>
    </row>
    <row r="6" spans="2:24" ht="15" customHeight="1" x14ac:dyDescent="0.25">
      <c r="B6" s="649" t="s">
        <v>298</v>
      </c>
      <c r="C6" s="650"/>
      <c r="D6" s="650"/>
      <c r="E6" s="654">
        <f>E5-E9</f>
        <v>17044.758343319998</v>
      </c>
      <c r="F6" s="654"/>
      <c r="G6" s="642">
        <f t="shared" si="0"/>
        <v>13465.358691222838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4"/>
      <c r="T6" s="614"/>
      <c r="U6" s="615"/>
    </row>
    <row r="7" spans="2:24" ht="15" customHeight="1" x14ac:dyDescent="0.25">
      <c r="B7" s="649" t="s">
        <v>299</v>
      </c>
      <c r="C7" s="650"/>
      <c r="D7" s="650"/>
      <c r="E7" s="644">
        <f>E4-E5</f>
        <v>1.6566800004511606E-3</v>
      </c>
      <c r="F7" s="645"/>
      <c r="G7" s="642">
        <f t="shared" si="0"/>
        <v>1.3087771614780756E-3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4"/>
      <c r="T7" s="614"/>
      <c r="U7" s="615"/>
    </row>
    <row r="8" spans="2:24" ht="15" customHeight="1" x14ac:dyDescent="0.25">
      <c r="B8" s="655" t="s">
        <v>300</v>
      </c>
      <c r="C8" s="656"/>
      <c r="D8" s="656"/>
      <c r="E8" s="657">
        <f>SUM(P:P)-E5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4"/>
      <c r="T8" s="614"/>
      <c r="U8" s="615"/>
    </row>
    <row r="9" spans="2:24" ht="15" customHeight="1" thickBot="1" x14ac:dyDescent="0.3">
      <c r="B9" s="651" t="s">
        <v>301</v>
      </c>
      <c r="C9" s="652"/>
      <c r="D9" s="652"/>
      <c r="E9" s="646">
        <f>SUMIF(U:U,CAPA!$I$2,P:P)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7"/>
      <c r="T9" s="617"/>
      <c r="U9" s="618"/>
    </row>
    <row r="10" spans="2:24" ht="10.15" customHeight="1" thickTop="1" thickBot="1" x14ac:dyDescent="0.3"/>
    <row r="11" spans="2:24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5"/>
      <c r="U11" s="626"/>
    </row>
    <row r="12" spans="2:24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619"/>
      <c r="R12" s="619"/>
      <c r="S12" s="14" t="s">
        <v>303</v>
      </c>
      <c r="T12" s="619" t="s">
        <v>304</v>
      </c>
      <c r="U12" s="620"/>
    </row>
    <row r="13" spans="2:24" s="8" customFormat="1" ht="30" customHeight="1" thickBot="1" x14ac:dyDescent="0.3">
      <c r="B13" s="15" t="str">
        <f>RESUMO!C78</f>
        <v>D.3</v>
      </c>
      <c r="C13" s="623" t="str">
        <f>IF($B$13="","",VLOOKUP($B$13,RESUMO!$C:$F,2,FALSE))</f>
        <v>Material Betuminoso e Transportes</v>
      </c>
      <c r="D13" s="623"/>
      <c r="E13" s="623"/>
      <c r="F13" s="662"/>
      <c r="G13" s="16" t="str">
        <f>RESUMO!C83</f>
        <v>D.3.5</v>
      </c>
      <c r="H13" s="623" t="str">
        <f>IF($G$13="","",VLOOKUP($G$13,RESUMO!$C:$F,2,FALSE))</f>
        <v xml:space="preserve">Transporte com caminhão basculante de 14 m³ - rodovia pavimentada  - Massa Asfaltica  </v>
      </c>
      <c r="I13" s="623"/>
      <c r="J13" s="623"/>
      <c r="K13" s="623"/>
      <c r="L13" s="623"/>
      <c r="M13" s="623"/>
      <c r="N13" s="623"/>
      <c r="O13" s="623"/>
      <c r="P13" s="623"/>
      <c r="Q13" s="623"/>
      <c r="R13" s="623"/>
      <c r="S13" s="17" t="str">
        <f>IF($G$13="","",VLOOKUP($G$13,RESUMO!$C:$F,3,FALSE))</f>
        <v>T x Km</v>
      </c>
      <c r="T13" s="621">
        <f>IF($G$13="","",VLOOKUP($G$13,RESUMO!$C:$F,4,FALSE))</f>
        <v>0.78999997653237719</v>
      </c>
      <c r="U13" s="622"/>
    </row>
    <row r="14" spans="2:24" ht="10.15" customHeight="1" thickTop="1" thickBot="1" x14ac:dyDescent="0.3"/>
    <row r="15" spans="2:24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672" t="s">
        <v>327</v>
      </c>
      <c r="K15" s="9" t="s">
        <v>367</v>
      </c>
      <c r="L15" s="627" t="s">
        <v>327</v>
      </c>
      <c r="M15" s="627" t="s">
        <v>328</v>
      </c>
      <c r="N15" s="627"/>
      <c r="O15" s="9" t="s">
        <v>331</v>
      </c>
      <c r="P15" s="627" t="s">
        <v>310</v>
      </c>
      <c r="Q15" s="627" t="s">
        <v>311</v>
      </c>
      <c r="R15" s="627" t="s">
        <v>312</v>
      </c>
      <c r="S15" s="627"/>
      <c r="T15" s="627"/>
      <c r="U15" s="629" t="s">
        <v>27</v>
      </c>
      <c r="W15" s="611" t="s">
        <v>313</v>
      </c>
      <c r="X15" s="611"/>
    </row>
    <row r="16" spans="2:24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73"/>
      <c r="K16" s="10" t="s">
        <v>368</v>
      </c>
      <c r="L16" s="628"/>
      <c r="M16" s="10" t="s">
        <v>314</v>
      </c>
      <c r="N16" s="10" t="s">
        <v>315</v>
      </c>
      <c r="O16" s="10" t="s">
        <v>335</v>
      </c>
      <c r="P16" s="628"/>
      <c r="Q16" s="628"/>
      <c r="R16" s="628"/>
      <c r="S16" s="628"/>
      <c r="T16" s="628"/>
      <c r="U16" s="630"/>
      <c r="W16" s="35" t="s">
        <v>269</v>
      </c>
      <c r="X16" s="35" t="s">
        <v>47</v>
      </c>
    </row>
    <row r="17" spans="2:26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109" t="s">
        <v>362</v>
      </c>
      <c r="K17" s="23">
        <f>'D.2.7'!O17</f>
        <v>77.901833699999997</v>
      </c>
      <c r="L17" s="23" t="s">
        <v>362</v>
      </c>
      <c r="M17" s="21"/>
      <c r="N17" s="22"/>
      <c r="O17" s="23">
        <v>61.4</v>
      </c>
      <c r="P17" s="23">
        <f>IF(K17="","",K17*O17)</f>
        <v>4783.1725891799997</v>
      </c>
      <c r="Q17" s="23">
        <f>IF(OR(B17="",P17=""),"",IF(AND(Q16="",U17=""),Q16,SUM(P17,Q16)))</f>
        <v>4783.1725891799997</v>
      </c>
      <c r="R17" s="635" t="s">
        <v>377</v>
      </c>
      <c r="S17" s="635"/>
      <c r="T17" s="635"/>
      <c r="U17" s="24">
        <v>1</v>
      </c>
      <c r="W17" s="84" t="s">
        <v>160</v>
      </c>
      <c r="X17" s="83" t="str">
        <f>IF($W17="","",VLOOKUP($W17,RESUMO!$C:$D,2,FALSE))</f>
        <v>Fornecimento de CAP modificado com adição de polímero</v>
      </c>
      <c r="Z17" s="85" t="str">
        <f>HYPERLINK("#"&amp;"'"&amp;W17&amp;"'"&amp;"!A1","LINK")</f>
        <v>LINK</v>
      </c>
    </row>
    <row r="18" spans="2:26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0" t="s">
        <v>362</v>
      </c>
      <c r="K18" s="11">
        <f>'D.2.7'!O18</f>
        <v>107.5945134</v>
      </c>
      <c r="L18" s="11" t="s">
        <v>362</v>
      </c>
      <c r="M18" s="27"/>
      <c r="N18" s="28"/>
      <c r="O18" s="11">
        <v>61.1</v>
      </c>
      <c r="P18" s="11">
        <f>IF(K18="","",K18*O18)</f>
        <v>6574.0247687399997</v>
      </c>
      <c r="Q18" s="11">
        <f>IF(B18="","",IF(OR(Q17="",U18=""),Q17,SUM(P18,Q17)))</f>
        <v>11357.197357919998</v>
      </c>
      <c r="R18" s="612" t="s">
        <v>377</v>
      </c>
      <c r="S18" s="612"/>
      <c r="T18" s="612"/>
      <c r="U18" s="29">
        <v>1</v>
      </c>
      <c r="W18" s="84" t="s">
        <v>161</v>
      </c>
      <c r="X18" s="83" t="str">
        <f>IF($W18="","",VLOOKUP($W18,RESUMO!$C:$D,2,FALSE))</f>
        <v xml:space="preserve">Fornecimento de emulsão asfáltica tipo RR-1C                                </v>
      </c>
      <c r="Z18" s="85" t="str">
        <f t="shared" ref="Z18:Z22" si="1">HYPERLINK("#"&amp;"'"&amp;W18&amp;"'"&amp;"!A1","LINK")</f>
        <v>LINK</v>
      </c>
    </row>
    <row r="19" spans="2:26" ht="19.899999999999999" customHeight="1" x14ac:dyDescent="0.25">
      <c r="B19" s="25" t="s">
        <v>316</v>
      </c>
      <c r="C19" s="26" t="s">
        <v>306</v>
      </c>
      <c r="D19" s="27">
        <v>306</v>
      </c>
      <c r="E19" s="28">
        <v>630</v>
      </c>
      <c r="F19" s="27"/>
      <c r="G19" s="28"/>
      <c r="H19" s="26" t="s">
        <v>306</v>
      </c>
      <c r="I19" s="11" t="s">
        <v>325</v>
      </c>
      <c r="J19" s="110" t="s">
        <v>362</v>
      </c>
      <c r="K19" s="11">
        <f>'D.2.7'!O19</f>
        <v>93.391806000000003</v>
      </c>
      <c r="L19" s="11" t="s">
        <v>362</v>
      </c>
      <c r="M19" s="27"/>
      <c r="N19" s="28"/>
      <c r="O19" s="11">
        <v>60.9</v>
      </c>
      <c r="P19" s="11">
        <f t="shared" ref="P19:P45" si="2">IF(K19="","",K19*O19)</f>
        <v>5687.5609854000004</v>
      </c>
      <c r="Q19" s="11">
        <f t="shared" ref="Q19:Q45" si="3">IF(B19="","",IF(OR(Q18="",U19=""),Q18,SUM(P19,Q18)))</f>
        <v>17044.758343319998</v>
      </c>
      <c r="R19" s="612" t="s">
        <v>377</v>
      </c>
      <c r="S19" s="612"/>
      <c r="T19" s="612"/>
      <c r="U19" s="29">
        <v>1</v>
      </c>
      <c r="W19" s="84" t="s">
        <v>162</v>
      </c>
      <c r="X19" s="83" t="str">
        <f>IF($W19="","",VLOOKUP($W19,RESUMO!$C:$D,2,FALSE))</f>
        <v xml:space="preserve">Fornecimento de emulsão asfáltica Imprimer                </v>
      </c>
      <c r="Z19" s="85" t="str">
        <f t="shared" si="1"/>
        <v>LINK</v>
      </c>
    </row>
    <row r="20" spans="2:26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0"/>
      <c r="K20" s="11"/>
      <c r="L20" s="11"/>
      <c r="M20" s="27"/>
      <c r="N20" s="28"/>
      <c r="O20" s="11"/>
      <c r="P20" s="11" t="str">
        <f t="shared" si="2"/>
        <v/>
      </c>
      <c r="Q20" s="11" t="str">
        <f t="shared" si="3"/>
        <v/>
      </c>
      <c r="R20" s="612"/>
      <c r="S20" s="612"/>
      <c r="T20" s="612"/>
      <c r="U20" s="29"/>
      <c r="W20" s="84" t="s">
        <v>163</v>
      </c>
      <c r="X20" s="83" t="str">
        <f>IF($W20="","",VLOOKUP($W20,RESUMO!$C:$D,2,FALSE))</f>
        <v xml:space="preserve">Transporte com caminhão basculante de 14 m³ - rodovia pavimentada  - Agregados  </v>
      </c>
      <c r="Z20" s="85" t="str">
        <f t="shared" si="1"/>
        <v>LINK</v>
      </c>
    </row>
    <row r="21" spans="2:26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0"/>
      <c r="K21" s="11"/>
      <c r="L21" s="11"/>
      <c r="M21" s="27"/>
      <c r="N21" s="28"/>
      <c r="O21" s="11"/>
      <c r="P21" s="11" t="str">
        <f t="shared" si="2"/>
        <v/>
      </c>
      <c r="Q21" s="11" t="str">
        <f t="shared" si="3"/>
        <v/>
      </c>
      <c r="R21" s="612"/>
      <c r="S21" s="612"/>
      <c r="T21" s="612"/>
      <c r="U21" s="29"/>
      <c r="W21" s="84" t="s">
        <v>164</v>
      </c>
      <c r="X21" s="83" t="str">
        <f>IF($W21="","",VLOOKUP($W21,RESUMO!$C:$D,2,FALSE))</f>
        <v xml:space="preserve">Transporte com caminhão basculante de 14 m³ - rodovia pavimentada  - Massa Asfaltica  </v>
      </c>
      <c r="Z21" s="85" t="str">
        <f t="shared" si="1"/>
        <v>LINK</v>
      </c>
    </row>
    <row r="22" spans="2:26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0"/>
      <c r="K22" s="11"/>
      <c r="L22" s="11"/>
      <c r="M22" s="27"/>
      <c r="N22" s="28"/>
      <c r="O22" s="11"/>
      <c r="P22" s="11" t="str">
        <f t="shared" si="2"/>
        <v/>
      </c>
      <c r="Q22" s="11" t="str">
        <f t="shared" si="3"/>
        <v/>
      </c>
      <c r="R22" s="612"/>
      <c r="S22" s="612"/>
      <c r="T22" s="612"/>
      <c r="U22" s="29"/>
      <c r="W22" s="84" t="s">
        <v>165</v>
      </c>
      <c r="X22" s="83" t="str">
        <f>IF($W22="","",VLOOKUP($W22,RESUMO!$C:$D,2,FALSE))</f>
        <v>Transporte com caminhão basculante de 14 m³ - rodovia pavimentada  - Materiais Betuminosos</v>
      </c>
      <c r="Z22" s="85" t="str">
        <f t="shared" si="1"/>
        <v>LINK</v>
      </c>
    </row>
    <row r="23" spans="2:26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0"/>
      <c r="K23" s="11"/>
      <c r="L23" s="11"/>
      <c r="M23" s="27"/>
      <c r="N23" s="28"/>
      <c r="O23" s="11"/>
      <c r="P23" s="11" t="str">
        <f t="shared" si="2"/>
        <v/>
      </c>
      <c r="Q23" s="11" t="str">
        <f t="shared" si="3"/>
        <v/>
      </c>
      <c r="R23" s="612"/>
      <c r="S23" s="612"/>
      <c r="T23" s="612"/>
      <c r="U23" s="29"/>
      <c r="W23" s="84"/>
      <c r="X23" s="83"/>
      <c r="Z23" s="85"/>
    </row>
    <row r="24" spans="2:26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0"/>
      <c r="K24" s="11"/>
      <c r="L24" s="11"/>
      <c r="M24" s="27"/>
      <c r="N24" s="28"/>
      <c r="O24" s="11"/>
      <c r="P24" s="11" t="str">
        <f t="shared" si="2"/>
        <v/>
      </c>
      <c r="Q24" s="11" t="str">
        <f t="shared" si="3"/>
        <v/>
      </c>
      <c r="R24" s="612"/>
      <c r="S24" s="612"/>
      <c r="T24" s="612"/>
      <c r="U24" s="29"/>
    </row>
    <row r="25" spans="2:26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0"/>
      <c r="K25" s="11"/>
      <c r="L25" s="11"/>
      <c r="M25" s="27"/>
      <c r="N25" s="28"/>
      <c r="O25" s="11"/>
      <c r="P25" s="11" t="str">
        <f t="shared" si="2"/>
        <v/>
      </c>
      <c r="Q25" s="11" t="str">
        <f t="shared" si="3"/>
        <v/>
      </c>
      <c r="R25" s="612"/>
      <c r="S25" s="612"/>
      <c r="T25" s="612"/>
      <c r="U25" s="29"/>
    </row>
    <row r="26" spans="2:26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0"/>
      <c r="K26" s="11"/>
      <c r="L26" s="11"/>
      <c r="M26" s="27"/>
      <c r="N26" s="28"/>
      <c r="O26" s="11"/>
      <c r="P26" s="11" t="str">
        <f t="shared" si="2"/>
        <v/>
      </c>
      <c r="Q26" s="11" t="str">
        <f t="shared" si="3"/>
        <v/>
      </c>
      <c r="R26" s="612"/>
      <c r="S26" s="612"/>
      <c r="T26" s="612"/>
      <c r="U26" s="29"/>
    </row>
    <row r="27" spans="2:26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0"/>
      <c r="K27" s="11"/>
      <c r="L27" s="11"/>
      <c r="M27" s="27"/>
      <c r="N27" s="28"/>
      <c r="O27" s="11"/>
      <c r="P27" s="11" t="str">
        <f t="shared" si="2"/>
        <v/>
      </c>
      <c r="Q27" s="11" t="str">
        <f t="shared" si="3"/>
        <v/>
      </c>
      <c r="R27" s="612"/>
      <c r="S27" s="612"/>
      <c r="T27" s="612"/>
      <c r="U27" s="29"/>
    </row>
    <row r="28" spans="2:26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0"/>
      <c r="K28" s="11"/>
      <c r="L28" s="11"/>
      <c r="M28" s="27"/>
      <c r="N28" s="28"/>
      <c r="O28" s="11"/>
      <c r="P28" s="11" t="str">
        <f t="shared" si="2"/>
        <v/>
      </c>
      <c r="Q28" s="11" t="str">
        <f t="shared" si="3"/>
        <v/>
      </c>
      <c r="R28" s="612"/>
      <c r="S28" s="612"/>
      <c r="T28" s="612"/>
      <c r="U28" s="29"/>
    </row>
    <row r="29" spans="2:26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0"/>
      <c r="K29" s="11"/>
      <c r="L29" s="11"/>
      <c r="M29" s="27"/>
      <c r="N29" s="28"/>
      <c r="O29" s="11"/>
      <c r="P29" s="11" t="str">
        <f t="shared" si="2"/>
        <v/>
      </c>
      <c r="Q29" s="11" t="str">
        <f t="shared" si="3"/>
        <v/>
      </c>
      <c r="R29" s="612"/>
      <c r="S29" s="612"/>
      <c r="T29" s="612"/>
      <c r="U29" s="29"/>
    </row>
    <row r="30" spans="2:26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0"/>
      <c r="K30" s="11"/>
      <c r="L30" s="11"/>
      <c r="M30" s="27"/>
      <c r="N30" s="28"/>
      <c r="O30" s="11"/>
      <c r="P30" s="11" t="str">
        <f t="shared" si="2"/>
        <v/>
      </c>
      <c r="Q30" s="11" t="str">
        <f t="shared" si="3"/>
        <v/>
      </c>
      <c r="R30" s="612"/>
      <c r="S30" s="612"/>
      <c r="T30" s="612"/>
      <c r="U30" s="29"/>
    </row>
    <row r="31" spans="2:26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0"/>
      <c r="K31" s="11"/>
      <c r="L31" s="11"/>
      <c r="M31" s="27"/>
      <c r="N31" s="28"/>
      <c r="O31" s="11"/>
      <c r="P31" s="11" t="str">
        <f t="shared" si="2"/>
        <v/>
      </c>
      <c r="Q31" s="11" t="str">
        <f t="shared" si="3"/>
        <v/>
      </c>
      <c r="R31" s="612"/>
      <c r="S31" s="612"/>
      <c r="T31" s="612"/>
      <c r="U31" s="29"/>
    </row>
    <row r="32" spans="2:26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0"/>
      <c r="K32" s="11"/>
      <c r="L32" s="11"/>
      <c r="M32" s="27"/>
      <c r="N32" s="28"/>
      <c r="O32" s="11"/>
      <c r="P32" s="11" t="str">
        <f t="shared" si="2"/>
        <v/>
      </c>
      <c r="Q32" s="11" t="str">
        <f t="shared" si="3"/>
        <v/>
      </c>
      <c r="R32" s="612"/>
      <c r="S32" s="612"/>
      <c r="T32" s="612"/>
      <c r="U32" s="29"/>
    </row>
    <row r="33" spans="2:21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0"/>
      <c r="K33" s="11"/>
      <c r="L33" s="11"/>
      <c r="M33" s="27"/>
      <c r="N33" s="28"/>
      <c r="O33" s="11"/>
      <c r="P33" s="11" t="str">
        <f t="shared" si="2"/>
        <v/>
      </c>
      <c r="Q33" s="11" t="str">
        <f t="shared" si="3"/>
        <v/>
      </c>
      <c r="R33" s="612"/>
      <c r="S33" s="612"/>
      <c r="T33" s="612"/>
      <c r="U33" s="29"/>
    </row>
    <row r="34" spans="2:21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0"/>
      <c r="K34" s="11"/>
      <c r="L34" s="11"/>
      <c r="M34" s="27"/>
      <c r="N34" s="28"/>
      <c r="O34" s="11"/>
      <c r="P34" s="11" t="str">
        <f t="shared" si="2"/>
        <v/>
      </c>
      <c r="Q34" s="11" t="str">
        <f t="shared" si="3"/>
        <v/>
      </c>
      <c r="R34" s="612"/>
      <c r="S34" s="612"/>
      <c r="T34" s="612"/>
      <c r="U34" s="29"/>
    </row>
    <row r="35" spans="2:21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0"/>
      <c r="K35" s="11"/>
      <c r="L35" s="11"/>
      <c r="M35" s="27"/>
      <c r="N35" s="28"/>
      <c r="O35" s="11"/>
      <c r="P35" s="11" t="str">
        <f t="shared" si="2"/>
        <v/>
      </c>
      <c r="Q35" s="11" t="str">
        <f t="shared" si="3"/>
        <v/>
      </c>
      <c r="R35" s="612"/>
      <c r="S35" s="612"/>
      <c r="T35" s="612"/>
      <c r="U35" s="29"/>
    </row>
    <row r="36" spans="2:21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0"/>
      <c r="K36" s="11"/>
      <c r="L36" s="11"/>
      <c r="M36" s="27"/>
      <c r="N36" s="28"/>
      <c r="O36" s="11"/>
      <c r="P36" s="11" t="str">
        <f t="shared" si="2"/>
        <v/>
      </c>
      <c r="Q36" s="11" t="str">
        <f t="shared" si="3"/>
        <v/>
      </c>
      <c r="R36" s="612"/>
      <c r="S36" s="612"/>
      <c r="T36" s="612"/>
      <c r="U36" s="29"/>
    </row>
    <row r="37" spans="2:21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0"/>
      <c r="K37" s="11"/>
      <c r="L37" s="11"/>
      <c r="M37" s="27"/>
      <c r="N37" s="28"/>
      <c r="O37" s="11"/>
      <c r="P37" s="11" t="str">
        <f t="shared" si="2"/>
        <v/>
      </c>
      <c r="Q37" s="11" t="str">
        <f t="shared" si="3"/>
        <v/>
      </c>
      <c r="R37" s="612"/>
      <c r="S37" s="612"/>
      <c r="T37" s="612"/>
      <c r="U37" s="29"/>
    </row>
    <row r="38" spans="2:21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0"/>
      <c r="K38" s="11"/>
      <c r="L38" s="11"/>
      <c r="M38" s="27"/>
      <c r="N38" s="28"/>
      <c r="O38" s="11"/>
      <c r="P38" s="11" t="str">
        <f t="shared" si="2"/>
        <v/>
      </c>
      <c r="Q38" s="11" t="str">
        <f t="shared" si="3"/>
        <v/>
      </c>
      <c r="R38" s="612"/>
      <c r="S38" s="612"/>
      <c r="T38" s="612"/>
      <c r="U38" s="29"/>
    </row>
    <row r="39" spans="2:21" ht="19.899999999999999" customHeight="1" x14ac:dyDescent="0.25">
      <c r="B39" s="25"/>
      <c r="C39" s="26"/>
      <c r="D39" s="27"/>
      <c r="E39" s="28"/>
      <c r="F39" s="27"/>
      <c r="G39" s="28"/>
      <c r="H39" s="26"/>
      <c r="I39" s="11"/>
      <c r="J39" s="110"/>
      <c r="K39" s="11"/>
      <c r="L39" s="11"/>
      <c r="M39" s="27"/>
      <c r="N39" s="28"/>
      <c r="O39" s="11"/>
      <c r="P39" s="11" t="str">
        <f t="shared" si="2"/>
        <v/>
      </c>
      <c r="Q39" s="11" t="str">
        <f t="shared" si="3"/>
        <v/>
      </c>
      <c r="R39" s="612"/>
      <c r="S39" s="612"/>
      <c r="T39" s="612"/>
      <c r="U39" s="29"/>
    </row>
    <row r="40" spans="2:21" ht="19.899999999999999" customHeight="1" x14ac:dyDescent="0.25">
      <c r="B40" s="25"/>
      <c r="C40" s="26"/>
      <c r="D40" s="27"/>
      <c r="E40" s="28"/>
      <c r="F40" s="27"/>
      <c r="G40" s="28"/>
      <c r="H40" s="26"/>
      <c r="I40" s="11"/>
      <c r="J40" s="110"/>
      <c r="K40" s="11"/>
      <c r="L40" s="11"/>
      <c r="M40" s="27"/>
      <c r="N40" s="28"/>
      <c r="O40" s="11"/>
      <c r="P40" s="11" t="str">
        <f t="shared" si="2"/>
        <v/>
      </c>
      <c r="Q40" s="11" t="str">
        <f t="shared" si="3"/>
        <v/>
      </c>
      <c r="R40" s="612"/>
      <c r="S40" s="612"/>
      <c r="T40" s="612"/>
      <c r="U40" s="29"/>
    </row>
    <row r="41" spans="2:21" ht="19.899999999999999" customHeight="1" x14ac:dyDescent="0.25">
      <c r="B41" s="25"/>
      <c r="C41" s="26"/>
      <c r="D41" s="27"/>
      <c r="E41" s="28"/>
      <c r="F41" s="27"/>
      <c r="G41" s="28"/>
      <c r="H41" s="26"/>
      <c r="I41" s="11"/>
      <c r="J41" s="110"/>
      <c r="K41" s="11"/>
      <c r="L41" s="11"/>
      <c r="M41" s="27"/>
      <c r="N41" s="28"/>
      <c r="O41" s="11"/>
      <c r="P41" s="11" t="str">
        <f t="shared" si="2"/>
        <v/>
      </c>
      <c r="Q41" s="11" t="str">
        <f t="shared" si="3"/>
        <v/>
      </c>
      <c r="R41" s="612"/>
      <c r="S41" s="612"/>
      <c r="T41" s="612"/>
      <c r="U41" s="29"/>
    </row>
    <row r="42" spans="2:21" ht="19.899999999999999" customHeight="1" x14ac:dyDescent="0.25">
      <c r="B42" s="25"/>
      <c r="C42" s="26"/>
      <c r="D42" s="27"/>
      <c r="E42" s="28"/>
      <c r="F42" s="27"/>
      <c r="G42" s="28"/>
      <c r="H42" s="26"/>
      <c r="I42" s="11"/>
      <c r="J42" s="110"/>
      <c r="K42" s="11"/>
      <c r="L42" s="11"/>
      <c r="M42" s="27"/>
      <c r="N42" s="28"/>
      <c r="O42" s="11"/>
      <c r="P42" s="11" t="str">
        <f t="shared" si="2"/>
        <v/>
      </c>
      <c r="Q42" s="11" t="str">
        <f t="shared" si="3"/>
        <v/>
      </c>
      <c r="R42" s="612"/>
      <c r="S42" s="612"/>
      <c r="T42" s="612"/>
      <c r="U42" s="29"/>
    </row>
    <row r="43" spans="2:21" ht="19.899999999999999" customHeight="1" x14ac:dyDescent="0.25">
      <c r="B43" s="25"/>
      <c r="C43" s="26"/>
      <c r="D43" s="27"/>
      <c r="E43" s="28"/>
      <c r="F43" s="27"/>
      <c r="G43" s="28"/>
      <c r="H43" s="26"/>
      <c r="I43" s="11"/>
      <c r="J43" s="110"/>
      <c r="K43" s="11"/>
      <c r="L43" s="11"/>
      <c r="M43" s="27"/>
      <c r="N43" s="28"/>
      <c r="O43" s="11"/>
      <c r="P43" s="11" t="str">
        <f t="shared" si="2"/>
        <v/>
      </c>
      <c r="Q43" s="11" t="str">
        <f t="shared" si="3"/>
        <v/>
      </c>
      <c r="R43" s="612"/>
      <c r="S43" s="612"/>
      <c r="T43" s="612"/>
      <c r="U43" s="29"/>
    </row>
    <row r="44" spans="2:21" ht="19.899999999999999" customHeight="1" x14ac:dyDescent="0.25">
      <c r="B44" s="25"/>
      <c r="C44" s="26"/>
      <c r="D44" s="27"/>
      <c r="E44" s="28"/>
      <c r="F44" s="27"/>
      <c r="G44" s="28"/>
      <c r="H44" s="26"/>
      <c r="I44" s="11"/>
      <c r="J44" s="110"/>
      <c r="K44" s="11"/>
      <c r="L44" s="11"/>
      <c r="M44" s="27"/>
      <c r="N44" s="28"/>
      <c r="O44" s="11"/>
      <c r="P44" s="11" t="str">
        <f t="shared" si="2"/>
        <v/>
      </c>
      <c r="Q44" s="11" t="str">
        <f t="shared" si="3"/>
        <v/>
      </c>
      <c r="R44" s="612"/>
      <c r="S44" s="612"/>
      <c r="T44" s="612"/>
      <c r="U44" s="29"/>
    </row>
    <row r="45" spans="2:21" ht="19.899999999999999" customHeight="1" thickBot="1" x14ac:dyDescent="0.3">
      <c r="B45" s="30"/>
      <c r="C45" s="31"/>
      <c r="D45" s="32"/>
      <c r="E45" s="33"/>
      <c r="F45" s="32"/>
      <c r="G45" s="33"/>
      <c r="H45" s="31"/>
      <c r="I45" s="12"/>
      <c r="J45" s="111"/>
      <c r="K45" s="12"/>
      <c r="L45" s="12"/>
      <c r="M45" s="32"/>
      <c r="N45" s="33"/>
      <c r="O45" s="12"/>
      <c r="P45" s="12" t="str">
        <f t="shared" si="2"/>
        <v/>
      </c>
      <c r="Q45" s="12" t="str">
        <f t="shared" si="3"/>
        <v/>
      </c>
      <c r="R45" s="634"/>
      <c r="S45" s="634"/>
      <c r="T45" s="634"/>
      <c r="U45" s="34"/>
    </row>
    <row r="46" spans="2:21" ht="19.899999999999999" customHeight="1" thickTop="1" x14ac:dyDescent="0.25"/>
  </sheetData>
  <mergeCells count="82">
    <mergeCell ref="R45:T45"/>
    <mergeCell ref="R39:T39"/>
    <mergeCell ref="R40:T40"/>
    <mergeCell ref="R41:T41"/>
    <mergeCell ref="R42:T42"/>
    <mergeCell ref="R43:T43"/>
    <mergeCell ref="R44:T44"/>
    <mergeCell ref="R38:T38"/>
    <mergeCell ref="R27:T27"/>
    <mergeCell ref="R28:T28"/>
    <mergeCell ref="R29:T29"/>
    <mergeCell ref="R30:T30"/>
    <mergeCell ref="R31:T31"/>
    <mergeCell ref="R32:T32"/>
    <mergeCell ref="R33:T33"/>
    <mergeCell ref="R34:T34"/>
    <mergeCell ref="R35:T35"/>
    <mergeCell ref="R36:T36"/>
    <mergeCell ref="R37:T37"/>
    <mergeCell ref="W15:X15"/>
    <mergeCell ref="R17:T17"/>
    <mergeCell ref="R18:T18"/>
    <mergeCell ref="R19:T19"/>
    <mergeCell ref="R20:T20"/>
    <mergeCell ref="R15:T16"/>
    <mergeCell ref="M15:N15"/>
    <mergeCell ref="P15:P16"/>
    <mergeCell ref="Q15:Q16"/>
    <mergeCell ref="R26:T26"/>
    <mergeCell ref="U15:U16"/>
    <mergeCell ref="R21:T21"/>
    <mergeCell ref="R22:T22"/>
    <mergeCell ref="R23:T23"/>
    <mergeCell ref="R24:T24"/>
    <mergeCell ref="R25:T25"/>
    <mergeCell ref="I15:I16"/>
    <mergeCell ref="B11:F11"/>
    <mergeCell ref="G11:U11"/>
    <mergeCell ref="C12:F12"/>
    <mergeCell ref="H12:R12"/>
    <mergeCell ref="T12:U12"/>
    <mergeCell ref="C13:F13"/>
    <mergeCell ref="H13:R13"/>
    <mergeCell ref="T13:U13"/>
    <mergeCell ref="B15:B16"/>
    <mergeCell ref="C15:C16"/>
    <mergeCell ref="D15:E15"/>
    <mergeCell ref="F15:G15"/>
    <mergeCell ref="H15:H16"/>
    <mergeCell ref="J15:J16"/>
    <mergeCell ref="L15:L16"/>
    <mergeCell ref="B8:D8"/>
    <mergeCell ref="E8:F8"/>
    <mergeCell ref="G8:H8"/>
    <mergeCell ref="J8:U8"/>
    <mergeCell ref="B9:D9"/>
    <mergeCell ref="E9:F9"/>
    <mergeCell ref="G9:H9"/>
    <mergeCell ref="J9:U9"/>
    <mergeCell ref="B6:D6"/>
    <mergeCell ref="E6:F6"/>
    <mergeCell ref="G6:H6"/>
    <mergeCell ref="J6:U6"/>
    <mergeCell ref="B7:D7"/>
    <mergeCell ref="E7:F7"/>
    <mergeCell ref="G7:H7"/>
    <mergeCell ref="J7:U7"/>
    <mergeCell ref="B4:D4"/>
    <mergeCell ref="E4:F4"/>
    <mergeCell ref="G4:H4"/>
    <mergeCell ref="J4:U4"/>
    <mergeCell ref="B5:D5"/>
    <mergeCell ref="E5:F5"/>
    <mergeCell ref="G5:H5"/>
    <mergeCell ref="J5:U5"/>
    <mergeCell ref="B2:D3"/>
    <mergeCell ref="E2:H2"/>
    <mergeCell ref="J2:U2"/>
    <mergeCell ref="W2:X2"/>
    <mergeCell ref="E3:F3"/>
    <mergeCell ref="G3:H3"/>
    <mergeCell ref="J3:U3"/>
  </mergeCells>
  <conditionalFormatting sqref="B17:R45">
    <cfRule type="containsBlanks" dxfId="23" priority="1">
      <formula>LEN(TRIM(B17))=0</formula>
    </cfRule>
  </conditionalFormatting>
  <conditionalFormatting sqref="U17:U45">
    <cfRule type="containsBlanks" dxfId="22" priority="2">
      <formula>LEN(TRIM(U17))=0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59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503F-32E5-4407-BE00-44AC2D32EF8D}">
  <sheetPr>
    <pageSetUpPr fitToPage="1"/>
  </sheetPr>
  <dimension ref="B1:AB51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9" width="12.7109375" style="3" customWidth="1"/>
    <col min="20" max="20" width="20.7109375" style="3" customWidth="1"/>
    <col min="21" max="22" width="10.7109375" style="3" customWidth="1"/>
    <col min="23" max="16384" width="10.7109375" style="3"/>
  </cols>
  <sheetData>
    <row r="1" spans="2:26" ht="19.899999999999999" customHeight="1" thickBot="1" x14ac:dyDescent="0.3"/>
    <row r="2" spans="2:26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2"/>
      <c r="S2" s="632"/>
      <c r="T2" s="632"/>
      <c r="U2" s="632"/>
      <c r="V2" s="632"/>
      <c r="W2" s="633"/>
      <c r="Y2" s="611" t="s">
        <v>294</v>
      </c>
      <c r="Z2" s="611"/>
    </row>
    <row r="3" spans="2:26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  <c r="V3" s="614"/>
      <c r="W3" s="615"/>
      <c r="Y3" s="36"/>
      <c r="Z3" s="36"/>
    </row>
    <row r="4" spans="2:26" ht="15" customHeight="1" x14ac:dyDescent="0.25">
      <c r="B4" s="647" t="s">
        <v>296</v>
      </c>
      <c r="C4" s="648"/>
      <c r="D4" s="648"/>
      <c r="E4" s="653">
        <f>IF($G$13="","",VLOOKUP($G$13,RESUMO!$C:$G,5,FALSE))</f>
        <v>4037.16</v>
      </c>
      <c r="F4" s="653"/>
      <c r="G4" s="640">
        <f t="shared" ref="G4:G9" si="0">E4*$V$13</f>
        <v>3189.36</v>
      </c>
      <c r="H4" s="641"/>
      <c r="J4" s="613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5"/>
      <c r="Y4" s="36"/>
      <c r="Z4" s="36"/>
    </row>
    <row r="5" spans="2:26" ht="15" customHeight="1" x14ac:dyDescent="0.25">
      <c r="B5" s="649" t="s">
        <v>297</v>
      </c>
      <c r="C5" s="650"/>
      <c r="D5" s="650"/>
      <c r="E5" s="654">
        <f>SUMIFS(R:R,W:W,"&lt;&gt;")</f>
        <v>4037.1584102564966</v>
      </c>
      <c r="F5" s="654"/>
      <c r="G5" s="642">
        <f t="shared" si="0"/>
        <v>3189.3587441012151</v>
      </c>
      <c r="H5" s="643"/>
      <c r="J5" s="613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  <c r="V5" s="614"/>
      <c r="W5" s="615"/>
      <c r="Y5" s="36"/>
      <c r="Z5" s="36"/>
    </row>
    <row r="6" spans="2:26" ht="15" customHeight="1" x14ac:dyDescent="0.25">
      <c r="B6" s="649" t="s">
        <v>298</v>
      </c>
      <c r="C6" s="650"/>
      <c r="D6" s="650"/>
      <c r="E6" s="654">
        <f>E5-E9</f>
        <v>4037.1584102564966</v>
      </c>
      <c r="F6" s="654"/>
      <c r="G6" s="642">
        <f t="shared" si="0"/>
        <v>3189.3587441012151</v>
      </c>
      <c r="H6" s="643"/>
      <c r="J6" s="613"/>
      <c r="K6" s="614"/>
      <c r="L6" s="614"/>
      <c r="M6" s="614"/>
      <c r="N6" s="614"/>
      <c r="O6" s="614"/>
      <c r="P6" s="614"/>
      <c r="Q6" s="614"/>
      <c r="R6" s="614"/>
      <c r="S6" s="614"/>
      <c r="T6" s="614"/>
      <c r="U6" s="614"/>
      <c r="V6" s="614"/>
      <c r="W6" s="615"/>
    </row>
    <row r="7" spans="2:26" ht="15" customHeight="1" x14ac:dyDescent="0.25">
      <c r="B7" s="649" t="s">
        <v>299</v>
      </c>
      <c r="C7" s="650"/>
      <c r="D7" s="650"/>
      <c r="E7" s="644">
        <f>E4-E5</f>
        <v>1.5897435032456997E-3</v>
      </c>
      <c r="F7" s="645"/>
      <c r="G7" s="642">
        <f t="shared" si="0"/>
        <v>1.2558987851637551E-3</v>
      </c>
      <c r="H7" s="643"/>
      <c r="J7" s="613"/>
      <c r="K7" s="614"/>
      <c r="L7" s="614"/>
      <c r="M7" s="614"/>
      <c r="N7" s="614"/>
      <c r="O7" s="614"/>
      <c r="P7" s="614"/>
      <c r="Q7" s="614"/>
      <c r="R7" s="614"/>
      <c r="S7" s="614"/>
      <c r="T7" s="614"/>
      <c r="U7" s="614"/>
      <c r="V7" s="614"/>
      <c r="W7" s="615"/>
    </row>
    <row r="8" spans="2:26" ht="15" customHeight="1" x14ac:dyDescent="0.25">
      <c r="B8" s="655" t="s">
        <v>300</v>
      </c>
      <c r="C8" s="656"/>
      <c r="D8" s="656"/>
      <c r="E8" s="657">
        <f>SUM(R:R)-E5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4"/>
      <c r="S8" s="614"/>
      <c r="T8" s="614"/>
      <c r="U8" s="614"/>
      <c r="V8" s="614"/>
      <c r="W8" s="615"/>
    </row>
    <row r="9" spans="2:26" ht="15" customHeight="1" thickBot="1" x14ac:dyDescent="0.3">
      <c r="B9" s="651" t="s">
        <v>301</v>
      </c>
      <c r="C9" s="652"/>
      <c r="D9" s="652"/>
      <c r="E9" s="646">
        <f>SUMIF(W:W,CAPA!$I$2,R:R)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7"/>
      <c r="R9" s="617"/>
      <c r="S9" s="617"/>
      <c r="T9" s="617"/>
      <c r="U9" s="617"/>
      <c r="V9" s="617"/>
      <c r="W9" s="618"/>
    </row>
    <row r="10" spans="2:26" ht="10.15" customHeight="1" thickTop="1" thickBot="1" x14ac:dyDescent="0.3"/>
    <row r="11" spans="2:26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5"/>
      <c r="T11" s="625"/>
      <c r="U11" s="625"/>
      <c r="V11" s="625"/>
      <c r="W11" s="626"/>
    </row>
    <row r="12" spans="2:26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619"/>
      <c r="Q12" s="619"/>
      <c r="R12" s="619"/>
      <c r="S12" s="619"/>
      <c r="T12" s="619"/>
      <c r="U12" s="14" t="s">
        <v>303</v>
      </c>
      <c r="V12" s="619" t="s">
        <v>304</v>
      </c>
      <c r="W12" s="620"/>
    </row>
    <row r="13" spans="2:26" s="8" customFormat="1" ht="30" customHeight="1" thickBot="1" x14ac:dyDescent="0.3">
      <c r="B13" s="15" t="str">
        <f>RESUMO!C78</f>
        <v>D.3</v>
      </c>
      <c r="C13" s="623" t="str">
        <f>IF($B$13="","",VLOOKUP($B$13,RESUMO!$C:$F,2,FALSE))</f>
        <v>Material Betuminoso e Transportes</v>
      </c>
      <c r="D13" s="623"/>
      <c r="E13" s="623"/>
      <c r="F13" s="662"/>
      <c r="G13" s="16" t="str">
        <f>RESUMO!C84</f>
        <v>D.3.6</v>
      </c>
      <c r="H13" s="623" t="str">
        <f>IF($G$13="","",VLOOKUP($G$13,RESUMO!$C:$F,2,FALSE))</f>
        <v>Transporte com caminhão basculante de 14 m³ - rodovia pavimentada  - Materiais Betuminosos</v>
      </c>
      <c r="I13" s="623"/>
      <c r="J13" s="623"/>
      <c r="K13" s="623"/>
      <c r="L13" s="623"/>
      <c r="M13" s="623"/>
      <c r="N13" s="623"/>
      <c r="O13" s="623"/>
      <c r="P13" s="623"/>
      <c r="Q13" s="623"/>
      <c r="R13" s="623"/>
      <c r="S13" s="623"/>
      <c r="T13" s="623"/>
      <c r="U13" s="17" t="str">
        <f>IF($G$13="","",VLOOKUP($G$13,RESUMO!$C:$F,3,FALSE))</f>
        <v>T x Km</v>
      </c>
      <c r="V13" s="621">
        <f>IF($G$13="","",VLOOKUP($G$13,RESUMO!$C:$F,4,FALSE))</f>
        <v>0.79000089171595878</v>
      </c>
      <c r="W13" s="622"/>
    </row>
    <row r="14" spans="2:26" ht="10.15" customHeight="1" thickTop="1" thickBot="1" x14ac:dyDescent="0.3"/>
    <row r="15" spans="2:26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672" t="s">
        <v>327</v>
      </c>
      <c r="K15" s="9" t="s">
        <v>354</v>
      </c>
      <c r="L15" s="9" t="s">
        <v>378</v>
      </c>
      <c r="M15" s="9" t="s">
        <v>379</v>
      </c>
      <c r="N15" s="627" t="s">
        <v>380</v>
      </c>
      <c r="O15" s="627" t="s">
        <v>328</v>
      </c>
      <c r="P15" s="627"/>
      <c r="Q15" s="9" t="s">
        <v>331</v>
      </c>
      <c r="R15" s="627" t="s">
        <v>310</v>
      </c>
      <c r="S15" s="627" t="s">
        <v>311</v>
      </c>
      <c r="T15" s="627" t="s">
        <v>312</v>
      </c>
      <c r="U15" s="627"/>
      <c r="V15" s="627"/>
      <c r="W15" s="629" t="s">
        <v>27</v>
      </c>
      <c r="Y15" s="611" t="s">
        <v>313</v>
      </c>
      <c r="Z15" s="611"/>
    </row>
    <row r="16" spans="2:26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673"/>
      <c r="K16" s="10" t="s">
        <v>368</v>
      </c>
      <c r="L16" s="10" t="s">
        <v>368</v>
      </c>
      <c r="M16" s="10" t="s">
        <v>368</v>
      </c>
      <c r="N16" s="628"/>
      <c r="O16" s="10" t="s">
        <v>314</v>
      </c>
      <c r="P16" s="10" t="s">
        <v>315</v>
      </c>
      <c r="Q16" s="10" t="s">
        <v>335</v>
      </c>
      <c r="R16" s="628"/>
      <c r="S16" s="628"/>
      <c r="T16" s="628"/>
      <c r="U16" s="628"/>
      <c r="V16" s="628"/>
      <c r="W16" s="630"/>
      <c r="Y16" s="35" t="s">
        <v>269</v>
      </c>
      <c r="Z16" s="35" t="s">
        <v>47</v>
      </c>
    </row>
    <row r="17" spans="2:28" ht="19.899999999999999" customHeight="1" thickTop="1" x14ac:dyDescent="0.25">
      <c r="B17" s="19" t="s">
        <v>316</v>
      </c>
      <c r="C17" s="20" t="s">
        <v>306</v>
      </c>
      <c r="D17" s="21">
        <v>307</v>
      </c>
      <c r="E17" s="22">
        <v>90</v>
      </c>
      <c r="F17" s="21"/>
      <c r="G17" s="22"/>
      <c r="H17" s="20" t="s">
        <v>306</v>
      </c>
      <c r="I17" s="23" t="s">
        <v>325</v>
      </c>
      <c r="J17" s="109" t="s">
        <v>381</v>
      </c>
      <c r="K17" s="23">
        <f>'D.3.3'!M17</f>
        <v>0.58394290500000012</v>
      </c>
      <c r="L17" s="23">
        <f>'D.3.2'!M17</f>
        <v>0.41699776066844996</v>
      </c>
      <c r="M17" s="23">
        <f>'D.3.1'!M17</f>
        <v>3.9729935186999996</v>
      </c>
      <c r="N17" s="23" t="s">
        <v>362</v>
      </c>
      <c r="O17" s="21"/>
      <c r="P17" s="22"/>
      <c r="Q17" s="23">
        <v>236</v>
      </c>
      <c r="R17" s="23">
        <f>IF(K17="","",SUM(K17,L17,M17)*Q17)</f>
        <v>1173.8484675109539</v>
      </c>
      <c r="S17" s="23">
        <f>IF(OR(B17="",R17=""),"",IF(AND(S16="",W17=""),S16,SUM(R17,S16)))</f>
        <v>1173.8484675109539</v>
      </c>
      <c r="T17" s="635" t="s">
        <v>382</v>
      </c>
      <c r="U17" s="635"/>
      <c r="V17" s="635"/>
      <c r="W17" s="29">
        <v>1</v>
      </c>
      <c r="Y17" s="84" t="s">
        <v>160</v>
      </c>
      <c r="Z17" s="83" t="str">
        <f>IF($Y17="","",VLOOKUP($Y17,RESUMO!$C:$D,2,FALSE))</f>
        <v>Fornecimento de CAP modificado com adição de polímero</v>
      </c>
      <c r="AB17" s="85" t="str">
        <f>HYPERLINK("#"&amp;"'"&amp;Y17&amp;"'"&amp;"!A1","LINK")</f>
        <v>LINK</v>
      </c>
    </row>
    <row r="18" spans="2:28" ht="19.899999999999999" customHeight="1" x14ac:dyDescent="0.25">
      <c r="B18" s="25" t="s">
        <v>316</v>
      </c>
      <c r="C18" s="26" t="s">
        <v>306</v>
      </c>
      <c r="D18" s="27">
        <v>306</v>
      </c>
      <c r="E18" s="28">
        <v>730</v>
      </c>
      <c r="F18" s="27"/>
      <c r="G18" s="28"/>
      <c r="H18" s="26" t="s">
        <v>306</v>
      </c>
      <c r="I18" s="11" t="s">
        <v>325</v>
      </c>
      <c r="J18" s="110" t="s">
        <v>381</v>
      </c>
      <c r="K18" s="11">
        <f>'D.3.3'!M18</f>
        <v>0.80651571000000022</v>
      </c>
      <c r="L18" s="11">
        <f>'D.3.2'!M18</f>
        <v>0.57593838996459001</v>
      </c>
      <c r="M18" s="11">
        <f>'D.3.1'!M18</f>
        <v>5.4873201833999996</v>
      </c>
      <c r="N18" s="11" t="s">
        <v>362</v>
      </c>
      <c r="O18" s="27"/>
      <c r="P18" s="28"/>
      <c r="Q18" s="11">
        <v>236</v>
      </c>
      <c r="R18" s="11">
        <f t="shared" ref="R18:R50" si="1">IF(K18="","",SUM(K18,L18,M18)*Q18)</f>
        <v>1621.2667308740433</v>
      </c>
      <c r="S18" s="11">
        <f>IF(B18="","",IF(OR(S17="",W18=""),S17,SUM(R18,S17)))</f>
        <v>2795.1151983849973</v>
      </c>
      <c r="T18" s="612" t="s">
        <v>382</v>
      </c>
      <c r="U18" s="612"/>
      <c r="V18" s="612"/>
      <c r="W18" s="29">
        <v>1</v>
      </c>
      <c r="Y18" s="84" t="s">
        <v>161</v>
      </c>
      <c r="Z18" s="83" t="str">
        <f>IF($Y18="","",VLOOKUP($Y18,RESUMO!$C:$D,2,FALSE))</f>
        <v xml:space="preserve">Fornecimento de emulsão asfáltica tipo RR-1C                                </v>
      </c>
      <c r="AB18" s="85" t="str">
        <f t="shared" ref="AB18:AB22" si="2">HYPERLINK("#"&amp;"'"&amp;Y18&amp;"'"&amp;"!A1","LINK")</f>
        <v>LINK</v>
      </c>
    </row>
    <row r="19" spans="2:28" ht="19.899999999999999" customHeight="1" x14ac:dyDescent="0.25">
      <c r="B19" s="25" t="s">
        <v>316</v>
      </c>
      <c r="C19" s="26" t="s">
        <v>306</v>
      </c>
      <c r="D19" s="27">
        <v>306</v>
      </c>
      <c r="E19" s="28">
        <v>630</v>
      </c>
      <c r="F19" s="27"/>
      <c r="G19" s="28"/>
      <c r="H19" s="26" t="s">
        <v>306</v>
      </c>
      <c r="I19" s="11" t="s">
        <v>325</v>
      </c>
      <c r="J19" s="110" t="s">
        <v>381</v>
      </c>
      <c r="K19" s="11"/>
      <c r="L19" s="11">
        <f>'D.3.2'!M19</f>
        <v>0.49991285955719994</v>
      </c>
      <c r="M19" s="11">
        <f>'D.3.1'!M19</f>
        <v>4.7629821059999999</v>
      </c>
      <c r="N19" s="11" t="s">
        <v>362</v>
      </c>
      <c r="O19" s="27"/>
      <c r="P19" s="28"/>
      <c r="Q19" s="11">
        <v>236</v>
      </c>
      <c r="R19" s="11">
        <f>SUM(L19:M19)*Q19</f>
        <v>1242.0432118714991</v>
      </c>
      <c r="S19" s="11">
        <f t="shared" ref="S19:S50" si="3">IF(B19="","",IF(OR(S18="",W19=""),S18,SUM(R19,S18)))</f>
        <v>4037.1584102564966</v>
      </c>
      <c r="T19" s="612" t="s">
        <v>382</v>
      </c>
      <c r="U19" s="612"/>
      <c r="V19" s="612"/>
      <c r="W19" s="29">
        <v>1</v>
      </c>
      <c r="Y19" s="84" t="s">
        <v>162</v>
      </c>
      <c r="Z19" s="83" t="str">
        <f>IF($Y19="","",VLOOKUP($Y19,RESUMO!$C:$D,2,FALSE))</f>
        <v xml:space="preserve">Fornecimento de emulsão asfáltica Imprimer                </v>
      </c>
      <c r="AB19" s="85" t="str">
        <f t="shared" si="2"/>
        <v>LINK</v>
      </c>
    </row>
    <row r="20" spans="2:28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0"/>
      <c r="K20" s="11"/>
      <c r="L20" s="11"/>
      <c r="M20" s="11"/>
      <c r="N20" s="11"/>
      <c r="O20" s="27"/>
      <c r="P20" s="28"/>
      <c r="Q20" s="11"/>
      <c r="R20" s="11" t="str">
        <f t="shared" si="1"/>
        <v/>
      </c>
      <c r="S20" s="11" t="str">
        <f t="shared" si="3"/>
        <v/>
      </c>
      <c r="T20" s="612"/>
      <c r="U20" s="612"/>
      <c r="V20" s="612"/>
      <c r="W20" s="29"/>
      <c r="Y20" s="84" t="s">
        <v>163</v>
      </c>
      <c r="Z20" s="83" t="str">
        <f>IF($Y20="","",VLOOKUP($Y20,RESUMO!$C:$D,2,FALSE))</f>
        <v xml:space="preserve">Transporte com caminhão basculante de 14 m³ - rodovia pavimentada  - Agregados  </v>
      </c>
      <c r="AB20" s="85" t="str">
        <f t="shared" si="2"/>
        <v>LINK</v>
      </c>
    </row>
    <row r="21" spans="2:28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0"/>
      <c r="K21" s="11"/>
      <c r="L21" s="11"/>
      <c r="M21" s="11"/>
      <c r="N21" s="11"/>
      <c r="O21" s="27"/>
      <c r="P21" s="28"/>
      <c r="Q21" s="11"/>
      <c r="R21" s="11" t="str">
        <f t="shared" si="1"/>
        <v/>
      </c>
      <c r="S21" s="11" t="str">
        <f t="shared" si="3"/>
        <v/>
      </c>
      <c r="T21" s="612"/>
      <c r="U21" s="612"/>
      <c r="V21" s="612"/>
      <c r="W21" s="29"/>
      <c r="Y21" s="84" t="s">
        <v>164</v>
      </c>
      <c r="Z21" s="83" t="str">
        <f>IF($Y21="","",VLOOKUP($Y21,RESUMO!$C:$D,2,FALSE))</f>
        <v xml:space="preserve">Transporte com caminhão basculante de 14 m³ - rodovia pavimentada  - Massa Asfaltica  </v>
      </c>
      <c r="AB21" s="85" t="str">
        <f t="shared" si="2"/>
        <v>LINK</v>
      </c>
    </row>
    <row r="22" spans="2:28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0"/>
      <c r="K22" s="11"/>
      <c r="L22" s="11"/>
      <c r="M22" s="11"/>
      <c r="N22" s="11"/>
      <c r="O22" s="27"/>
      <c r="P22" s="28"/>
      <c r="Q22" s="11"/>
      <c r="R22" s="11" t="str">
        <f t="shared" si="1"/>
        <v/>
      </c>
      <c r="S22" s="11" t="str">
        <f t="shared" si="3"/>
        <v/>
      </c>
      <c r="T22" s="612"/>
      <c r="U22" s="612"/>
      <c r="V22" s="612"/>
      <c r="W22" s="29"/>
      <c r="Y22" s="84" t="s">
        <v>165</v>
      </c>
      <c r="Z22" s="83" t="str">
        <f>IF($Y22="","",VLOOKUP($Y22,RESUMO!$C:$D,2,FALSE))</f>
        <v>Transporte com caminhão basculante de 14 m³ - rodovia pavimentada  - Materiais Betuminosos</v>
      </c>
      <c r="AB22" s="85" t="str">
        <f t="shared" si="2"/>
        <v>LINK</v>
      </c>
    </row>
    <row r="23" spans="2:28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0"/>
      <c r="K23" s="11"/>
      <c r="L23" s="11"/>
      <c r="M23" s="11"/>
      <c r="N23" s="11"/>
      <c r="O23" s="27"/>
      <c r="P23" s="28"/>
      <c r="Q23" s="11"/>
      <c r="R23" s="11" t="str">
        <f t="shared" si="1"/>
        <v/>
      </c>
      <c r="S23" s="11" t="str">
        <f t="shared" si="3"/>
        <v/>
      </c>
      <c r="T23" s="612"/>
      <c r="U23" s="612"/>
      <c r="V23" s="612"/>
      <c r="W23" s="29"/>
      <c r="Y23" s="84"/>
      <c r="Z23" s="83"/>
      <c r="AB23" s="85"/>
    </row>
    <row r="24" spans="2:28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0"/>
      <c r="K24" s="11"/>
      <c r="L24" s="11"/>
      <c r="M24" s="11"/>
      <c r="N24" s="11"/>
      <c r="O24" s="27"/>
      <c r="P24" s="28"/>
      <c r="Q24" s="11"/>
      <c r="R24" s="11" t="str">
        <f t="shared" si="1"/>
        <v/>
      </c>
      <c r="S24" s="11" t="str">
        <f t="shared" si="3"/>
        <v/>
      </c>
      <c r="T24" s="612"/>
      <c r="U24" s="612"/>
      <c r="V24" s="612"/>
      <c r="W24" s="29"/>
    </row>
    <row r="25" spans="2:28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0"/>
      <c r="K25" s="11"/>
      <c r="L25" s="11"/>
      <c r="M25" s="11"/>
      <c r="N25" s="11"/>
      <c r="O25" s="27"/>
      <c r="P25" s="28"/>
      <c r="Q25" s="11"/>
      <c r="R25" s="11" t="str">
        <f t="shared" si="1"/>
        <v/>
      </c>
      <c r="S25" s="11" t="str">
        <f t="shared" si="3"/>
        <v/>
      </c>
      <c r="T25" s="612"/>
      <c r="U25" s="612"/>
      <c r="V25" s="612"/>
      <c r="W25" s="29"/>
    </row>
    <row r="26" spans="2:28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0"/>
      <c r="K26" s="11"/>
      <c r="L26" s="11"/>
      <c r="M26" s="11"/>
      <c r="N26" s="11"/>
      <c r="O26" s="27"/>
      <c r="P26" s="28"/>
      <c r="Q26" s="11"/>
      <c r="R26" s="11" t="str">
        <f t="shared" si="1"/>
        <v/>
      </c>
      <c r="S26" s="11" t="str">
        <f t="shared" si="3"/>
        <v/>
      </c>
      <c r="T26" s="612"/>
      <c r="U26" s="612"/>
      <c r="V26" s="612"/>
      <c r="W26" s="29"/>
    </row>
    <row r="27" spans="2:28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0"/>
      <c r="K27" s="11"/>
      <c r="L27" s="11"/>
      <c r="M27" s="11"/>
      <c r="N27" s="11"/>
      <c r="O27" s="27"/>
      <c r="P27" s="28"/>
      <c r="Q27" s="11"/>
      <c r="R27" s="11" t="str">
        <f t="shared" si="1"/>
        <v/>
      </c>
      <c r="S27" s="11" t="str">
        <f t="shared" si="3"/>
        <v/>
      </c>
      <c r="T27" s="612"/>
      <c r="U27" s="612"/>
      <c r="V27" s="612"/>
      <c r="W27" s="29"/>
    </row>
    <row r="28" spans="2:28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0"/>
      <c r="K28" s="11"/>
      <c r="L28" s="11"/>
      <c r="M28" s="11"/>
      <c r="N28" s="11"/>
      <c r="O28" s="27"/>
      <c r="P28" s="28"/>
      <c r="Q28" s="11"/>
      <c r="R28" s="11" t="str">
        <f t="shared" si="1"/>
        <v/>
      </c>
      <c r="S28" s="11" t="str">
        <f t="shared" si="3"/>
        <v/>
      </c>
      <c r="T28" s="612"/>
      <c r="U28" s="612"/>
      <c r="V28" s="612"/>
      <c r="W28" s="29"/>
    </row>
    <row r="29" spans="2:28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0"/>
      <c r="K29" s="11"/>
      <c r="L29" s="11"/>
      <c r="M29" s="11"/>
      <c r="N29" s="11"/>
      <c r="O29" s="27"/>
      <c r="P29" s="28"/>
      <c r="Q29" s="11"/>
      <c r="R29" s="11" t="str">
        <f t="shared" si="1"/>
        <v/>
      </c>
      <c r="S29" s="11" t="str">
        <f t="shared" si="3"/>
        <v/>
      </c>
      <c r="T29" s="612"/>
      <c r="U29" s="612"/>
      <c r="V29" s="612"/>
      <c r="W29" s="29"/>
    </row>
    <row r="30" spans="2:28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0"/>
      <c r="K30" s="11"/>
      <c r="L30" s="11"/>
      <c r="M30" s="11"/>
      <c r="N30" s="11"/>
      <c r="O30" s="27"/>
      <c r="P30" s="28"/>
      <c r="Q30" s="11"/>
      <c r="R30" s="11" t="str">
        <f t="shared" si="1"/>
        <v/>
      </c>
      <c r="S30" s="11" t="str">
        <f t="shared" si="3"/>
        <v/>
      </c>
      <c r="T30" s="612"/>
      <c r="U30" s="612"/>
      <c r="V30" s="612"/>
      <c r="W30" s="29"/>
    </row>
    <row r="31" spans="2:28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0"/>
      <c r="K31" s="11"/>
      <c r="L31" s="11"/>
      <c r="M31" s="11"/>
      <c r="N31" s="11"/>
      <c r="O31" s="27"/>
      <c r="P31" s="28"/>
      <c r="Q31" s="11"/>
      <c r="R31" s="11" t="str">
        <f t="shared" si="1"/>
        <v/>
      </c>
      <c r="S31" s="11" t="str">
        <f t="shared" si="3"/>
        <v/>
      </c>
      <c r="T31" s="612"/>
      <c r="U31" s="612"/>
      <c r="V31" s="612"/>
      <c r="W31" s="29"/>
    </row>
    <row r="32" spans="2:28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0"/>
      <c r="K32" s="11"/>
      <c r="L32" s="11"/>
      <c r="M32" s="11"/>
      <c r="N32" s="11"/>
      <c r="O32" s="27"/>
      <c r="P32" s="28"/>
      <c r="Q32" s="11"/>
      <c r="R32" s="11" t="str">
        <f t="shared" si="1"/>
        <v/>
      </c>
      <c r="S32" s="11" t="str">
        <f t="shared" si="3"/>
        <v/>
      </c>
      <c r="T32" s="612"/>
      <c r="U32" s="612"/>
      <c r="V32" s="612"/>
      <c r="W32" s="29"/>
    </row>
    <row r="33" spans="2:23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0"/>
      <c r="K33" s="11"/>
      <c r="L33" s="11"/>
      <c r="M33" s="11"/>
      <c r="N33" s="11"/>
      <c r="O33" s="27"/>
      <c r="P33" s="28"/>
      <c r="Q33" s="11"/>
      <c r="R33" s="11" t="str">
        <f t="shared" si="1"/>
        <v/>
      </c>
      <c r="S33" s="11" t="str">
        <f t="shared" si="3"/>
        <v/>
      </c>
      <c r="T33" s="612"/>
      <c r="U33" s="612"/>
      <c r="V33" s="612"/>
      <c r="W33" s="29"/>
    </row>
    <row r="34" spans="2:23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0"/>
      <c r="K34" s="11"/>
      <c r="L34" s="11"/>
      <c r="M34" s="11"/>
      <c r="N34" s="11"/>
      <c r="O34" s="27"/>
      <c r="P34" s="28"/>
      <c r="Q34" s="11"/>
      <c r="R34" s="11" t="str">
        <f t="shared" si="1"/>
        <v/>
      </c>
      <c r="S34" s="11" t="str">
        <f t="shared" si="3"/>
        <v/>
      </c>
      <c r="T34" s="612"/>
      <c r="U34" s="612"/>
      <c r="V34" s="612"/>
      <c r="W34" s="29"/>
    </row>
    <row r="35" spans="2:23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0"/>
      <c r="K35" s="11"/>
      <c r="L35" s="11"/>
      <c r="M35" s="11"/>
      <c r="N35" s="11"/>
      <c r="O35" s="27"/>
      <c r="P35" s="28"/>
      <c r="Q35" s="11"/>
      <c r="R35" s="11" t="str">
        <f t="shared" si="1"/>
        <v/>
      </c>
      <c r="S35" s="11" t="str">
        <f t="shared" si="3"/>
        <v/>
      </c>
      <c r="T35" s="612"/>
      <c r="U35" s="612"/>
      <c r="V35" s="612"/>
      <c r="W35" s="29"/>
    </row>
    <row r="36" spans="2:23" ht="19.899999999999999" customHeight="1" x14ac:dyDescent="0.25">
      <c r="B36" s="25"/>
      <c r="C36" s="26"/>
      <c r="D36" s="27"/>
      <c r="E36" s="28"/>
      <c r="F36" s="27"/>
      <c r="G36" s="28"/>
      <c r="H36" s="26"/>
      <c r="I36" s="11"/>
      <c r="J36" s="110"/>
      <c r="K36" s="11"/>
      <c r="L36" s="11"/>
      <c r="M36" s="11"/>
      <c r="N36" s="11"/>
      <c r="O36" s="27"/>
      <c r="P36" s="28"/>
      <c r="Q36" s="11"/>
      <c r="R36" s="11" t="str">
        <f t="shared" si="1"/>
        <v/>
      </c>
      <c r="S36" s="11" t="str">
        <f t="shared" si="3"/>
        <v/>
      </c>
      <c r="T36" s="612"/>
      <c r="U36" s="612"/>
      <c r="V36" s="612"/>
      <c r="W36" s="29"/>
    </row>
    <row r="37" spans="2:23" ht="19.899999999999999" customHeight="1" x14ac:dyDescent="0.25">
      <c r="B37" s="25"/>
      <c r="C37" s="26"/>
      <c r="D37" s="27"/>
      <c r="E37" s="28"/>
      <c r="F37" s="27"/>
      <c r="G37" s="28"/>
      <c r="H37" s="26"/>
      <c r="I37" s="11"/>
      <c r="J37" s="110"/>
      <c r="K37" s="11"/>
      <c r="L37" s="11"/>
      <c r="M37" s="11"/>
      <c r="N37" s="11"/>
      <c r="O37" s="27"/>
      <c r="P37" s="28"/>
      <c r="Q37" s="11"/>
      <c r="R37" s="11" t="str">
        <f t="shared" si="1"/>
        <v/>
      </c>
      <c r="S37" s="11" t="str">
        <f t="shared" si="3"/>
        <v/>
      </c>
      <c r="T37" s="612"/>
      <c r="U37" s="612"/>
      <c r="V37" s="612"/>
      <c r="W37" s="29"/>
    </row>
    <row r="38" spans="2:23" ht="19.899999999999999" customHeight="1" x14ac:dyDescent="0.25">
      <c r="B38" s="25"/>
      <c r="C38" s="26"/>
      <c r="D38" s="27"/>
      <c r="E38" s="28"/>
      <c r="F38" s="27"/>
      <c r="G38" s="28"/>
      <c r="H38" s="26"/>
      <c r="I38" s="11"/>
      <c r="J38" s="110"/>
      <c r="K38" s="11"/>
      <c r="L38" s="11"/>
      <c r="M38" s="11"/>
      <c r="N38" s="11"/>
      <c r="O38" s="27"/>
      <c r="P38" s="28"/>
      <c r="Q38" s="11"/>
      <c r="R38" s="11" t="str">
        <f t="shared" si="1"/>
        <v/>
      </c>
      <c r="S38" s="11" t="str">
        <f t="shared" si="3"/>
        <v/>
      </c>
      <c r="T38" s="612"/>
      <c r="U38" s="612"/>
      <c r="V38" s="612"/>
      <c r="W38" s="29"/>
    </row>
    <row r="39" spans="2:23" ht="19.899999999999999" customHeight="1" x14ac:dyDescent="0.25">
      <c r="B39" s="25"/>
      <c r="C39" s="26"/>
      <c r="D39" s="27"/>
      <c r="E39" s="28"/>
      <c r="F39" s="27"/>
      <c r="G39" s="28"/>
      <c r="H39" s="26"/>
      <c r="I39" s="11"/>
      <c r="J39" s="110"/>
      <c r="K39" s="11"/>
      <c r="L39" s="11"/>
      <c r="M39" s="11"/>
      <c r="N39" s="11"/>
      <c r="O39" s="27"/>
      <c r="P39" s="28"/>
      <c r="Q39" s="11"/>
      <c r="R39" s="11" t="str">
        <f t="shared" si="1"/>
        <v/>
      </c>
      <c r="S39" s="11" t="str">
        <f t="shared" si="3"/>
        <v/>
      </c>
      <c r="T39" s="612"/>
      <c r="U39" s="612"/>
      <c r="V39" s="612"/>
      <c r="W39" s="29"/>
    </row>
    <row r="40" spans="2:23" ht="19.899999999999999" customHeight="1" x14ac:dyDescent="0.25">
      <c r="B40" s="25"/>
      <c r="C40" s="26"/>
      <c r="D40" s="27"/>
      <c r="E40" s="28"/>
      <c r="F40" s="27"/>
      <c r="G40" s="28"/>
      <c r="H40" s="26"/>
      <c r="I40" s="11"/>
      <c r="J40" s="110"/>
      <c r="K40" s="11"/>
      <c r="L40" s="11"/>
      <c r="M40" s="11"/>
      <c r="N40" s="11"/>
      <c r="O40" s="27"/>
      <c r="P40" s="28"/>
      <c r="Q40" s="11"/>
      <c r="R40" s="11" t="str">
        <f t="shared" si="1"/>
        <v/>
      </c>
      <c r="S40" s="11" t="str">
        <f t="shared" si="3"/>
        <v/>
      </c>
      <c r="T40" s="612"/>
      <c r="U40" s="612"/>
      <c r="V40" s="612"/>
      <c r="W40" s="29"/>
    </row>
    <row r="41" spans="2:23" ht="19.899999999999999" customHeight="1" x14ac:dyDescent="0.25">
      <c r="B41" s="25"/>
      <c r="C41" s="26"/>
      <c r="D41" s="27"/>
      <c r="E41" s="28"/>
      <c r="F41" s="27"/>
      <c r="G41" s="28"/>
      <c r="H41" s="26"/>
      <c r="I41" s="11"/>
      <c r="J41" s="110"/>
      <c r="K41" s="11"/>
      <c r="L41" s="11"/>
      <c r="M41" s="11"/>
      <c r="N41" s="11"/>
      <c r="O41" s="27"/>
      <c r="P41" s="28"/>
      <c r="Q41" s="11"/>
      <c r="R41" s="11" t="str">
        <f t="shared" si="1"/>
        <v/>
      </c>
      <c r="S41" s="11" t="str">
        <f t="shared" si="3"/>
        <v/>
      </c>
      <c r="T41" s="612"/>
      <c r="U41" s="612"/>
      <c r="V41" s="612"/>
      <c r="W41" s="29"/>
    </row>
    <row r="42" spans="2:23" ht="19.899999999999999" customHeight="1" x14ac:dyDescent="0.25">
      <c r="B42" s="25"/>
      <c r="C42" s="26"/>
      <c r="D42" s="27"/>
      <c r="E42" s="28"/>
      <c r="F42" s="27"/>
      <c r="G42" s="28"/>
      <c r="H42" s="26"/>
      <c r="I42" s="11"/>
      <c r="J42" s="110"/>
      <c r="K42" s="11"/>
      <c r="L42" s="11"/>
      <c r="M42" s="11"/>
      <c r="N42" s="11"/>
      <c r="O42" s="27"/>
      <c r="P42" s="28"/>
      <c r="Q42" s="11"/>
      <c r="R42" s="11" t="str">
        <f t="shared" si="1"/>
        <v/>
      </c>
      <c r="S42" s="11" t="str">
        <f t="shared" si="3"/>
        <v/>
      </c>
      <c r="T42" s="612"/>
      <c r="U42" s="612"/>
      <c r="V42" s="612"/>
      <c r="W42" s="29"/>
    </row>
    <row r="43" spans="2:23" ht="19.899999999999999" customHeight="1" x14ac:dyDescent="0.25">
      <c r="B43" s="25"/>
      <c r="C43" s="26"/>
      <c r="D43" s="27"/>
      <c r="E43" s="28"/>
      <c r="F43" s="27"/>
      <c r="G43" s="28"/>
      <c r="H43" s="26"/>
      <c r="I43" s="11"/>
      <c r="J43" s="110"/>
      <c r="K43" s="11"/>
      <c r="L43" s="11"/>
      <c r="M43" s="11"/>
      <c r="N43" s="11"/>
      <c r="O43" s="27"/>
      <c r="P43" s="28"/>
      <c r="Q43" s="11"/>
      <c r="R43" s="11" t="str">
        <f t="shared" si="1"/>
        <v/>
      </c>
      <c r="S43" s="11" t="str">
        <f t="shared" si="3"/>
        <v/>
      </c>
      <c r="T43" s="612"/>
      <c r="U43" s="612"/>
      <c r="V43" s="612"/>
      <c r="W43" s="29"/>
    </row>
    <row r="44" spans="2:23" ht="19.899999999999999" customHeight="1" x14ac:dyDescent="0.25">
      <c r="B44" s="25"/>
      <c r="C44" s="26"/>
      <c r="D44" s="27"/>
      <c r="E44" s="28"/>
      <c r="F44" s="27"/>
      <c r="G44" s="28"/>
      <c r="H44" s="26"/>
      <c r="I44" s="11"/>
      <c r="J44" s="110"/>
      <c r="K44" s="11"/>
      <c r="L44" s="11"/>
      <c r="M44" s="11"/>
      <c r="N44" s="11"/>
      <c r="O44" s="27"/>
      <c r="P44" s="28"/>
      <c r="Q44" s="11"/>
      <c r="R44" s="11" t="str">
        <f t="shared" si="1"/>
        <v/>
      </c>
      <c r="S44" s="11" t="str">
        <f t="shared" si="3"/>
        <v/>
      </c>
      <c r="T44" s="612"/>
      <c r="U44" s="612"/>
      <c r="V44" s="612"/>
      <c r="W44" s="29"/>
    </row>
    <row r="45" spans="2:23" ht="19.899999999999999" customHeight="1" x14ac:dyDescent="0.25">
      <c r="B45" s="25"/>
      <c r="C45" s="26"/>
      <c r="D45" s="27"/>
      <c r="E45" s="28"/>
      <c r="F45" s="27"/>
      <c r="G45" s="28"/>
      <c r="H45" s="26"/>
      <c r="I45" s="11"/>
      <c r="J45" s="110"/>
      <c r="K45" s="11"/>
      <c r="L45" s="11"/>
      <c r="M45" s="11"/>
      <c r="N45" s="11"/>
      <c r="O45" s="27"/>
      <c r="P45" s="28"/>
      <c r="Q45" s="11"/>
      <c r="R45" s="11" t="str">
        <f t="shared" si="1"/>
        <v/>
      </c>
      <c r="S45" s="11" t="str">
        <f t="shared" si="3"/>
        <v/>
      </c>
      <c r="T45" s="612"/>
      <c r="U45" s="612"/>
      <c r="V45" s="612"/>
      <c r="W45" s="29"/>
    </row>
    <row r="46" spans="2:23" ht="19.899999999999999" customHeight="1" x14ac:dyDescent="0.25">
      <c r="B46" s="25"/>
      <c r="C46" s="26"/>
      <c r="D46" s="27"/>
      <c r="E46" s="28"/>
      <c r="F46" s="27"/>
      <c r="G46" s="28"/>
      <c r="H46" s="26"/>
      <c r="I46" s="11"/>
      <c r="J46" s="110"/>
      <c r="K46" s="11"/>
      <c r="L46" s="11"/>
      <c r="M46" s="11"/>
      <c r="N46" s="11"/>
      <c r="O46" s="27"/>
      <c r="P46" s="28"/>
      <c r="Q46" s="11"/>
      <c r="R46" s="11" t="str">
        <f t="shared" si="1"/>
        <v/>
      </c>
      <c r="S46" s="11" t="str">
        <f t="shared" si="3"/>
        <v/>
      </c>
      <c r="T46" s="612"/>
      <c r="U46" s="612"/>
      <c r="V46" s="612"/>
      <c r="W46" s="29"/>
    </row>
    <row r="47" spans="2:23" ht="19.899999999999999" customHeight="1" x14ac:dyDescent="0.25">
      <c r="B47" s="25"/>
      <c r="C47" s="26"/>
      <c r="D47" s="27"/>
      <c r="E47" s="28"/>
      <c r="F47" s="27"/>
      <c r="G47" s="28"/>
      <c r="H47" s="26"/>
      <c r="I47" s="11"/>
      <c r="J47" s="110"/>
      <c r="K47" s="11"/>
      <c r="L47" s="11"/>
      <c r="M47" s="11"/>
      <c r="N47" s="11"/>
      <c r="O47" s="27"/>
      <c r="P47" s="28"/>
      <c r="Q47" s="11"/>
      <c r="R47" s="11" t="str">
        <f t="shared" si="1"/>
        <v/>
      </c>
      <c r="S47" s="11" t="str">
        <f t="shared" si="3"/>
        <v/>
      </c>
      <c r="T47" s="612"/>
      <c r="U47" s="612"/>
      <c r="V47" s="612"/>
      <c r="W47" s="29"/>
    </row>
    <row r="48" spans="2:23" ht="19.899999999999999" customHeight="1" x14ac:dyDescent="0.25">
      <c r="B48" s="25"/>
      <c r="C48" s="26"/>
      <c r="D48" s="27"/>
      <c r="E48" s="28"/>
      <c r="F48" s="27"/>
      <c r="G48" s="28"/>
      <c r="H48" s="26"/>
      <c r="I48" s="11"/>
      <c r="J48" s="110"/>
      <c r="K48" s="11"/>
      <c r="L48" s="11"/>
      <c r="M48" s="11"/>
      <c r="N48" s="11"/>
      <c r="O48" s="27"/>
      <c r="P48" s="28"/>
      <c r="Q48" s="11"/>
      <c r="R48" s="11" t="str">
        <f t="shared" si="1"/>
        <v/>
      </c>
      <c r="S48" s="11" t="str">
        <f t="shared" si="3"/>
        <v/>
      </c>
      <c r="T48" s="612"/>
      <c r="U48" s="612"/>
      <c r="V48" s="612"/>
      <c r="W48" s="29"/>
    </row>
    <row r="49" spans="2:23" ht="19.899999999999999" customHeight="1" x14ac:dyDescent="0.25">
      <c r="B49" s="25"/>
      <c r="C49" s="26"/>
      <c r="D49" s="27"/>
      <c r="E49" s="28"/>
      <c r="F49" s="27"/>
      <c r="G49" s="28"/>
      <c r="H49" s="26"/>
      <c r="I49" s="11"/>
      <c r="J49" s="110"/>
      <c r="K49" s="11"/>
      <c r="L49" s="11"/>
      <c r="M49" s="11"/>
      <c r="N49" s="11"/>
      <c r="O49" s="27"/>
      <c r="P49" s="28"/>
      <c r="Q49" s="11"/>
      <c r="R49" s="11" t="str">
        <f t="shared" si="1"/>
        <v/>
      </c>
      <c r="S49" s="11" t="str">
        <f t="shared" si="3"/>
        <v/>
      </c>
      <c r="T49" s="612"/>
      <c r="U49" s="612"/>
      <c r="V49" s="612"/>
      <c r="W49" s="29"/>
    </row>
    <row r="50" spans="2:23" ht="19.899999999999999" customHeight="1" thickBot="1" x14ac:dyDescent="0.3">
      <c r="B50" s="30"/>
      <c r="C50" s="31"/>
      <c r="D50" s="32"/>
      <c r="E50" s="33"/>
      <c r="F50" s="32"/>
      <c r="G50" s="33"/>
      <c r="H50" s="31"/>
      <c r="I50" s="12"/>
      <c r="J50" s="111"/>
      <c r="K50" s="12"/>
      <c r="L50" s="12"/>
      <c r="M50" s="12"/>
      <c r="N50" s="12"/>
      <c r="O50" s="32"/>
      <c r="P50" s="33"/>
      <c r="Q50" s="12"/>
      <c r="R50" s="12" t="str">
        <f t="shared" si="1"/>
        <v/>
      </c>
      <c r="S50" s="12" t="str">
        <f t="shared" si="3"/>
        <v/>
      </c>
      <c r="T50" s="634"/>
      <c r="U50" s="634"/>
      <c r="V50" s="634"/>
      <c r="W50" s="34"/>
    </row>
    <row r="51" spans="2:23" ht="19.899999999999999" customHeight="1" thickTop="1" x14ac:dyDescent="0.25"/>
  </sheetData>
  <mergeCells count="87">
    <mergeCell ref="T50:V50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38:V38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Y15:Z15"/>
    <mergeCell ref="T17:V17"/>
    <mergeCell ref="T18:V18"/>
    <mergeCell ref="T19:V19"/>
    <mergeCell ref="T20:V20"/>
    <mergeCell ref="T15:V16"/>
    <mergeCell ref="O15:P15"/>
    <mergeCell ref="R15:R16"/>
    <mergeCell ref="S15:S16"/>
    <mergeCell ref="T26:V26"/>
    <mergeCell ref="W15:W16"/>
    <mergeCell ref="T21:V21"/>
    <mergeCell ref="T22:V22"/>
    <mergeCell ref="T23:V23"/>
    <mergeCell ref="T24:V24"/>
    <mergeCell ref="T25:V25"/>
    <mergeCell ref="I15:I16"/>
    <mergeCell ref="B11:F11"/>
    <mergeCell ref="G11:W11"/>
    <mergeCell ref="C12:F12"/>
    <mergeCell ref="H12:T12"/>
    <mergeCell ref="V12:W12"/>
    <mergeCell ref="C13:F13"/>
    <mergeCell ref="H13:T13"/>
    <mergeCell ref="V13:W13"/>
    <mergeCell ref="B15:B16"/>
    <mergeCell ref="C15:C16"/>
    <mergeCell ref="D15:E15"/>
    <mergeCell ref="F15:G15"/>
    <mergeCell ref="H15:H16"/>
    <mergeCell ref="J15:J16"/>
    <mergeCell ref="N15:N16"/>
    <mergeCell ref="B8:D8"/>
    <mergeCell ref="E8:F8"/>
    <mergeCell ref="G8:H8"/>
    <mergeCell ref="J8:W8"/>
    <mergeCell ref="B9:D9"/>
    <mergeCell ref="E9:F9"/>
    <mergeCell ref="G9:H9"/>
    <mergeCell ref="J9:W9"/>
    <mergeCell ref="B6:D6"/>
    <mergeCell ref="E6:F6"/>
    <mergeCell ref="G6:H6"/>
    <mergeCell ref="J6:W6"/>
    <mergeCell ref="B7:D7"/>
    <mergeCell ref="E7:F7"/>
    <mergeCell ref="G7:H7"/>
    <mergeCell ref="J7:W7"/>
    <mergeCell ref="B4:D4"/>
    <mergeCell ref="E4:F4"/>
    <mergeCell ref="G4:H4"/>
    <mergeCell ref="J4:W4"/>
    <mergeCell ref="B5:D5"/>
    <mergeCell ref="E5:F5"/>
    <mergeCell ref="G5:H5"/>
    <mergeCell ref="J5:W5"/>
    <mergeCell ref="B2:D3"/>
    <mergeCell ref="E2:H2"/>
    <mergeCell ref="J2:W2"/>
    <mergeCell ref="Y2:Z2"/>
    <mergeCell ref="E3:F3"/>
    <mergeCell ref="G3:H3"/>
    <mergeCell ref="J3:W3"/>
  </mergeCells>
  <conditionalFormatting sqref="B17:T50">
    <cfRule type="containsBlanks" dxfId="21" priority="1">
      <formula>LEN(TRIM(B17))=0</formula>
    </cfRule>
  </conditionalFormatting>
  <conditionalFormatting sqref="W17:W50">
    <cfRule type="containsBlanks" dxfId="20" priority="2">
      <formula>LEN(TRIM(W17))=0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53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E1EB-0A70-4742-88F2-58C0382C839E}">
  <sheetPr>
    <pageSetUpPr fitToPage="1"/>
  </sheetPr>
  <dimension ref="B1:U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2" width="12.7109375" style="3" customWidth="1"/>
    <col min="13" max="13" width="20.7109375" style="3" customWidth="1"/>
    <col min="14" max="15" width="10.7109375" style="3" customWidth="1"/>
    <col min="16" max="16384" width="10.7109375" style="3"/>
  </cols>
  <sheetData>
    <row r="1" spans="2:19" ht="19.899999999999999" customHeight="1" thickBot="1" x14ac:dyDescent="0.3"/>
    <row r="2" spans="2:19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3"/>
      <c r="R2" s="611" t="s">
        <v>294</v>
      </c>
      <c r="S2" s="611"/>
    </row>
    <row r="3" spans="2:19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5"/>
      <c r="R3" s="36"/>
      <c r="S3" s="36"/>
    </row>
    <row r="4" spans="2:19" ht="15" customHeight="1" x14ac:dyDescent="0.25">
      <c r="B4" s="647" t="s">
        <v>296</v>
      </c>
      <c r="C4" s="648"/>
      <c r="D4" s="648"/>
      <c r="E4" s="653">
        <f>IF($G$13="","",VLOOKUP($G$13,RESUMO!$C:$G,5,FALSE))</f>
        <v>313.5</v>
      </c>
      <c r="F4" s="653"/>
      <c r="G4" s="640">
        <f t="shared" ref="G4:G9" si="0">E4*$O$13</f>
        <v>18183</v>
      </c>
      <c r="H4" s="641"/>
      <c r="J4" s="613"/>
      <c r="K4" s="614"/>
      <c r="L4" s="614"/>
      <c r="M4" s="614"/>
      <c r="N4" s="614"/>
      <c r="O4" s="614"/>
      <c r="P4" s="615"/>
      <c r="R4" s="36"/>
      <c r="S4" s="36"/>
    </row>
    <row r="5" spans="2:19" ht="15" customHeight="1" x14ac:dyDescent="0.25">
      <c r="B5" s="649" t="s">
        <v>297</v>
      </c>
      <c r="C5" s="650"/>
      <c r="D5" s="650"/>
      <c r="E5" s="654">
        <f>SUMIFS(K:K,P:P,"&lt;&gt;")</f>
        <v>143.80000000000001</v>
      </c>
      <c r="F5" s="654"/>
      <c r="G5" s="642">
        <f t="shared" si="0"/>
        <v>8340.4000000000015</v>
      </c>
      <c r="H5" s="643"/>
      <c r="J5" s="613"/>
      <c r="K5" s="614"/>
      <c r="L5" s="614"/>
      <c r="M5" s="614"/>
      <c r="N5" s="614"/>
      <c r="O5" s="614"/>
      <c r="P5" s="615"/>
      <c r="R5" s="36"/>
      <c r="S5" s="36"/>
    </row>
    <row r="6" spans="2:19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5"/>
    </row>
    <row r="7" spans="2:19" ht="15" customHeight="1" x14ac:dyDescent="0.25">
      <c r="B7" s="649" t="s">
        <v>299</v>
      </c>
      <c r="C7" s="650"/>
      <c r="D7" s="650"/>
      <c r="E7" s="644">
        <f>E4-E5</f>
        <v>169.7</v>
      </c>
      <c r="F7" s="645"/>
      <c r="G7" s="642">
        <f t="shared" si="0"/>
        <v>9842.5999999999985</v>
      </c>
      <c r="H7" s="643"/>
      <c r="J7" s="613"/>
      <c r="K7" s="614"/>
      <c r="L7" s="614"/>
      <c r="M7" s="614"/>
      <c r="N7" s="614"/>
      <c r="O7" s="614"/>
      <c r="P7" s="615"/>
    </row>
    <row r="8" spans="2:19" ht="15" customHeight="1" x14ac:dyDescent="0.25">
      <c r="B8" s="655" t="s">
        <v>300</v>
      </c>
      <c r="C8" s="656"/>
      <c r="D8" s="656"/>
      <c r="E8" s="657">
        <f>SUM(K:K)-E5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5"/>
    </row>
    <row r="9" spans="2:19" ht="15" customHeight="1" thickBot="1" x14ac:dyDescent="0.3">
      <c r="B9" s="651" t="s">
        <v>301</v>
      </c>
      <c r="C9" s="652"/>
      <c r="D9" s="652"/>
      <c r="E9" s="646">
        <f>SUMIF(P:P,CAPA!$I$2,K:K)</f>
        <v>143.80000000000001</v>
      </c>
      <c r="F9" s="646"/>
      <c r="G9" s="660">
        <f t="shared" si="0"/>
        <v>8340.4000000000015</v>
      </c>
      <c r="H9" s="661"/>
      <c r="J9" s="616"/>
      <c r="K9" s="617"/>
      <c r="L9" s="617"/>
      <c r="M9" s="617"/>
      <c r="N9" s="617"/>
      <c r="O9" s="617"/>
      <c r="P9" s="618"/>
    </row>
    <row r="10" spans="2:19" ht="10.15" customHeight="1" thickTop="1" thickBot="1" x14ac:dyDescent="0.3"/>
    <row r="11" spans="2:19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6"/>
    </row>
    <row r="12" spans="2:19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14" t="s">
        <v>303</v>
      </c>
      <c r="O12" s="619" t="s">
        <v>304</v>
      </c>
      <c r="P12" s="620"/>
    </row>
    <row r="13" spans="2:19" s="8" customFormat="1" ht="30" customHeight="1" thickBot="1" x14ac:dyDescent="0.3">
      <c r="B13" s="15" t="str">
        <f>RESUMO!C85</f>
        <v>D.4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RESUMO!C86</f>
        <v>D.4.1</v>
      </c>
      <c r="H13" s="623" t="str">
        <f>IF($G$13="","",VLOOKUP($G$13,RESUMO!$C:$F,2,FALSE))</f>
        <v>Sarjeta triangular de concreto - STC 88-20 - escavação mecânica - areia e brita comerciais</v>
      </c>
      <c r="I13" s="623"/>
      <c r="J13" s="623"/>
      <c r="K13" s="623"/>
      <c r="L13" s="623"/>
      <c r="M13" s="623"/>
      <c r="N13" s="17" t="str">
        <f>IF($G$13="","",VLOOKUP($G$13,RESUMO!$C:$F,3,FALSE))</f>
        <v>m</v>
      </c>
      <c r="O13" s="621">
        <f>IF($G$13="","",VLOOKUP($G$13,RESUMO!$C:$F,4,FALSE))</f>
        <v>58</v>
      </c>
      <c r="P13" s="622"/>
    </row>
    <row r="14" spans="2:19" ht="10.15" customHeight="1" thickTop="1" thickBot="1" x14ac:dyDescent="0.3"/>
    <row r="15" spans="2:19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627" t="s">
        <v>310</v>
      </c>
      <c r="L15" s="627" t="s">
        <v>311</v>
      </c>
      <c r="M15" s="627" t="s">
        <v>312</v>
      </c>
      <c r="N15" s="627"/>
      <c r="O15" s="627"/>
      <c r="P15" s="629" t="s">
        <v>27</v>
      </c>
      <c r="R15" s="611" t="s">
        <v>313</v>
      </c>
      <c r="S15" s="611"/>
    </row>
    <row r="16" spans="2:19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628"/>
      <c r="L16" s="628"/>
      <c r="M16" s="628"/>
      <c r="N16" s="628"/>
      <c r="O16" s="628"/>
      <c r="P16" s="630"/>
      <c r="R16" s="35" t="s">
        <v>269</v>
      </c>
      <c r="S16" s="35" t="s">
        <v>47</v>
      </c>
    </row>
    <row r="17" spans="2:21" ht="19.899999999999999" customHeight="1" thickTop="1" x14ac:dyDescent="0.25">
      <c r="B17" s="25" t="s">
        <v>316</v>
      </c>
      <c r="C17" s="26" t="s">
        <v>306</v>
      </c>
      <c r="D17" s="27">
        <v>306</v>
      </c>
      <c r="E17" s="28">
        <v>730</v>
      </c>
      <c r="F17" s="27"/>
      <c r="G17" s="28"/>
      <c r="H17" s="26" t="s">
        <v>338</v>
      </c>
      <c r="I17" s="11" t="s">
        <v>341</v>
      </c>
      <c r="J17" s="11">
        <f>72.2+71.6</f>
        <v>143.80000000000001</v>
      </c>
      <c r="K17" s="11">
        <f>J17</f>
        <v>143.80000000000001</v>
      </c>
      <c r="L17" s="11">
        <f>K17+L16</f>
        <v>143.80000000000001</v>
      </c>
      <c r="M17" s="612" t="s">
        <v>326</v>
      </c>
      <c r="N17" s="612"/>
      <c r="O17" s="612"/>
      <c r="P17" s="29">
        <v>3</v>
      </c>
      <c r="R17" s="84" t="s">
        <v>72</v>
      </c>
      <c r="S17" s="83" t="str">
        <f>IF($R17="","",VLOOKUP($R17,RESUMO!$C:$D,2,FALSE))</f>
        <v>Escavação, carga e transporte de material de 1ª categoria - DMT de 800 a 1.000 m - caminho de serviço pavimentado - com escavadeira e caminhão basculante de 14 m³</v>
      </c>
      <c r="U17" s="85" t="str">
        <f>HYPERLINK("#"&amp;"'"&amp;R17&amp;"'"&amp;"!A1","LINK")</f>
        <v>LINK</v>
      </c>
    </row>
    <row r="18" spans="2:21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612"/>
      <c r="N18" s="612"/>
      <c r="O18" s="612"/>
      <c r="P18" s="29"/>
      <c r="R18" s="84" t="s">
        <v>75</v>
      </c>
      <c r="S18" s="83" t="str">
        <f>IF($R18="","",VLOOKUP($R18,RESUMO!$C:$D,2,FALSE))</f>
        <v>Escavação e carga de material de 1ª categoria - DMT acima de 3.000 m</v>
      </c>
      <c r="U18" s="85" t="str">
        <f>HYPERLINK("#"&amp;"'"&amp;R18&amp;"'"&amp;"!A1","LINK")</f>
        <v>LINK</v>
      </c>
    </row>
    <row r="19" spans="2:21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612"/>
      <c r="N19" s="612"/>
      <c r="O19" s="612"/>
      <c r="P19" s="29"/>
      <c r="R19" s="84" t="s">
        <v>80</v>
      </c>
      <c r="S19" s="83" t="str">
        <f>IF($R19="","",VLOOKUP($R19,RESUMO!$C:$D,2,FALSE))</f>
        <v>Regularização de bota-fora com espalhamento e execução de hidrossemeadura</v>
      </c>
      <c r="U19" s="85" t="str">
        <f>HYPERLINK("#"&amp;"'"&amp;R19&amp;"'"&amp;"!A1","LINK")</f>
        <v>LINK</v>
      </c>
    </row>
    <row r="20" spans="2:21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612"/>
      <c r="N20" s="612"/>
      <c r="O20" s="612"/>
      <c r="P20" s="29"/>
      <c r="R20" s="84" t="s">
        <v>82</v>
      </c>
      <c r="S20" s="83" t="str">
        <f>IF($R20="","",VLOOKUP($R20,RESUMO!$C:$D,2,FALSE))</f>
        <v>Royaltie de bota-fora</v>
      </c>
      <c r="U20" s="85" t="str">
        <f>HYPERLINK("#"&amp;"'"&amp;R20&amp;"'"&amp;"!A1","LINK")</f>
        <v>LINK</v>
      </c>
    </row>
    <row r="21" spans="2:21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612"/>
      <c r="N21" s="612"/>
      <c r="O21" s="612"/>
      <c r="P21" s="29"/>
    </row>
    <row r="22" spans="2:21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612"/>
      <c r="N22" s="612"/>
      <c r="O22" s="612"/>
      <c r="P22" s="29"/>
    </row>
    <row r="23" spans="2:21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612"/>
      <c r="N23" s="612"/>
      <c r="O23" s="612"/>
      <c r="P23" s="29"/>
    </row>
    <row r="24" spans="2:21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 t="str">
        <f>IF(J24="","",J24*#REF!)</f>
        <v/>
      </c>
      <c r="L24" s="11" t="str">
        <f t="shared" ref="L24:L36" si="1">IF(B24="","",IF(OR(L23="",P24=""),L23,SUM(K24,L23)))</f>
        <v/>
      </c>
      <c r="M24" s="612"/>
      <c r="N24" s="612"/>
      <c r="O24" s="612"/>
      <c r="P24" s="29"/>
    </row>
    <row r="25" spans="2:21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 t="str">
        <f>IF(J25="","",J25*#REF!)</f>
        <v/>
      </c>
      <c r="L25" s="11" t="str">
        <f t="shared" si="1"/>
        <v/>
      </c>
      <c r="M25" s="612"/>
      <c r="N25" s="612"/>
      <c r="O25" s="612"/>
      <c r="P25" s="29"/>
    </row>
    <row r="26" spans="2:21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 t="str">
        <f>IF(J26="","",J26*#REF!)</f>
        <v/>
      </c>
      <c r="L26" s="11" t="str">
        <f t="shared" si="1"/>
        <v/>
      </c>
      <c r="M26" s="612"/>
      <c r="N26" s="612"/>
      <c r="O26" s="612"/>
      <c r="P26" s="29"/>
    </row>
    <row r="27" spans="2:21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 t="str">
        <f>IF(J27="","",J27*#REF!)</f>
        <v/>
      </c>
      <c r="L27" s="11" t="str">
        <f t="shared" si="1"/>
        <v/>
      </c>
      <c r="M27" s="612"/>
      <c r="N27" s="612"/>
      <c r="O27" s="612"/>
      <c r="P27" s="29"/>
    </row>
    <row r="28" spans="2:21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 t="str">
        <f>IF(J28="","",J28*#REF!)</f>
        <v/>
      </c>
      <c r="L28" s="11" t="str">
        <f t="shared" si="1"/>
        <v/>
      </c>
      <c r="M28" s="612"/>
      <c r="N28" s="612"/>
      <c r="O28" s="612"/>
      <c r="P28" s="29"/>
    </row>
    <row r="29" spans="2:21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 t="str">
        <f>IF(J29="","",J29*#REF!)</f>
        <v/>
      </c>
      <c r="L29" s="11" t="str">
        <f t="shared" si="1"/>
        <v/>
      </c>
      <c r="M29" s="612"/>
      <c r="N29" s="612"/>
      <c r="O29" s="612"/>
      <c r="P29" s="29"/>
    </row>
    <row r="30" spans="2:21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 t="str">
        <f>IF(J30="","",J30*#REF!)</f>
        <v/>
      </c>
      <c r="L30" s="11" t="str">
        <f t="shared" si="1"/>
        <v/>
      </c>
      <c r="M30" s="612"/>
      <c r="N30" s="612"/>
      <c r="O30" s="612"/>
      <c r="P30" s="29"/>
    </row>
    <row r="31" spans="2:21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 t="str">
        <f>IF(J31="","",J31*#REF!)</f>
        <v/>
      </c>
      <c r="L31" s="11" t="str">
        <f t="shared" si="1"/>
        <v/>
      </c>
      <c r="M31" s="612"/>
      <c r="N31" s="612"/>
      <c r="O31" s="612"/>
      <c r="P31" s="29"/>
    </row>
    <row r="32" spans="2:21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 t="str">
        <f>IF(J32="","",J32*#REF!)</f>
        <v/>
      </c>
      <c r="L32" s="11" t="str">
        <f t="shared" si="1"/>
        <v/>
      </c>
      <c r="M32" s="612"/>
      <c r="N32" s="612"/>
      <c r="O32" s="612"/>
      <c r="P32" s="29"/>
    </row>
    <row r="33" spans="2:16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 t="str">
        <f>IF(J33="","",J33*#REF!)</f>
        <v/>
      </c>
      <c r="L33" s="11" t="str">
        <f t="shared" si="1"/>
        <v/>
      </c>
      <c r="M33" s="612"/>
      <c r="N33" s="612"/>
      <c r="O33" s="612"/>
      <c r="P33" s="29"/>
    </row>
    <row r="34" spans="2:16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 t="str">
        <f>IF(J34="","",J34*#REF!)</f>
        <v/>
      </c>
      <c r="L34" s="11" t="str">
        <f t="shared" si="1"/>
        <v/>
      </c>
      <c r="M34" s="612"/>
      <c r="N34" s="612"/>
      <c r="O34" s="612"/>
      <c r="P34" s="29"/>
    </row>
    <row r="35" spans="2:16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 t="str">
        <f>IF(J35="","",J35*#REF!)</f>
        <v/>
      </c>
      <c r="L35" s="11" t="str">
        <f t="shared" si="1"/>
        <v/>
      </c>
      <c r="M35" s="612"/>
      <c r="N35" s="612"/>
      <c r="O35" s="612"/>
      <c r="P35" s="29"/>
    </row>
    <row r="36" spans="2:16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 t="str">
        <f>IF(J36="","",J36*#REF!)</f>
        <v/>
      </c>
      <c r="L36" s="12" t="str">
        <f t="shared" si="1"/>
        <v/>
      </c>
      <c r="M36" s="634"/>
      <c r="N36" s="634"/>
      <c r="O36" s="634"/>
      <c r="P36" s="34"/>
    </row>
    <row r="37" spans="2:16" ht="19.899999999999999" customHeight="1" thickTop="1" x14ac:dyDescent="0.25"/>
  </sheetData>
  <mergeCells count="70">
    <mergeCell ref="M36:O36"/>
    <mergeCell ref="M30:O30"/>
    <mergeCell ref="M31:O31"/>
    <mergeCell ref="M32:O32"/>
    <mergeCell ref="M33:O33"/>
    <mergeCell ref="M34:O34"/>
    <mergeCell ref="M35:O35"/>
    <mergeCell ref="R15:S15"/>
    <mergeCell ref="M29:O29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17:O17"/>
    <mergeCell ref="B15:B16"/>
    <mergeCell ref="C15:C16"/>
    <mergeCell ref="D15:E15"/>
    <mergeCell ref="F15:G15"/>
    <mergeCell ref="H15:H16"/>
    <mergeCell ref="I15:I16"/>
    <mergeCell ref="K15:K16"/>
    <mergeCell ref="L15:L16"/>
    <mergeCell ref="M15:O16"/>
    <mergeCell ref="C13:F13"/>
    <mergeCell ref="H13:M13"/>
    <mergeCell ref="O13:P13"/>
    <mergeCell ref="P15:P16"/>
    <mergeCell ref="B8:D8"/>
    <mergeCell ref="E8:F8"/>
    <mergeCell ref="G8:H8"/>
    <mergeCell ref="J8:P8"/>
    <mergeCell ref="B9:D9"/>
    <mergeCell ref="E9:F9"/>
    <mergeCell ref="G9:H9"/>
    <mergeCell ref="J9:P9"/>
    <mergeCell ref="B11:F11"/>
    <mergeCell ref="G11:P11"/>
    <mergeCell ref="C12:F12"/>
    <mergeCell ref="H12:M12"/>
    <mergeCell ref="O12:P12"/>
    <mergeCell ref="B6:D6"/>
    <mergeCell ref="E6:F6"/>
    <mergeCell ref="G6:H6"/>
    <mergeCell ref="J6:P6"/>
    <mergeCell ref="B7:D7"/>
    <mergeCell ref="E7:F7"/>
    <mergeCell ref="G7:H7"/>
    <mergeCell ref="J7:P7"/>
    <mergeCell ref="B4:D4"/>
    <mergeCell ref="E4:F4"/>
    <mergeCell ref="G4:H4"/>
    <mergeCell ref="J4:P4"/>
    <mergeCell ref="B5:D5"/>
    <mergeCell ref="E5:F5"/>
    <mergeCell ref="G5:H5"/>
    <mergeCell ref="J5:P5"/>
    <mergeCell ref="B2:D3"/>
    <mergeCell ref="E2:H2"/>
    <mergeCell ref="J2:P2"/>
    <mergeCell ref="R2:S2"/>
    <mergeCell ref="E3:F3"/>
    <mergeCell ref="G3:H3"/>
    <mergeCell ref="J3:P3"/>
  </mergeCells>
  <conditionalFormatting sqref="B17:M36 P17:P36">
    <cfRule type="containsBlanks" dxfId="19" priority="2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A71A-FD53-42FC-A806-4DEA2B44B55F}">
  <sheetPr>
    <pageSetUpPr fitToPage="1"/>
  </sheetPr>
  <dimension ref="B1:U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2" width="12.7109375" style="3" customWidth="1"/>
    <col min="13" max="13" width="20.7109375" style="3" customWidth="1"/>
    <col min="14" max="15" width="10.7109375" style="3" customWidth="1"/>
    <col min="16" max="16384" width="10.7109375" style="3"/>
  </cols>
  <sheetData>
    <row r="1" spans="2:19" ht="19.899999999999999" customHeight="1" thickBot="1" x14ac:dyDescent="0.3"/>
    <row r="2" spans="2:19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3"/>
      <c r="R2" s="611" t="s">
        <v>294</v>
      </c>
      <c r="S2" s="611"/>
    </row>
    <row r="3" spans="2:19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5"/>
      <c r="R3" s="36"/>
      <c r="S3" s="36"/>
    </row>
    <row r="4" spans="2:19" ht="15" customHeight="1" x14ac:dyDescent="0.25">
      <c r="B4" s="647" t="s">
        <v>296</v>
      </c>
      <c r="C4" s="648"/>
      <c r="D4" s="648"/>
      <c r="E4" s="653">
        <f>IF($G$13="","",VLOOKUP($G$13,RESUMO!$C:$G,5,FALSE))</f>
        <v>5</v>
      </c>
      <c r="F4" s="653"/>
      <c r="G4" s="640">
        <f t="shared" ref="G4:G9" si="0">E4*$O$13</f>
        <v>4796.2</v>
      </c>
      <c r="H4" s="641"/>
      <c r="J4" s="613"/>
      <c r="K4" s="614"/>
      <c r="L4" s="614"/>
      <c r="M4" s="614"/>
      <c r="N4" s="614"/>
      <c r="O4" s="614"/>
      <c r="P4" s="615"/>
      <c r="R4" s="36"/>
      <c r="S4" s="36"/>
    </row>
    <row r="5" spans="2:19" ht="15" customHeight="1" x14ac:dyDescent="0.25">
      <c r="B5" s="649" t="s">
        <v>297</v>
      </c>
      <c r="C5" s="650"/>
      <c r="D5" s="650"/>
      <c r="E5" s="654">
        <f>SUMIFS(K:K,P:P,"&lt;&gt;")</f>
        <v>0</v>
      </c>
      <c r="F5" s="654"/>
      <c r="G5" s="642">
        <f t="shared" si="0"/>
        <v>0</v>
      </c>
      <c r="H5" s="643"/>
      <c r="J5" s="613"/>
      <c r="K5" s="614"/>
      <c r="L5" s="614"/>
      <c r="M5" s="614"/>
      <c r="N5" s="614"/>
      <c r="O5" s="614"/>
      <c r="P5" s="615"/>
      <c r="R5" s="36"/>
      <c r="S5" s="36"/>
    </row>
    <row r="6" spans="2:19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5"/>
    </row>
    <row r="7" spans="2:19" ht="15" customHeight="1" x14ac:dyDescent="0.25">
      <c r="B7" s="649" t="s">
        <v>299</v>
      </c>
      <c r="C7" s="650"/>
      <c r="D7" s="650"/>
      <c r="E7" s="644">
        <f>E4-E5</f>
        <v>5</v>
      </c>
      <c r="F7" s="645"/>
      <c r="G7" s="642">
        <f t="shared" si="0"/>
        <v>4796.2</v>
      </c>
      <c r="H7" s="643"/>
      <c r="J7" s="613"/>
      <c r="K7" s="614"/>
      <c r="L7" s="614"/>
      <c r="M7" s="614"/>
      <c r="N7" s="614"/>
      <c r="O7" s="614"/>
      <c r="P7" s="615"/>
    </row>
    <row r="8" spans="2:19" ht="15" customHeight="1" x14ac:dyDescent="0.25">
      <c r="B8" s="655" t="s">
        <v>300</v>
      </c>
      <c r="C8" s="656"/>
      <c r="D8" s="656"/>
      <c r="E8" s="657">
        <f>SUM(K:K)-E5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5"/>
    </row>
    <row r="9" spans="2:19" ht="15" customHeight="1" thickBot="1" x14ac:dyDescent="0.3">
      <c r="B9" s="651" t="s">
        <v>301</v>
      </c>
      <c r="C9" s="652"/>
      <c r="D9" s="652"/>
      <c r="E9" s="646">
        <f>SUMIF(P:P,CAPA!$I$2,K:K)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8"/>
    </row>
    <row r="10" spans="2:19" ht="10.15" customHeight="1" thickTop="1" thickBot="1" x14ac:dyDescent="0.3"/>
    <row r="11" spans="2:19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6"/>
    </row>
    <row r="12" spans="2:19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14" t="s">
        <v>303</v>
      </c>
      <c r="O12" s="619" t="s">
        <v>304</v>
      </c>
      <c r="P12" s="620"/>
    </row>
    <row r="13" spans="2:19" s="8" customFormat="1" ht="30" customHeight="1" thickBot="1" x14ac:dyDescent="0.3">
      <c r="B13" s="15" t="str">
        <f>RESUMO!C85</f>
        <v>D.4</v>
      </c>
      <c r="C13" s="623" t="str">
        <f>IF($B$13="","",VLOOKUP($B$13,RESUMO!$C:$F,2,FALSE))</f>
        <v>Drenagem e OACs</v>
      </c>
      <c r="D13" s="623"/>
      <c r="E13" s="623"/>
      <c r="F13" s="662"/>
      <c r="G13" s="16" t="str">
        <f>RESUMO!C87</f>
        <v>D.4.2</v>
      </c>
      <c r="H13" s="623" t="str">
        <f>IF($G$13="","",VLOOKUP($G$13,RESUMO!$C:$F,2,FALSE))</f>
        <v>Dissipador de energia - DES 88-264 - areia, brita e pedra de mão comerciais</v>
      </c>
      <c r="I13" s="623"/>
      <c r="J13" s="623"/>
      <c r="K13" s="623"/>
      <c r="L13" s="623"/>
      <c r="M13" s="623"/>
      <c r="N13" s="17" t="str">
        <f>IF($G$13="","",VLOOKUP($G$13,RESUMO!$C:$F,3,FALSE))</f>
        <v>und.</v>
      </c>
      <c r="O13" s="621">
        <f>IF($G$13="","",VLOOKUP($G$13,RESUMO!$C:$F,4,FALSE))</f>
        <v>959.24</v>
      </c>
      <c r="P13" s="622"/>
    </row>
    <row r="14" spans="2:19" ht="10.15" customHeight="1" thickTop="1" thickBot="1" x14ac:dyDescent="0.3"/>
    <row r="15" spans="2:19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303</v>
      </c>
      <c r="K15" s="627" t="s">
        <v>310</v>
      </c>
      <c r="L15" s="627" t="s">
        <v>311</v>
      </c>
      <c r="M15" s="627" t="s">
        <v>312</v>
      </c>
      <c r="N15" s="627"/>
      <c r="O15" s="627"/>
      <c r="P15" s="629" t="s">
        <v>27</v>
      </c>
      <c r="R15" s="611" t="s">
        <v>313</v>
      </c>
      <c r="S15" s="611"/>
    </row>
    <row r="16" spans="2:19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337</v>
      </c>
      <c r="K16" s="628"/>
      <c r="L16" s="628"/>
      <c r="M16" s="628"/>
      <c r="N16" s="628"/>
      <c r="O16" s="628"/>
      <c r="P16" s="630"/>
      <c r="R16" s="35" t="s">
        <v>269</v>
      </c>
      <c r="S16" s="35" t="s">
        <v>47</v>
      </c>
    </row>
    <row r="17" spans="2:21" ht="19.899999999999999" customHeight="1" thickTop="1" x14ac:dyDescent="0.25">
      <c r="B17" s="19"/>
      <c r="C17" s="20"/>
      <c r="D17" s="21"/>
      <c r="E17" s="22"/>
      <c r="F17" s="21"/>
      <c r="G17" s="22"/>
      <c r="H17" s="20"/>
      <c r="I17" s="23"/>
      <c r="J17" s="23"/>
      <c r="K17" s="23"/>
      <c r="L17" s="23"/>
      <c r="M17" s="635"/>
      <c r="N17" s="635"/>
      <c r="O17" s="635"/>
      <c r="P17" s="24"/>
      <c r="R17" s="84" t="s">
        <v>72</v>
      </c>
      <c r="S17" s="83" t="str">
        <f>IF($R17="","",VLOOKUP($R17,RESUMO!$C:$D,2,FALSE))</f>
        <v>Escavação, carga e transporte de material de 1ª categoria - DMT de 800 a 1.000 m - caminho de serviço pavimentado - com escavadeira e caminhão basculante de 14 m³</v>
      </c>
      <c r="U17" s="85" t="str">
        <f>HYPERLINK("#"&amp;"'"&amp;R17&amp;"'"&amp;"!A1","LINK")</f>
        <v>LINK</v>
      </c>
    </row>
    <row r="18" spans="2:21" ht="19.899999999999999" customHeight="1" x14ac:dyDescent="0.25">
      <c r="B18" s="25"/>
      <c r="C18" s="26"/>
      <c r="D18" s="27"/>
      <c r="E18" s="28"/>
      <c r="F18" s="27"/>
      <c r="G18" s="28"/>
      <c r="H18" s="26"/>
      <c r="I18" s="11"/>
      <c r="J18" s="11"/>
      <c r="K18" s="11"/>
      <c r="L18" s="11"/>
      <c r="M18" s="612"/>
      <c r="N18" s="612"/>
      <c r="O18" s="612"/>
      <c r="P18" s="29"/>
      <c r="R18" s="84" t="s">
        <v>75</v>
      </c>
      <c r="S18" s="83" t="str">
        <f>IF($R18="","",VLOOKUP($R18,RESUMO!$C:$D,2,FALSE))</f>
        <v>Escavação e carga de material de 1ª categoria - DMT acima de 3.000 m</v>
      </c>
      <c r="U18" s="85" t="str">
        <f>HYPERLINK("#"&amp;"'"&amp;R18&amp;"'"&amp;"!A1","LINK")</f>
        <v>LINK</v>
      </c>
    </row>
    <row r="19" spans="2:21" ht="19.899999999999999" customHeight="1" x14ac:dyDescent="0.25">
      <c r="B19" s="25"/>
      <c r="C19" s="26"/>
      <c r="D19" s="27"/>
      <c r="E19" s="28"/>
      <c r="F19" s="27"/>
      <c r="G19" s="28"/>
      <c r="H19" s="26"/>
      <c r="I19" s="11"/>
      <c r="J19" s="11"/>
      <c r="K19" s="11"/>
      <c r="L19" s="11"/>
      <c r="M19" s="612"/>
      <c r="N19" s="612"/>
      <c r="O19" s="612"/>
      <c r="P19" s="29"/>
      <c r="R19" s="84" t="s">
        <v>80</v>
      </c>
      <c r="S19" s="83" t="str">
        <f>IF($R19="","",VLOOKUP($R19,RESUMO!$C:$D,2,FALSE))</f>
        <v>Regularização de bota-fora com espalhamento e execução de hidrossemeadura</v>
      </c>
      <c r="U19" s="85" t="str">
        <f>HYPERLINK("#"&amp;"'"&amp;R19&amp;"'"&amp;"!A1","LINK")</f>
        <v>LINK</v>
      </c>
    </row>
    <row r="20" spans="2:21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612"/>
      <c r="N20" s="612"/>
      <c r="O20" s="612"/>
      <c r="P20" s="29"/>
      <c r="R20" s="84" t="s">
        <v>82</v>
      </c>
      <c r="S20" s="83" t="str">
        <f>IF($R20="","",VLOOKUP($R20,RESUMO!$C:$D,2,FALSE))</f>
        <v>Royaltie de bota-fora</v>
      </c>
      <c r="U20" s="85" t="str">
        <f>HYPERLINK("#"&amp;"'"&amp;R20&amp;"'"&amp;"!A1","LINK")</f>
        <v>LINK</v>
      </c>
    </row>
    <row r="21" spans="2:21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 t="str">
        <f>IF(J21="","",J21*#REF!)</f>
        <v/>
      </c>
      <c r="L21" s="11" t="str">
        <f t="shared" ref="L21:L36" si="1">IF(B21="","",IF(OR(L20="",P21=""),L20,SUM(K21,L20)))</f>
        <v/>
      </c>
      <c r="M21" s="612"/>
      <c r="N21" s="612"/>
      <c r="O21" s="612"/>
      <c r="P21" s="29"/>
    </row>
    <row r="22" spans="2:21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 t="str">
        <f>IF(J22="","",J22*#REF!)</f>
        <v/>
      </c>
      <c r="L22" s="11" t="str">
        <f t="shared" si="1"/>
        <v/>
      </c>
      <c r="M22" s="612"/>
      <c r="N22" s="612"/>
      <c r="O22" s="612"/>
      <c r="P22" s="29"/>
    </row>
    <row r="23" spans="2:21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 t="str">
        <f>IF(J23="","",J23*#REF!)</f>
        <v/>
      </c>
      <c r="L23" s="11" t="str">
        <f t="shared" si="1"/>
        <v/>
      </c>
      <c r="M23" s="612"/>
      <c r="N23" s="612"/>
      <c r="O23" s="612"/>
      <c r="P23" s="29"/>
    </row>
    <row r="24" spans="2:21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 t="str">
        <f>IF(J24="","",J24*#REF!)</f>
        <v/>
      </c>
      <c r="L24" s="11" t="str">
        <f t="shared" si="1"/>
        <v/>
      </c>
      <c r="M24" s="612"/>
      <c r="N24" s="612"/>
      <c r="O24" s="612"/>
      <c r="P24" s="29"/>
    </row>
    <row r="25" spans="2:21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 t="str">
        <f>IF(J25="","",J25*#REF!)</f>
        <v/>
      </c>
      <c r="L25" s="11" t="str">
        <f t="shared" si="1"/>
        <v/>
      </c>
      <c r="M25" s="612"/>
      <c r="N25" s="612"/>
      <c r="O25" s="612"/>
      <c r="P25" s="29"/>
    </row>
    <row r="26" spans="2:21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 t="str">
        <f>IF(J26="","",J26*#REF!)</f>
        <v/>
      </c>
      <c r="L26" s="11" t="str">
        <f t="shared" si="1"/>
        <v/>
      </c>
      <c r="M26" s="612"/>
      <c r="N26" s="612"/>
      <c r="O26" s="612"/>
      <c r="P26" s="29"/>
    </row>
    <row r="27" spans="2:21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 t="str">
        <f>IF(J27="","",J27*#REF!)</f>
        <v/>
      </c>
      <c r="L27" s="11" t="str">
        <f t="shared" si="1"/>
        <v/>
      </c>
      <c r="M27" s="612"/>
      <c r="N27" s="612"/>
      <c r="O27" s="612"/>
      <c r="P27" s="29"/>
    </row>
    <row r="28" spans="2:21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 t="str">
        <f>IF(J28="","",J28*#REF!)</f>
        <v/>
      </c>
      <c r="L28" s="11" t="str">
        <f t="shared" si="1"/>
        <v/>
      </c>
      <c r="M28" s="612"/>
      <c r="N28" s="612"/>
      <c r="O28" s="612"/>
      <c r="P28" s="29"/>
    </row>
    <row r="29" spans="2:21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 t="str">
        <f>IF(J29="","",J29*#REF!)</f>
        <v/>
      </c>
      <c r="L29" s="11" t="str">
        <f t="shared" si="1"/>
        <v/>
      </c>
      <c r="M29" s="612"/>
      <c r="N29" s="612"/>
      <c r="O29" s="612"/>
      <c r="P29" s="29"/>
    </row>
    <row r="30" spans="2:21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 t="str">
        <f>IF(J30="","",J30*#REF!)</f>
        <v/>
      </c>
      <c r="L30" s="11" t="str">
        <f t="shared" si="1"/>
        <v/>
      </c>
      <c r="M30" s="612"/>
      <c r="N30" s="612"/>
      <c r="O30" s="612"/>
      <c r="P30" s="29"/>
    </row>
    <row r="31" spans="2:21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 t="str">
        <f>IF(J31="","",J31*#REF!)</f>
        <v/>
      </c>
      <c r="L31" s="11" t="str">
        <f t="shared" si="1"/>
        <v/>
      </c>
      <c r="M31" s="612"/>
      <c r="N31" s="612"/>
      <c r="O31" s="612"/>
      <c r="P31" s="29"/>
    </row>
    <row r="32" spans="2:21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 t="str">
        <f>IF(J32="","",J32*#REF!)</f>
        <v/>
      </c>
      <c r="L32" s="11" t="str">
        <f t="shared" si="1"/>
        <v/>
      </c>
      <c r="M32" s="612"/>
      <c r="N32" s="612"/>
      <c r="O32" s="612"/>
      <c r="P32" s="29"/>
    </row>
    <row r="33" spans="2:16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 t="str">
        <f>IF(J33="","",J33*#REF!)</f>
        <v/>
      </c>
      <c r="L33" s="11" t="str">
        <f t="shared" si="1"/>
        <v/>
      </c>
      <c r="M33" s="612"/>
      <c r="N33" s="612"/>
      <c r="O33" s="612"/>
      <c r="P33" s="29"/>
    </row>
    <row r="34" spans="2:16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 t="str">
        <f>IF(J34="","",J34*#REF!)</f>
        <v/>
      </c>
      <c r="L34" s="11" t="str">
        <f t="shared" si="1"/>
        <v/>
      </c>
      <c r="M34" s="612"/>
      <c r="N34" s="612"/>
      <c r="O34" s="612"/>
      <c r="P34" s="29"/>
    </row>
    <row r="35" spans="2:16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 t="str">
        <f>IF(J35="","",J35*#REF!)</f>
        <v/>
      </c>
      <c r="L35" s="11" t="str">
        <f t="shared" si="1"/>
        <v/>
      </c>
      <c r="M35" s="612"/>
      <c r="N35" s="612"/>
      <c r="O35" s="612"/>
      <c r="P35" s="29"/>
    </row>
    <row r="36" spans="2:16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 t="str">
        <f>IF(J36="","",J36*#REF!)</f>
        <v/>
      </c>
      <c r="L36" s="12" t="str">
        <f t="shared" si="1"/>
        <v/>
      </c>
      <c r="M36" s="634"/>
      <c r="N36" s="634"/>
      <c r="O36" s="634"/>
      <c r="P36" s="34"/>
    </row>
    <row r="37" spans="2:16" ht="19.899999999999999" customHeight="1" thickTop="1" x14ac:dyDescent="0.25"/>
  </sheetData>
  <mergeCells count="70">
    <mergeCell ref="M36:O36"/>
    <mergeCell ref="M30:O30"/>
    <mergeCell ref="M31:O31"/>
    <mergeCell ref="M32:O32"/>
    <mergeCell ref="M33:O33"/>
    <mergeCell ref="M34:O34"/>
    <mergeCell ref="M35:O35"/>
    <mergeCell ref="R15:S15"/>
    <mergeCell ref="M29:O29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17:O17"/>
    <mergeCell ref="B15:B16"/>
    <mergeCell ref="C15:C16"/>
    <mergeCell ref="D15:E15"/>
    <mergeCell ref="F15:G15"/>
    <mergeCell ref="H15:H16"/>
    <mergeCell ref="I15:I16"/>
    <mergeCell ref="K15:K16"/>
    <mergeCell ref="L15:L16"/>
    <mergeCell ref="M15:O16"/>
    <mergeCell ref="C13:F13"/>
    <mergeCell ref="H13:M13"/>
    <mergeCell ref="O13:P13"/>
    <mergeCell ref="P15:P16"/>
    <mergeCell ref="B8:D8"/>
    <mergeCell ref="E8:F8"/>
    <mergeCell ref="G8:H8"/>
    <mergeCell ref="J8:P8"/>
    <mergeCell ref="B9:D9"/>
    <mergeCell ref="E9:F9"/>
    <mergeCell ref="G9:H9"/>
    <mergeCell ref="J9:P9"/>
    <mergeCell ref="B11:F11"/>
    <mergeCell ref="G11:P11"/>
    <mergeCell ref="C12:F12"/>
    <mergeCell ref="H12:M12"/>
    <mergeCell ref="O12:P12"/>
    <mergeCell ref="B6:D6"/>
    <mergeCell ref="E6:F6"/>
    <mergeCell ref="G6:H6"/>
    <mergeCell ref="J6:P6"/>
    <mergeCell ref="B7:D7"/>
    <mergeCell ref="E7:F7"/>
    <mergeCell ref="G7:H7"/>
    <mergeCell ref="J7:P7"/>
    <mergeCell ref="B4:D4"/>
    <mergeCell ref="E4:F4"/>
    <mergeCell ref="G4:H4"/>
    <mergeCell ref="J4:P4"/>
    <mergeCell ref="B5:D5"/>
    <mergeCell ref="E5:F5"/>
    <mergeCell ref="G5:H5"/>
    <mergeCell ref="J5:P5"/>
    <mergeCell ref="B2:D3"/>
    <mergeCell ref="E2:H2"/>
    <mergeCell ref="J2:P2"/>
    <mergeCell ref="R2:S2"/>
    <mergeCell ref="E3:F3"/>
    <mergeCell ref="G3:H3"/>
    <mergeCell ref="J3:P3"/>
  </mergeCells>
  <conditionalFormatting sqref="B17:M36">
    <cfRule type="containsBlanks" dxfId="18" priority="1">
      <formula>LEN(TRIM(B17))=0</formula>
    </cfRule>
  </conditionalFormatting>
  <conditionalFormatting sqref="P17:P36">
    <cfRule type="containsBlanks" dxfId="17" priority="2">
      <formula>LEN(TRIM(P17))=0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92C9-B585-427A-B30A-F3C5D0B61519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2914.47</v>
      </c>
      <c r="F4" s="653"/>
      <c r="G4" s="640">
        <f t="shared" ref="G4:G9" si="0">E4*$P$13</f>
        <v>138991.07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404.33250000000004</v>
      </c>
      <c r="F5" s="654"/>
      <c r="G5" s="642">
        <f t="shared" si="0"/>
        <v>19282.616328449087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404.33250000000004</v>
      </c>
      <c r="F6" s="654"/>
      <c r="G6" s="642">
        <f t="shared" si="0"/>
        <v>19282.616328449087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2510.1374999999998</v>
      </c>
      <c r="F7" s="645"/>
      <c r="G7" s="642">
        <f t="shared" si="0"/>
        <v>119708.45367155092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0</v>
      </c>
      <c r="F9" s="646"/>
      <c r="G9" s="660">
        <f t="shared" si="0"/>
        <v>0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RESUMO!C88</f>
        <v>E.</v>
      </c>
      <c r="C13" s="623" t="str">
        <f>IF($B$13="","",VLOOKUP($B$13,RESUMO!$C:$F,2,FALSE))</f>
        <v>Sinalização Horizontal, Vertical e Elementos de Proteção e Segurança</v>
      </c>
      <c r="D13" s="623"/>
      <c r="E13" s="623"/>
      <c r="F13" s="662"/>
      <c r="G13" s="16" t="str">
        <f>RESUMO!C89</f>
        <v>E.1</v>
      </c>
      <c r="H13" s="623" t="str">
        <f>IF($G$13="","",VLOOKUP($G$13,RESUMO!$C:$F,2,FALSE))</f>
        <v>Manutenção/recomposição de sinalização - pintura de faixa com tinta acrílica emulsionada em água - espessura de 0,3 / 0,5 mm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m²</v>
      </c>
      <c r="P13" s="621">
        <f>IF($G$13="","",VLOOKUP($G$13,RESUMO!$C:$F,4,FALSE))</f>
        <v>47.689998524603105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320</v>
      </c>
      <c r="K15" s="9" t="s">
        <v>321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322</v>
      </c>
      <c r="K16" s="10" t="s">
        <v>322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303</v>
      </c>
      <c r="E17" s="22">
        <v>450</v>
      </c>
      <c r="F17" s="21"/>
      <c r="G17" s="22"/>
      <c r="H17" s="20" t="s">
        <v>340</v>
      </c>
      <c r="I17" s="23" t="s">
        <v>325</v>
      </c>
      <c r="J17" s="23">
        <v>300</v>
      </c>
      <c r="K17" s="23">
        <v>0.15</v>
      </c>
      <c r="L17" s="23">
        <f>IF(J17="","",J17*K17)</f>
        <v>45</v>
      </c>
      <c r="M17" s="23">
        <f>IF(OR(B17="",L17=""),"",IF(AND(M16="",Q17=""),M16,SUM(L17,M16)))</f>
        <v>45</v>
      </c>
      <c r="N17" s="612" t="s">
        <v>386</v>
      </c>
      <c r="O17" s="612"/>
      <c r="P17" s="612"/>
      <c r="Q17" s="24">
        <v>1</v>
      </c>
      <c r="S17" s="84" t="s">
        <v>168</v>
      </c>
      <c r="T17" s="83" t="str">
        <f>IF($S17="","",VLOOKUP($S17,RESUMO!$C:$D,2,FALSE))</f>
        <v>Manutenção/recomposição de sinalização - pintura de faixa com tinta acrílica emulsionada em água - espessura de 0,3 / 0,5 mm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303</v>
      </c>
      <c r="E18" s="28">
        <v>450</v>
      </c>
      <c r="F18" s="27"/>
      <c r="G18" s="28"/>
      <c r="H18" s="26" t="s">
        <v>306</v>
      </c>
      <c r="I18" s="11" t="s">
        <v>325</v>
      </c>
      <c r="J18" s="11">
        <f>305*2</f>
        <v>610</v>
      </c>
      <c r="K18" s="11">
        <v>0.3</v>
      </c>
      <c r="L18" s="11">
        <f>IF(J18="","",J18*K18)</f>
        <v>183</v>
      </c>
      <c r="M18" s="11">
        <f>IF(B18="","",IF(OR(M17="",Q18=""),M17,SUM(L18,M17)))</f>
        <v>228</v>
      </c>
      <c r="N18" s="612" t="s">
        <v>387</v>
      </c>
      <c r="O18" s="612"/>
      <c r="P18" s="612"/>
      <c r="Q18" s="29">
        <v>1</v>
      </c>
      <c r="S18" s="84"/>
      <c r="T18" s="83"/>
      <c r="V18" s="85"/>
    </row>
    <row r="19" spans="2:22" ht="19.899999999999999" customHeight="1" x14ac:dyDescent="0.25">
      <c r="B19" s="25" t="s">
        <v>316</v>
      </c>
      <c r="C19" s="26" t="s">
        <v>306</v>
      </c>
      <c r="D19" s="27">
        <v>303</v>
      </c>
      <c r="E19" s="28">
        <v>450</v>
      </c>
      <c r="F19" s="27"/>
      <c r="G19" s="28"/>
      <c r="H19" s="26" t="s">
        <v>324</v>
      </c>
      <c r="I19" s="11" t="s">
        <v>325</v>
      </c>
      <c r="J19" s="11">
        <v>295.3</v>
      </c>
      <c r="K19" s="11">
        <v>0.15</v>
      </c>
      <c r="L19" s="11">
        <f>IF(J19="","",J19*K19)</f>
        <v>44.295000000000002</v>
      </c>
      <c r="M19" s="11">
        <f>IF(B19="","",IF(OR(M18="",Q19=""),M18,SUM(L19,M18)))</f>
        <v>272.29500000000002</v>
      </c>
      <c r="N19" s="612" t="s">
        <v>386</v>
      </c>
      <c r="O19" s="612"/>
      <c r="P19" s="612"/>
      <c r="Q19" s="29">
        <v>1</v>
      </c>
      <c r="S19" s="84"/>
      <c r="T19" s="83"/>
      <c r="V19" s="85"/>
    </row>
    <row r="20" spans="2:22" ht="19.899999999999999" customHeight="1" x14ac:dyDescent="0.25">
      <c r="B20" s="25" t="s">
        <v>316</v>
      </c>
      <c r="C20" s="26" t="s">
        <v>306</v>
      </c>
      <c r="D20" s="27">
        <v>307</v>
      </c>
      <c r="E20" s="28">
        <v>90</v>
      </c>
      <c r="F20" s="27"/>
      <c r="G20" s="28"/>
      <c r="H20" s="26" t="s">
        <v>324</v>
      </c>
      <c r="I20" s="11" t="s">
        <v>325</v>
      </c>
      <c r="J20" s="11">
        <v>147.5</v>
      </c>
      <c r="K20" s="11">
        <v>0.15</v>
      </c>
      <c r="L20" s="11">
        <f t="shared" ref="L20:L36" si="1">IF(J20="","",J20*K20)</f>
        <v>22.125</v>
      </c>
      <c r="M20" s="11">
        <f t="shared" ref="M20:M36" si="2">IF(B20="","",IF(OR(M19="",Q20=""),M19,SUM(L20,M19)))</f>
        <v>294.42</v>
      </c>
      <c r="N20" s="612" t="s">
        <v>386</v>
      </c>
      <c r="O20" s="612"/>
      <c r="P20" s="612"/>
      <c r="Q20" s="29">
        <v>1</v>
      </c>
      <c r="S20" s="84"/>
      <c r="T20" s="83"/>
      <c r="V20" s="85"/>
    </row>
    <row r="21" spans="2:22" ht="19.899999999999999" customHeight="1" x14ac:dyDescent="0.25">
      <c r="B21" s="25" t="s">
        <v>316</v>
      </c>
      <c r="C21" s="26" t="s">
        <v>306</v>
      </c>
      <c r="D21" s="27">
        <v>307</v>
      </c>
      <c r="E21" s="28">
        <v>90</v>
      </c>
      <c r="F21" s="27"/>
      <c r="G21" s="28"/>
      <c r="H21" s="26" t="s">
        <v>340</v>
      </c>
      <c r="I21" s="11" t="s">
        <v>325</v>
      </c>
      <c r="J21" s="11">
        <v>174.9</v>
      </c>
      <c r="K21" s="11">
        <v>0.125</v>
      </c>
      <c r="L21" s="11">
        <f t="shared" si="1"/>
        <v>21.862500000000001</v>
      </c>
      <c r="M21" s="11">
        <f t="shared" si="2"/>
        <v>316.28250000000003</v>
      </c>
      <c r="N21" s="612" t="s">
        <v>386</v>
      </c>
      <c r="O21" s="612"/>
      <c r="P21" s="612"/>
      <c r="Q21" s="29">
        <v>1</v>
      </c>
      <c r="S21" s="84"/>
      <c r="T21" s="83"/>
      <c r="V21" s="85"/>
    </row>
    <row r="22" spans="2:22" ht="19.899999999999999" customHeight="1" x14ac:dyDescent="0.25">
      <c r="B22" s="25" t="s">
        <v>316</v>
      </c>
      <c r="C22" s="26" t="s">
        <v>306</v>
      </c>
      <c r="D22" s="27">
        <v>306</v>
      </c>
      <c r="E22" s="28">
        <v>730</v>
      </c>
      <c r="F22" s="27"/>
      <c r="G22" s="28"/>
      <c r="H22" s="26" t="s">
        <v>324</v>
      </c>
      <c r="I22" s="11" t="s">
        <v>325</v>
      </c>
      <c r="J22" s="11">
        <v>142.6</v>
      </c>
      <c r="K22" s="11">
        <v>0.15</v>
      </c>
      <c r="L22" s="11">
        <f t="shared" si="1"/>
        <v>21.389999999999997</v>
      </c>
      <c r="M22" s="11">
        <f t="shared" si="2"/>
        <v>337.67250000000001</v>
      </c>
      <c r="N22" s="612" t="s">
        <v>386</v>
      </c>
      <c r="O22" s="612"/>
      <c r="P22" s="612"/>
      <c r="Q22" s="29">
        <v>1</v>
      </c>
      <c r="S22" s="84"/>
      <c r="T22" s="83"/>
      <c r="V22" s="85"/>
    </row>
    <row r="23" spans="2:22" ht="19.899999999999999" customHeight="1" x14ac:dyDescent="0.25">
      <c r="B23" s="25" t="s">
        <v>316</v>
      </c>
      <c r="C23" s="26" t="s">
        <v>306</v>
      </c>
      <c r="D23" s="27">
        <v>306</v>
      </c>
      <c r="E23" s="28">
        <v>730</v>
      </c>
      <c r="F23" s="27"/>
      <c r="G23" s="28"/>
      <c r="H23" s="26" t="s">
        <v>340</v>
      </c>
      <c r="I23" s="11" t="s">
        <v>325</v>
      </c>
      <c r="J23" s="11">
        <v>149.1</v>
      </c>
      <c r="K23" s="11">
        <v>0.15</v>
      </c>
      <c r="L23" s="11">
        <f t="shared" si="1"/>
        <v>22.364999999999998</v>
      </c>
      <c r="M23" s="11">
        <f t="shared" si="2"/>
        <v>360.03750000000002</v>
      </c>
      <c r="N23" s="612" t="s">
        <v>388</v>
      </c>
      <c r="O23" s="612"/>
      <c r="P23" s="612"/>
      <c r="Q23" s="29">
        <v>1</v>
      </c>
      <c r="S23" s="84"/>
      <c r="T23" s="83"/>
      <c r="V23" s="85"/>
    </row>
    <row r="24" spans="2:22" ht="19.899999999999999" customHeight="1" x14ac:dyDescent="0.25">
      <c r="B24" s="25" t="s">
        <v>316</v>
      </c>
      <c r="C24" s="26" t="s">
        <v>306</v>
      </c>
      <c r="D24" s="27">
        <v>306</v>
      </c>
      <c r="E24" s="28">
        <v>630</v>
      </c>
      <c r="F24" s="27"/>
      <c r="G24" s="28"/>
      <c r="H24" s="26" t="s">
        <v>324</v>
      </c>
      <c r="I24" s="11" t="s">
        <v>325</v>
      </c>
      <c r="J24" s="11">
        <v>134.6</v>
      </c>
      <c r="K24" s="11">
        <v>0.15</v>
      </c>
      <c r="L24" s="11">
        <f t="shared" si="1"/>
        <v>20.189999999999998</v>
      </c>
      <c r="M24" s="11">
        <f t="shared" si="2"/>
        <v>380.22750000000002</v>
      </c>
      <c r="N24" s="612" t="s">
        <v>386</v>
      </c>
      <c r="O24" s="612"/>
      <c r="P24" s="612"/>
      <c r="Q24" s="29">
        <v>1</v>
      </c>
    </row>
    <row r="25" spans="2:22" ht="19.899999999999999" customHeight="1" x14ac:dyDescent="0.25">
      <c r="B25" s="25" t="s">
        <v>316</v>
      </c>
      <c r="C25" s="26" t="s">
        <v>306</v>
      </c>
      <c r="D25" s="27">
        <v>306</v>
      </c>
      <c r="E25" s="28">
        <v>630</v>
      </c>
      <c r="F25" s="27"/>
      <c r="G25" s="28"/>
      <c r="H25" s="26" t="s">
        <v>340</v>
      </c>
      <c r="I25" s="11" t="s">
        <v>325</v>
      </c>
      <c r="J25" s="11">
        <v>160.69999999999999</v>
      </c>
      <c r="K25" s="11">
        <v>0.15</v>
      </c>
      <c r="L25" s="11">
        <f t="shared" si="1"/>
        <v>24.104999999999997</v>
      </c>
      <c r="M25" s="11">
        <f t="shared" si="2"/>
        <v>404.33250000000004</v>
      </c>
      <c r="N25" s="612" t="s">
        <v>388</v>
      </c>
      <c r="O25" s="612"/>
      <c r="P25" s="612"/>
      <c r="Q25" s="29">
        <v>1</v>
      </c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 t="shared" si="1"/>
        <v/>
      </c>
      <c r="M26" s="11" t="str">
        <f t="shared" si="2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 t="shared" si="1"/>
        <v/>
      </c>
      <c r="M27" s="11" t="str">
        <f t="shared" si="2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 t="shared" si="1"/>
        <v/>
      </c>
      <c r="M28" s="11" t="str">
        <f t="shared" si="2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 t="shared" si="1"/>
        <v/>
      </c>
      <c r="M29" s="11" t="str">
        <f t="shared" si="2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 t="shared" si="1"/>
        <v/>
      </c>
      <c r="M30" s="11" t="str">
        <f t="shared" si="2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 t="shared" si="1"/>
        <v/>
      </c>
      <c r="M31" s="11" t="str">
        <f t="shared" si="2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 t="shared" si="1"/>
        <v/>
      </c>
      <c r="M32" s="11" t="str">
        <f t="shared" si="2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 t="shared" si="1"/>
        <v/>
      </c>
      <c r="M33" s="11" t="str">
        <f t="shared" si="2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 t="shared" si="1"/>
        <v/>
      </c>
      <c r="M34" s="11" t="str">
        <f t="shared" si="2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 t="shared" si="1"/>
        <v/>
      </c>
      <c r="M35" s="11" t="str">
        <f t="shared" si="2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 t="shared" si="1"/>
        <v/>
      </c>
      <c r="M36" s="12" t="str">
        <f t="shared" si="2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 Q17:Q36">
    <cfRule type="containsBlanks" dxfId="16" priority="1">
      <formula>LEN(TRIM(B17))=0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473-5BCB-4918-A42E-F7979155E05A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54</v>
      </c>
      <c r="F4" s="653"/>
      <c r="G4" s="640">
        <f t="shared" ref="G4:G9" si="0">E4*$P$13</f>
        <v>3824.12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36</v>
      </c>
      <c r="F5" s="654"/>
      <c r="G5" s="642">
        <f t="shared" si="0"/>
        <v>2549.4133333333334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18</v>
      </c>
      <c r="F7" s="645"/>
      <c r="G7" s="642">
        <f t="shared" si="0"/>
        <v>1274.7066666666667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18</v>
      </c>
      <c r="F8" s="657"/>
      <c r="G8" s="658">
        <f t="shared" si="0"/>
        <v>1274.7066666666667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36</v>
      </c>
      <c r="F9" s="646"/>
      <c r="G9" s="660">
        <f t="shared" si="0"/>
        <v>2549.4133333333334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RESUMO!C91</f>
        <v>F.1</v>
      </c>
      <c r="C13" s="623" t="str">
        <f>IF($B$13="","",VLOOKUP($B$13,RESUMO!$C:$F,2,FALSE))</f>
        <v>Mão de Obra</v>
      </c>
      <c r="D13" s="623"/>
      <c r="E13" s="623"/>
      <c r="F13" s="662"/>
      <c r="G13" s="16" t="str">
        <f>RESUMO!C92</f>
        <v>F.1.1</v>
      </c>
      <c r="H13" s="623" t="str">
        <f>IF($G$13="","",VLOOKUP($G$13,RESUMO!$C:$F,2,FALSE))</f>
        <v>Encarregado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h</v>
      </c>
      <c r="P13" s="621">
        <f>IF($G$13="","",VLOOKUP($G$13,RESUMO!$C:$F,4,FALSE))</f>
        <v>70.817037037037039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436</v>
      </c>
      <c r="K15" s="9" t="s">
        <v>438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437</v>
      </c>
      <c r="K16" s="10" t="s">
        <v>439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446</v>
      </c>
      <c r="I17" s="23" t="s">
        <v>325</v>
      </c>
      <c r="J17" s="23">
        <v>9</v>
      </c>
      <c r="K17" s="23">
        <v>1</v>
      </c>
      <c r="L17" s="23">
        <f t="shared" ref="L17:L22" si="1">J17*K17</f>
        <v>9</v>
      </c>
      <c r="M17" s="23">
        <f>L17</f>
        <v>9</v>
      </c>
      <c r="N17" s="635" t="s">
        <v>440</v>
      </c>
      <c r="O17" s="635"/>
      <c r="P17" s="635"/>
      <c r="Q17" s="24">
        <v>3</v>
      </c>
      <c r="S17" s="84" t="s">
        <v>72</v>
      </c>
      <c r="T17" s="83" t="str">
        <f>IF($S17="","",VLOOKUP($S17,RESUMO!$C:$D,2,FALSE))</f>
        <v>Escavação, carga e transporte de material de 1ª categoria - DMT de 800 a 1.000 m - caminho de serviço pavimentado - com escavadeira e caminhão basculante de 14 m³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297</v>
      </c>
      <c r="E18" s="28">
        <v>500</v>
      </c>
      <c r="F18" s="27"/>
      <c r="G18" s="28"/>
      <c r="H18" s="26" t="s">
        <v>446</v>
      </c>
      <c r="I18" s="11" t="s">
        <v>325</v>
      </c>
      <c r="J18" s="11">
        <v>9</v>
      </c>
      <c r="K18" s="11">
        <v>1</v>
      </c>
      <c r="L18" s="11">
        <f t="shared" si="1"/>
        <v>9</v>
      </c>
      <c r="M18" s="11">
        <f>L18+M17</f>
        <v>18</v>
      </c>
      <c r="N18" s="612" t="s">
        <v>441</v>
      </c>
      <c r="O18" s="612"/>
      <c r="P18" s="612"/>
      <c r="Q18" s="29">
        <v>3</v>
      </c>
      <c r="S18" s="84" t="s">
        <v>75</v>
      </c>
      <c r="T18" s="83" t="str">
        <f>IF($S18="","",VLOOKUP($S18,RESUMO!$C:$D,2,FALSE))</f>
        <v>Escavação e carga de material de 1ª categoria - DMT acima de 3.000 m</v>
      </c>
      <c r="V18" s="85" t="str">
        <f>HYPERLINK("#"&amp;"'"&amp;S18&amp;"'"&amp;"!A1","LINK")</f>
        <v>LINK</v>
      </c>
    </row>
    <row r="19" spans="2:22" ht="19.899999999999999" customHeight="1" x14ac:dyDescent="0.25">
      <c r="B19" s="25" t="s">
        <v>316</v>
      </c>
      <c r="C19" s="26" t="s">
        <v>306</v>
      </c>
      <c r="D19" s="27">
        <v>297</v>
      </c>
      <c r="E19" s="28">
        <v>500</v>
      </c>
      <c r="F19" s="27"/>
      <c r="G19" s="28"/>
      <c r="H19" s="26" t="s">
        <v>446</v>
      </c>
      <c r="I19" s="11" t="s">
        <v>325</v>
      </c>
      <c r="J19" s="11">
        <v>9</v>
      </c>
      <c r="K19" s="11">
        <v>1</v>
      </c>
      <c r="L19" s="11">
        <f t="shared" si="1"/>
        <v>9</v>
      </c>
      <c r="M19" s="11">
        <f>L19+M18</f>
        <v>27</v>
      </c>
      <c r="N19" s="612" t="s">
        <v>442</v>
      </c>
      <c r="O19" s="612"/>
      <c r="P19" s="612"/>
      <c r="Q19" s="29">
        <v>3</v>
      </c>
      <c r="S19" s="84" t="s">
        <v>80</v>
      </c>
      <c r="T19" s="83" t="str">
        <f>IF($S19="","",VLOOKUP($S19,RESUMO!$C:$D,2,FALSE))</f>
        <v>Regularização de bota-fora com espalhamento e execução de hidrossemeadura</v>
      </c>
      <c r="V19" s="85" t="str">
        <f>HYPERLINK("#"&amp;"'"&amp;S19&amp;"'"&amp;"!A1","LINK")</f>
        <v>LINK</v>
      </c>
    </row>
    <row r="20" spans="2:22" ht="19.899999999999999" customHeight="1" x14ac:dyDescent="0.25">
      <c r="B20" s="25" t="s">
        <v>316</v>
      </c>
      <c r="C20" s="26" t="s">
        <v>306</v>
      </c>
      <c r="D20" s="27">
        <v>297</v>
      </c>
      <c r="E20" s="28">
        <v>500</v>
      </c>
      <c r="F20" s="27"/>
      <c r="G20" s="28"/>
      <c r="H20" s="26" t="s">
        <v>446</v>
      </c>
      <c r="I20" s="11" t="s">
        <v>325</v>
      </c>
      <c r="J20" s="11">
        <v>9</v>
      </c>
      <c r="K20" s="11">
        <v>1</v>
      </c>
      <c r="L20" s="11">
        <f t="shared" si="1"/>
        <v>9</v>
      </c>
      <c r="M20" s="11">
        <f>L20+M19</f>
        <v>36</v>
      </c>
      <c r="N20" s="612" t="s">
        <v>443</v>
      </c>
      <c r="O20" s="612"/>
      <c r="P20" s="612"/>
      <c r="Q20" s="29">
        <v>3</v>
      </c>
      <c r="S20" s="84" t="s">
        <v>82</v>
      </c>
      <c r="T20" s="83" t="str">
        <f>IF($S20="","",VLOOKUP($S20,RESUMO!$C:$D,2,FALSE))</f>
        <v>Royaltie de bota-fora</v>
      </c>
      <c r="V20" s="85" t="str">
        <f>HYPERLINK("#"&amp;"'"&amp;S20&amp;"'"&amp;"!A1","LINK")</f>
        <v>LINK</v>
      </c>
    </row>
    <row r="21" spans="2:22" ht="19.899999999999999" customHeight="1" x14ac:dyDescent="0.25">
      <c r="B21" s="25" t="s">
        <v>316</v>
      </c>
      <c r="C21" s="26" t="s">
        <v>306</v>
      </c>
      <c r="D21" s="27">
        <v>297</v>
      </c>
      <c r="E21" s="28">
        <v>500</v>
      </c>
      <c r="F21" s="27"/>
      <c r="G21" s="28"/>
      <c r="H21" s="26" t="s">
        <v>446</v>
      </c>
      <c r="I21" s="11" t="s">
        <v>325</v>
      </c>
      <c r="J21" s="11">
        <v>9</v>
      </c>
      <c r="K21" s="11">
        <v>1</v>
      </c>
      <c r="L21" s="11">
        <f t="shared" si="1"/>
        <v>9</v>
      </c>
      <c r="M21" s="11">
        <f>L21+M20</f>
        <v>45</v>
      </c>
      <c r="N21" s="612" t="s">
        <v>444</v>
      </c>
      <c r="O21" s="612"/>
      <c r="P21" s="612"/>
      <c r="Q21" s="29"/>
    </row>
    <row r="22" spans="2:22" ht="19.899999999999999" customHeight="1" x14ac:dyDescent="0.25">
      <c r="B22" s="25" t="s">
        <v>316</v>
      </c>
      <c r="C22" s="26" t="s">
        <v>306</v>
      </c>
      <c r="D22" s="27">
        <v>297</v>
      </c>
      <c r="E22" s="28">
        <v>500</v>
      </c>
      <c r="F22" s="27"/>
      <c r="G22" s="28"/>
      <c r="H22" s="26" t="s">
        <v>446</v>
      </c>
      <c r="I22" s="11" t="s">
        <v>325</v>
      </c>
      <c r="J22" s="11">
        <v>9</v>
      </c>
      <c r="K22" s="11">
        <v>1</v>
      </c>
      <c r="L22" s="11">
        <f t="shared" si="1"/>
        <v>9</v>
      </c>
      <c r="M22" s="11">
        <f>L22+M21</f>
        <v>54</v>
      </c>
      <c r="N22" s="612" t="s">
        <v>445</v>
      </c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>IF(J23="","",J23*#REF!)</f>
        <v/>
      </c>
      <c r="M23" s="11" t="str">
        <f t="shared" ref="M23:M36" si="2">IF(B23="","",IF(OR(M22="",Q23=""),M22,SUM(L23,M22)))</f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>IF(J24="","",J24*#REF!)</f>
        <v/>
      </c>
      <c r="M24" s="11" t="str">
        <f t="shared" si="2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>IF(J25="","",J25*#REF!)</f>
        <v/>
      </c>
      <c r="M25" s="11" t="str">
        <f t="shared" si="2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>IF(J26="","",J26*#REF!)</f>
        <v/>
      </c>
      <c r="M26" s="11" t="str">
        <f t="shared" si="2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>IF(J27="","",J27*#REF!)</f>
        <v/>
      </c>
      <c r="M27" s="11" t="str">
        <f t="shared" si="2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>IF(J28="","",J28*#REF!)</f>
        <v/>
      </c>
      <c r="M28" s="11" t="str">
        <f t="shared" si="2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>IF(J29="","",J29*#REF!)</f>
        <v/>
      </c>
      <c r="M29" s="11" t="str">
        <f t="shared" si="2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>IF(J30="","",J30*#REF!)</f>
        <v/>
      </c>
      <c r="M30" s="11" t="str">
        <f t="shared" si="2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>IF(J31="","",J31*#REF!)</f>
        <v/>
      </c>
      <c r="M31" s="11" t="str">
        <f t="shared" si="2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>IF(J32="","",J32*#REF!)</f>
        <v/>
      </c>
      <c r="M32" s="11" t="str">
        <f t="shared" si="2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>IF(J33="","",J33*#REF!)</f>
        <v/>
      </c>
      <c r="M33" s="11" t="str">
        <f t="shared" si="2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>IF(J34="","",J34*#REF!)</f>
        <v/>
      </c>
      <c r="M34" s="11" t="str">
        <f t="shared" si="2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>IF(J35="","",J35*#REF!)</f>
        <v/>
      </c>
      <c r="M35" s="11" t="str">
        <f t="shared" si="2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>IF(J36="","",J36*#REF!)</f>
        <v/>
      </c>
      <c r="M36" s="12" t="str">
        <f t="shared" si="2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">
    <cfRule type="containsBlanks" dxfId="15" priority="1">
      <formula>LEN(TRIM(B17))=0</formula>
    </cfRule>
  </conditionalFormatting>
  <conditionalFormatting sqref="Q17:Q36">
    <cfRule type="containsBlanks" dxfId="14" priority="2">
      <formula>LEN(TRIM(Q17))=0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5B91-9CC7-45CB-BB96-9A11A364BD88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162</v>
      </c>
      <c r="F4" s="653"/>
      <c r="G4" s="640">
        <f t="shared" ref="G4:G9" si="0">E4*$P$13</f>
        <v>6623.08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108</v>
      </c>
      <c r="F5" s="654"/>
      <c r="G5" s="642">
        <f t="shared" si="0"/>
        <v>4415.3866666666672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54</v>
      </c>
      <c r="F7" s="645"/>
      <c r="G7" s="642">
        <f t="shared" si="0"/>
        <v>2207.6933333333336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54</v>
      </c>
      <c r="F8" s="657"/>
      <c r="G8" s="658">
        <f t="shared" si="0"/>
        <v>2207.6933333333336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108</v>
      </c>
      <c r="F9" s="646"/>
      <c r="G9" s="660">
        <f t="shared" si="0"/>
        <v>4415.3866666666672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RESUMO!C91</f>
        <v>F.1</v>
      </c>
      <c r="C13" s="623" t="str">
        <f>IF($B$13="","",VLOOKUP($B$13,RESUMO!$C:$F,2,FALSE))</f>
        <v>Mão de Obra</v>
      </c>
      <c r="D13" s="623"/>
      <c r="E13" s="623"/>
      <c r="F13" s="662"/>
      <c r="G13" s="16" t="str">
        <f>RESUMO!C93</f>
        <v>F.1.2</v>
      </c>
      <c r="H13" s="623" t="str">
        <f>IF($G$13="","",VLOOKUP($G$13,RESUMO!$C:$F,2,FALSE))</f>
        <v>Oficial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h</v>
      </c>
      <c r="P13" s="621">
        <f>IF($G$13="","",VLOOKUP($G$13,RESUMO!$C:$F,4,FALSE))</f>
        <v>40.883209876543212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436</v>
      </c>
      <c r="K15" s="9" t="s">
        <v>438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437</v>
      </c>
      <c r="K16" s="10" t="s">
        <v>439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446</v>
      </c>
      <c r="I17" s="23" t="s">
        <v>325</v>
      </c>
      <c r="J17" s="23">
        <v>9</v>
      </c>
      <c r="K17" s="23">
        <v>3</v>
      </c>
      <c r="L17" s="23">
        <f t="shared" ref="L17:L22" si="1">J17*K17</f>
        <v>27</v>
      </c>
      <c r="M17" s="23">
        <f>L17</f>
        <v>27</v>
      </c>
      <c r="N17" s="635" t="s">
        <v>440</v>
      </c>
      <c r="O17" s="635"/>
      <c r="P17" s="635"/>
      <c r="Q17" s="24">
        <v>3</v>
      </c>
      <c r="S17" s="84" t="s">
        <v>72</v>
      </c>
      <c r="T17" s="83" t="str">
        <f>IF($S17="","",VLOOKUP($S17,RESUMO!$C:$D,2,FALSE))</f>
        <v>Escavação, carga e transporte de material de 1ª categoria - DMT de 800 a 1.000 m - caminho de serviço pavimentado - com escavadeira e caminhão basculante de 14 m³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297</v>
      </c>
      <c r="E18" s="28">
        <v>500</v>
      </c>
      <c r="F18" s="27"/>
      <c r="G18" s="28"/>
      <c r="H18" s="26" t="s">
        <v>446</v>
      </c>
      <c r="I18" s="11" t="s">
        <v>325</v>
      </c>
      <c r="J18" s="11">
        <v>9</v>
      </c>
      <c r="K18" s="11">
        <v>3</v>
      </c>
      <c r="L18" s="11">
        <f t="shared" si="1"/>
        <v>27</v>
      </c>
      <c r="M18" s="11">
        <f>L18+M17</f>
        <v>54</v>
      </c>
      <c r="N18" s="612" t="s">
        <v>441</v>
      </c>
      <c r="O18" s="612"/>
      <c r="P18" s="612"/>
      <c r="Q18" s="29">
        <v>3</v>
      </c>
      <c r="S18" s="84" t="s">
        <v>75</v>
      </c>
      <c r="T18" s="83" t="str">
        <f>IF($S18="","",VLOOKUP($S18,RESUMO!$C:$D,2,FALSE))</f>
        <v>Escavação e carga de material de 1ª categoria - DMT acima de 3.000 m</v>
      </c>
      <c r="V18" s="85" t="str">
        <f>HYPERLINK("#"&amp;"'"&amp;S18&amp;"'"&amp;"!A1","LINK")</f>
        <v>LINK</v>
      </c>
    </row>
    <row r="19" spans="2:22" ht="19.899999999999999" customHeight="1" x14ac:dyDescent="0.25">
      <c r="B19" s="25" t="s">
        <v>316</v>
      </c>
      <c r="C19" s="26" t="s">
        <v>306</v>
      </c>
      <c r="D19" s="27">
        <v>297</v>
      </c>
      <c r="E19" s="28">
        <v>500</v>
      </c>
      <c r="F19" s="27"/>
      <c r="G19" s="28"/>
      <c r="H19" s="26" t="s">
        <v>446</v>
      </c>
      <c r="I19" s="11" t="s">
        <v>325</v>
      </c>
      <c r="J19" s="11">
        <v>9</v>
      </c>
      <c r="K19" s="11">
        <v>3</v>
      </c>
      <c r="L19" s="11">
        <f t="shared" si="1"/>
        <v>27</v>
      </c>
      <c r="M19" s="11">
        <f>L19+M18</f>
        <v>81</v>
      </c>
      <c r="N19" s="612" t="s">
        <v>442</v>
      </c>
      <c r="O19" s="612"/>
      <c r="P19" s="612"/>
      <c r="Q19" s="29">
        <v>3</v>
      </c>
      <c r="S19" s="84" t="s">
        <v>80</v>
      </c>
      <c r="T19" s="83" t="str">
        <f>IF($S19="","",VLOOKUP($S19,RESUMO!$C:$D,2,FALSE))</f>
        <v>Regularização de bota-fora com espalhamento e execução de hidrossemeadura</v>
      </c>
      <c r="V19" s="85" t="str">
        <f>HYPERLINK("#"&amp;"'"&amp;S19&amp;"'"&amp;"!A1","LINK")</f>
        <v>LINK</v>
      </c>
    </row>
    <row r="20" spans="2:22" ht="19.899999999999999" customHeight="1" x14ac:dyDescent="0.25">
      <c r="B20" s="25" t="s">
        <v>316</v>
      </c>
      <c r="C20" s="26" t="s">
        <v>306</v>
      </c>
      <c r="D20" s="27">
        <v>297</v>
      </c>
      <c r="E20" s="28">
        <v>500</v>
      </c>
      <c r="F20" s="27"/>
      <c r="G20" s="28"/>
      <c r="H20" s="26" t="s">
        <v>446</v>
      </c>
      <c r="I20" s="11" t="s">
        <v>325</v>
      </c>
      <c r="J20" s="11">
        <v>9</v>
      </c>
      <c r="K20" s="11">
        <v>3</v>
      </c>
      <c r="L20" s="11">
        <f t="shared" si="1"/>
        <v>27</v>
      </c>
      <c r="M20" s="11">
        <f>L20+M19</f>
        <v>108</v>
      </c>
      <c r="N20" s="612" t="s">
        <v>443</v>
      </c>
      <c r="O20" s="612"/>
      <c r="P20" s="612"/>
      <c r="Q20" s="29">
        <v>3</v>
      </c>
      <c r="S20" s="84" t="s">
        <v>82</v>
      </c>
      <c r="T20" s="83" t="str">
        <f>IF($S20="","",VLOOKUP($S20,RESUMO!$C:$D,2,FALSE))</f>
        <v>Royaltie de bota-fora</v>
      </c>
      <c r="V20" s="85" t="str">
        <f>HYPERLINK("#"&amp;"'"&amp;S20&amp;"'"&amp;"!A1","LINK")</f>
        <v>LINK</v>
      </c>
    </row>
    <row r="21" spans="2:22" ht="19.899999999999999" customHeight="1" x14ac:dyDescent="0.25">
      <c r="B21" s="25" t="s">
        <v>316</v>
      </c>
      <c r="C21" s="26" t="s">
        <v>306</v>
      </c>
      <c r="D21" s="27">
        <v>297</v>
      </c>
      <c r="E21" s="28">
        <v>500</v>
      </c>
      <c r="F21" s="27"/>
      <c r="G21" s="28"/>
      <c r="H21" s="26" t="s">
        <v>446</v>
      </c>
      <c r="I21" s="11" t="s">
        <v>325</v>
      </c>
      <c r="J21" s="11">
        <v>9</v>
      </c>
      <c r="K21" s="11">
        <v>3</v>
      </c>
      <c r="L21" s="11">
        <f t="shared" si="1"/>
        <v>27</v>
      </c>
      <c r="M21" s="11">
        <f>L21+M20</f>
        <v>135</v>
      </c>
      <c r="N21" s="612" t="s">
        <v>444</v>
      </c>
      <c r="O21" s="612"/>
      <c r="P21" s="612"/>
      <c r="Q21" s="29"/>
    </row>
    <row r="22" spans="2:22" ht="19.899999999999999" customHeight="1" x14ac:dyDescent="0.25">
      <c r="B22" s="25" t="s">
        <v>316</v>
      </c>
      <c r="C22" s="26" t="s">
        <v>306</v>
      </c>
      <c r="D22" s="27">
        <v>297</v>
      </c>
      <c r="E22" s="28">
        <v>500</v>
      </c>
      <c r="F22" s="27"/>
      <c r="G22" s="28"/>
      <c r="H22" s="26" t="s">
        <v>446</v>
      </c>
      <c r="I22" s="11" t="s">
        <v>325</v>
      </c>
      <c r="J22" s="11">
        <v>9</v>
      </c>
      <c r="K22" s="11">
        <v>3</v>
      </c>
      <c r="L22" s="11">
        <f t="shared" si="1"/>
        <v>27</v>
      </c>
      <c r="M22" s="11">
        <f>L22+M21</f>
        <v>162</v>
      </c>
      <c r="N22" s="612" t="s">
        <v>445</v>
      </c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>IF(J23="","",J23*#REF!)</f>
        <v/>
      </c>
      <c r="M23" s="11" t="str">
        <f t="shared" ref="M23:M36" si="2">IF(B23="","",IF(OR(M22="",Q23=""),M22,SUM(L23,M22)))</f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>IF(J24="","",J24*#REF!)</f>
        <v/>
      </c>
      <c r="M24" s="11" t="str">
        <f t="shared" si="2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>IF(J25="","",J25*#REF!)</f>
        <v/>
      </c>
      <c r="M25" s="11" t="str">
        <f t="shared" si="2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>IF(J26="","",J26*#REF!)</f>
        <v/>
      </c>
      <c r="M26" s="11" t="str">
        <f t="shared" si="2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>IF(J27="","",J27*#REF!)</f>
        <v/>
      </c>
      <c r="M27" s="11" t="str">
        <f t="shared" si="2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>IF(J28="","",J28*#REF!)</f>
        <v/>
      </c>
      <c r="M28" s="11" t="str">
        <f t="shared" si="2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>IF(J29="","",J29*#REF!)</f>
        <v/>
      </c>
      <c r="M29" s="11" t="str">
        <f t="shared" si="2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>IF(J30="","",J30*#REF!)</f>
        <v/>
      </c>
      <c r="M30" s="11" t="str">
        <f t="shared" si="2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>IF(J31="","",J31*#REF!)</f>
        <v/>
      </c>
      <c r="M31" s="11" t="str">
        <f t="shared" si="2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>IF(J32="","",J32*#REF!)</f>
        <v/>
      </c>
      <c r="M32" s="11" t="str">
        <f t="shared" si="2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>IF(J33="","",J33*#REF!)</f>
        <v/>
      </c>
      <c r="M33" s="11" t="str">
        <f t="shared" si="2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>IF(J34="","",J34*#REF!)</f>
        <v/>
      </c>
      <c r="M34" s="11" t="str">
        <f t="shared" si="2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>IF(J35="","",J35*#REF!)</f>
        <v/>
      </c>
      <c r="M35" s="11" t="str">
        <f t="shared" si="2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>IF(J36="","",J36*#REF!)</f>
        <v/>
      </c>
      <c r="M36" s="12" t="str">
        <f t="shared" si="2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">
    <cfRule type="containsBlanks" dxfId="13" priority="1">
      <formula>LEN(TRIM(B17))=0</formula>
    </cfRule>
  </conditionalFormatting>
  <conditionalFormatting sqref="Q17:Q36">
    <cfRule type="containsBlanks" dxfId="12" priority="2">
      <formula>LEN(TRIM(Q17))=0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0393-C5D1-47F0-BE44-4B35CE29CE8D}">
  <sheetPr>
    <pageSetUpPr fitToPage="1"/>
  </sheetPr>
  <dimension ref="B1:V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3" width="12.7109375" style="3" customWidth="1"/>
    <col min="14" max="14" width="20.7109375" style="3" customWidth="1"/>
    <col min="15" max="16" width="10.7109375" style="3" customWidth="1"/>
    <col min="17" max="16384" width="10.7109375" style="3"/>
  </cols>
  <sheetData>
    <row r="1" spans="2:20" ht="19.899999999999999" customHeight="1" thickBot="1" x14ac:dyDescent="0.3"/>
    <row r="2" spans="2:20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3"/>
      <c r="S2" s="611" t="s">
        <v>294</v>
      </c>
      <c r="T2" s="611"/>
    </row>
    <row r="3" spans="2:20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13"/>
      <c r="K3" s="614"/>
      <c r="L3" s="614"/>
      <c r="M3" s="614"/>
      <c r="N3" s="614"/>
      <c r="O3" s="614"/>
      <c r="P3" s="614"/>
      <c r="Q3" s="615"/>
      <c r="S3" s="36"/>
      <c r="T3" s="36"/>
    </row>
    <row r="4" spans="2:20" ht="15" customHeight="1" x14ac:dyDescent="0.25">
      <c r="B4" s="647" t="s">
        <v>296</v>
      </c>
      <c r="C4" s="648"/>
      <c r="D4" s="648"/>
      <c r="E4" s="653">
        <f>IF($G$13="","",VLOOKUP($G$13,RESUMO!$C:$G,5,FALSE))</f>
        <v>270</v>
      </c>
      <c r="F4" s="653"/>
      <c r="G4" s="640">
        <f t="shared" ref="G4:G9" si="0">E4*$P$13</f>
        <v>9007.02</v>
      </c>
      <c r="H4" s="641"/>
      <c r="J4" s="613"/>
      <c r="K4" s="614"/>
      <c r="L4" s="614"/>
      <c r="M4" s="614"/>
      <c r="N4" s="614"/>
      <c r="O4" s="614"/>
      <c r="P4" s="614"/>
      <c r="Q4" s="615"/>
      <c r="S4" s="36"/>
      <c r="T4" s="36"/>
    </row>
    <row r="5" spans="2:20" ht="15" customHeight="1" x14ac:dyDescent="0.25">
      <c r="B5" s="649" t="s">
        <v>297</v>
      </c>
      <c r="C5" s="650"/>
      <c r="D5" s="650"/>
      <c r="E5" s="654">
        <f>SUMIFS(L:L,Q:Q,"&lt;&gt;")</f>
        <v>180</v>
      </c>
      <c r="F5" s="654"/>
      <c r="G5" s="642">
        <f t="shared" si="0"/>
        <v>6004.6799999999994</v>
      </c>
      <c r="H5" s="643"/>
      <c r="J5" s="613"/>
      <c r="K5" s="614"/>
      <c r="L5" s="614"/>
      <c r="M5" s="614"/>
      <c r="N5" s="614"/>
      <c r="O5" s="614"/>
      <c r="P5" s="614"/>
      <c r="Q5" s="615"/>
      <c r="S5" s="36"/>
      <c r="T5" s="36"/>
    </row>
    <row r="6" spans="2:20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5"/>
    </row>
    <row r="7" spans="2:20" ht="15" customHeight="1" x14ac:dyDescent="0.25">
      <c r="B7" s="649" t="s">
        <v>299</v>
      </c>
      <c r="C7" s="650"/>
      <c r="D7" s="650"/>
      <c r="E7" s="644">
        <f>E4-E5</f>
        <v>90</v>
      </c>
      <c r="F7" s="645"/>
      <c r="G7" s="642">
        <f t="shared" si="0"/>
        <v>3002.3399999999997</v>
      </c>
      <c r="H7" s="643"/>
      <c r="J7" s="613"/>
      <c r="K7" s="614"/>
      <c r="L7" s="614"/>
      <c r="M7" s="614"/>
      <c r="N7" s="614"/>
      <c r="O7" s="614"/>
      <c r="P7" s="614"/>
      <c r="Q7" s="615"/>
    </row>
    <row r="8" spans="2:20" ht="15" customHeight="1" x14ac:dyDescent="0.25">
      <c r="B8" s="655" t="s">
        <v>300</v>
      </c>
      <c r="C8" s="656"/>
      <c r="D8" s="656"/>
      <c r="E8" s="657">
        <f>SUM(L:L)-E5</f>
        <v>90</v>
      </c>
      <c r="F8" s="657"/>
      <c r="G8" s="658">
        <f t="shared" si="0"/>
        <v>3002.3399999999997</v>
      </c>
      <c r="H8" s="659"/>
      <c r="J8" s="613"/>
      <c r="K8" s="614"/>
      <c r="L8" s="614"/>
      <c r="M8" s="614"/>
      <c r="N8" s="614"/>
      <c r="O8" s="614"/>
      <c r="P8" s="614"/>
      <c r="Q8" s="615"/>
    </row>
    <row r="9" spans="2:20" ht="15" customHeight="1" thickBot="1" x14ac:dyDescent="0.3">
      <c r="B9" s="651" t="s">
        <v>301</v>
      </c>
      <c r="C9" s="652"/>
      <c r="D9" s="652"/>
      <c r="E9" s="646">
        <f>SUMIF(Q:Q,CAPA!$I$2,L:L)</f>
        <v>180</v>
      </c>
      <c r="F9" s="646"/>
      <c r="G9" s="660">
        <f t="shared" si="0"/>
        <v>6004.6799999999994</v>
      </c>
      <c r="H9" s="661"/>
      <c r="J9" s="616"/>
      <c r="K9" s="617"/>
      <c r="L9" s="617"/>
      <c r="M9" s="617"/>
      <c r="N9" s="617"/>
      <c r="O9" s="617"/>
      <c r="P9" s="617"/>
      <c r="Q9" s="618"/>
    </row>
    <row r="10" spans="2:20" ht="10.15" customHeight="1" thickTop="1" thickBot="1" x14ac:dyDescent="0.3"/>
    <row r="11" spans="2:20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6"/>
    </row>
    <row r="12" spans="2:20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14" t="s">
        <v>303</v>
      </c>
      <c r="P12" s="619" t="s">
        <v>304</v>
      </c>
      <c r="Q12" s="620"/>
    </row>
    <row r="13" spans="2:20" s="8" customFormat="1" ht="30" customHeight="1" thickBot="1" x14ac:dyDescent="0.3">
      <c r="B13" s="15" t="str">
        <f>RESUMO!C91</f>
        <v>F.1</v>
      </c>
      <c r="C13" s="623" t="str">
        <f>IF($B$13="","",VLOOKUP($B$13,RESUMO!$C:$F,2,FALSE))</f>
        <v>Mão de Obra</v>
      </c>
      <c r="D13" s="623"/>
      <c r="E13" s="623"/>
      <c r="F13" s="662"/>
      <c r="G13" s="16" t="str">
        <f>RESUMO!C94</f>
        <v>F.1.3</v>
      </c>
      <c r="H13" s="623" t="str">
        <f>IF($G$13="","",VLOOKUP($G$13,RESUMO!$C:$F,2,FALSE))</f>
        <v>Servente</v>
      </c>
      <c r="I13" s="623"/>
      <c r="J13" s="623"/>
      <c r="K13" s="623"/>
      <c r="L13" s="623"/>
      <c r="M13" s="623"/>
      <c r="N13" s="623"/>
      <c r="O13" s="17" t="str">
        <f>IF($G$13="","",VLOOKUP($G$13,RESUMO!$C:$F,3,FALSE))</f>
        <v>h</v>
      </c>
      <c r="P13" s="621">
        <f>IF($G$13="","",VLOOKUP($G$13,RESUMO!$C:$F,4,FALSE))</f>
        <v>33.359333333333332</v>
      </c>
      <c r="Q13" s="622"/>
    </row>
    <row r="14" spans="2:20" ht="10.15" customHeight="1" thickTop="1" thickBot="1" x14ac:dyDescent="0.3"/>
    <row r="15" spans="2:20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436</v>
      </c>
      <c r="K15" s="9" t="s">
        <v>438</v>
      </c>
      <c r="L15" s="627" t="s">
        <v>310</v>
      </c>
      <c r="M15" s="627" t="s">
        <v>311</v>
      </c>
      <c r="N15" s="627" t="s">
        <v>312</v>
      </c>
      <c r="O15" s="627"/>
      <c r="P15" s="627"/>
      <c r="Q15" s="629" t="s">
        <v>27</v>
      </c>
      <c r="S15" s="611" t="s">
        <v>313</v>
      </c>
      <c r="T15" s="611"/>
    </row>
    <row r="16" spans="2:20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437</v>
      </c>
      <c r="K16" s="10" t="s">
        <v>439</v>
      </c>
      <c r="L16" s="628"/>
      <c r="M16" s="628"/>
      <c r="N16" s="628"/>
      <c r="O16" s="628"/>
      <c r="P16" s="628"/>
      <c r="Q16" s="630"/>
      <c r="S16" s="35" t="s">
        <v>269</v>
      </c>
      <c r="T16" s="35" t="s">
        <v>47</v>
      </c>
    </row>
    <row r="17" spans="2:22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446</v>
      </c>
      <c r="I17" s="23" t="s">
        <v>325</v>
      </c>
      <c r="J17" s="23">
        <v>9</v>
      </c>
      <c r="K17" s="23">
        <v>5</v>
      </c>
      <c r="L17" s="23">
        <f t="shared" ref="L17:L22" si="1">J17*K17</f>
        <v>45</v>
      </c>
      <c r="M17" s="23">
        <f>L17</f>
        <v>45</v>
      </c>
      <c r="N17" s="635" t="s">
        <v>440</v>
      </c>
      <c r="O17" s="635"/>
      <c r="P17" s="635"/>
      <c r="Q17" s="24">
        <v>3</v>
      </c>
      <c r="S17" s="84" t="s">
        <v>72</v>
      </c>
      <c r="T17" s="83" t="str">
        <f>IF($S17="","",VLOOKUP($S17,RESUMO!$C:$D,2,FALSE))</f>
        <v>Escavação, carga e transporte de material de 1ª categoria - DMT de 800 a 1.000 m - caminho de serviço pavimentado - com escavadeira e caminhão basculante de 14 m³</v>
      </c>
      <c r="V17" s="85" t="str">
        <f>HYPERLINK("#"&amp;"'"&amp;S17&amp;"'"&amp;"!A1","LINK")</f>
        <v>LINK</v>
      </c>
    </row>
    <row r="18" spans="2:22" ht="19.899999999999999" customHeight="1" x14ac:dyDescent="0.25">
      <c r="B18" s="25" t="s">
        <v>316</v>
      </c>
      <c r="C18" s="26" t="s">
        <v>306</v>
      </c>
      <c r="D18" s="27">
        <v>297</v>
      </c>
      <c r="E18" s="28">
        <v>500</v>
      </c>
      <c r="F18" s="27"/>
      <c r="G18" s="28"/>
      <c r="H18" s="26" t="s">
        <v>446</v>
      </c>
      <c r="I18" s="11" t="s">
        <v>325</v>
      </c>
      <c r="J18" s="11">
        <v>9</v>
      </c>
      <c r="K18" s="11">
        <v>5</v>
      </c>
      <c r="L18" s="11">
        <f t="shared" si="1"/>
        <v>45</v>
      </c>
      <c r="M18" s="11">
        <f>L18+M17</f>
        <v>90</v>
      </c>
      <c r="N18" s="612" t="s">
        <v>441</v>
      </c>
      <c r="O18" s="612"/>
      <c r="P18" s="612"/>
      <c r="Q18" s="29">
        <v>3</v>
      </c>
      <c r="S18" s="84" t="s">
        <v>75</v>
      </c>
      <c r="T18" s="83" t="str">
        <f>IF($S18="","",VLOOKUP($S18,RESUMO!$C:$D,2,FALSE))</f>
        <v>Escavação e carga de material de 1ª categoria - DMT acima de 3.000 m</v>
      </c>
      <c r="V18" s="85" t="str">
        <f>HYPERLINK("#"&amp;"'"&amp;S18&amp;"'"&amp;"!A1","LINK")</f>
        <v>LINK</v>
      </c>
    </row>
    <row r="19" spans="2:22" ht="19.899999999999999" customHeight="1" x14ac:dyDescent="0.25">
      <c r="B19" s="25" t="s">
        <v>316</v>
      </c>
      <c r="C19" s="26" t="s">
        <v>306</v>
      </c>
      <c r="D19" s="27">
        <v>297</v>
      </c>
      <c r="E19" s="28">
        <v>500</v>
      </c>
      <c r="F19" s="27"/>
      <c r="G19" s="28"/>
      <c r="H19" s="26" t="s">
        <v>446</v>
      </c>
      <c r="I19" s="11" t="s">
        <v>325</v>
      </c>
      <c r="J19" s="11">
        <v>9</v>
      </c>
      <c r="K19" s="11">
        <v>5</v>
      </c>
      <c r="L19" s="11">
        <f t="shared" si="1"/>
        <v>45</v>
      </c>
      <c r="M19" s="11">
        <f>L19+M18</f>
        <v>135</v>
      </c>
      <c r="N19" s="612" t="s">
        <v>442</v>
      </c>
      <c r="O19" s="612"/>
      <c r="P19" s="612"/>
      <c r="Q19" s="29">
        <v>3</v>
      </c>
      <c r="S19" s="84" t="s">
        <v>80</v>
      </c>
      <c r="T19" s="83" t="str">
        <f>IF($S19="","",VLOOKUP($S19,RESUMO!$C:$D,2,FALSE))</f>
        <v>Regularização de bota-fora com espalhamento e execução de hidrossemeadura</v>
      </c>
      <c r="V19" s="85" t="str">
        <f>HYPERLINK("#"&amp;"'"&amp;S19&amp;"'"&amp;"!A1","LINK")</f>
        <v>LINK</v>
      </c>
    </row>
    <row r="20" spans="2:22" ht="19.899999999999999" customHeight="1" x14ac:dyDescent="0.25">
      <c r="B20" s="25" t="s">
        <v>316</v>
      </c>
      <c r="C20" s="26" t="s">
        <v>306</v>
      </c>
      <c r="D20" s="27">
        <v>297</v>
      </c>
      <c r="E20" s="28">
        <v>500</v>
      </c>
      <c r="F20" s="27"/>
      <c r="G20" s="28"/>
      <c r="H20" s="26" t="s">
        <v>446</v>
      </c>
      <c r="I20" s="11" t="s">
        <v>325</v>
      </c>
      <c r="J20" s="11">
        <v>9</v>
      </c>
      <c r="K20" s="11">
        <v>5</v>
      </c>
      <c r="L20" s="11">
        <f t="shared" si="1"/>
        <v>45</v>
      </c>
      <c r="M20" s="11">
        <f>L20+M19</f>
        <v>180</v>
      </c>
      <c r="N20" s="612" t="s">
        <v>443</v>
      </c>
      <c r="O20" s="612"/>
      <c r="P20" s="612"/>
      <c r="Q20" s="29">
        <v>3</v>
      </c>
      <c r="S20" s="84" t="s">
        <v>82</v>
      </c>
      <c r="T20" s="83" t="str">
        <f>IF($S20="","",VLOOKUP($S20,RESUMO!$C:$D,2,FALSE))</f>
        <v>Royaltie de bota-fora</v>
      </c>
      <c r="V20" s="85" t="str">
        <f>HYPERLINK("#"&amp;"'"&amp;S20&amp;"'"&amp;"!A1","LINK")</f>
        <v>LINK</v>
      </c>
    </row>
    <row r="21" spans="2:22" ht="19.899999999999999" customHeight="1" x14ac:dyDescent="0.25">
      <c r="B21" s="25" t="s">
        <v>316</v>
      </c>
      <c r="C21" s="26" t="s">
        <v>306</v>
      </c>
      <c r="D21" s="27">
        <v>297</v>
      </c>
      <c r="E21" s="28">
        <v>500</v>
      </c>
      <c r="F21" s="27"/>
      <c r="G21" s="28"/>
      <c r="H21" s="26" t="s">
        <v>446</v>
      </c>
      <c r="I21" s="11" t="s">
        <v>325</v>
      </c>
      <c r="J21" s="11">
        <v>9</v>
      </c>
      <c r="K21" s="11">
        <v>5</v>
      </c>
      <c r="L21" s="11">
        <f t="shared" si="1"/>
        <v>45</v>
      </c>
      <c r="M21" s="11">
        <f>L21+M20</f>
        <v>225</v>
      </c>
      <c r="N21" s="612" t="s">
        <v>444</v>
      </c>
      <c r="O21" s="612"/>
      <c r="P21" s="612"/>
      <c r="Q21" s="29"/>
    </row>
    <row r="22" spans="2:22" ht="19.899999999999999" customHeight="1" x14ac:dyDescent="0.25">
      <c r="B22" s="25" t="s">
        <v>316</v>
      </c>
      <c r="C22" s="26" t="s">
        <v>306</v>
      </c>
      <c r="D22" s="27">
        <v>297</v>
      </c>
      <c r="E22" s="28">
        <v>500</v>
      </c>
      <c r="F22" s="27"/>
      <c r="G22" s="28"/>
      <c r="H22" s="26" t="s">
        <v>446</v>
      </c>
      <c r="I22" s="11" t="s">
        <v>325</v>
      </c>
      <c r="J22" s="11">
        <v>9</v>
      </c>
      <c r="K22" s="11">
        <v>5</v>
      </c>
      <c r="L22" s="11">
        <f t="shared" si="1"/>
        <v>45</v>
      </c>
      <c r="M22" s="11">
        <f>L22+M21</f>
        <v>270</v>
      </c>
      <c r="N22" s="612" t="s">
        <v>445</v>
      </c>
      <c r="O22" s="612"/>
      <c r="P22" s="612"/>
      <c r="Q22" s="29"/>
    </row>
    <row r="23" spans="2:22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 t="str">
        <f>IF(J23="","",J23*#REF!)</f>
        <v/>
      </c>
      <c r="M23" s="11" t="str">
        <f t="shared" ref="M23:M36" si="2">IF(B23="","",IF(OR(M22="",Q23=""),M22,SUM(L23,M22)))</f>
        <v/>
      </c>
      <c r="N23" s="612"/>
      <c r="O23" s="612"/>
      <c r="P23" s="612"/>
      <c r="Q23" s="29"/>
    </row>
    <row r="24" spans="2:22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 t="str">
        <f>IF(J24="","",J24*#REF!)</f>
        <v/>
      </c>
      <c r="M24" s="11" t="str">
        <f t="shared" si="2"/>
        <v/>
      </c>
      <c r="N24" s="612"/>
      <c r="O24" s="612"/>
      <c r="P24" s="612"/>
      <c r="Q24" s="29"/>
    </row>
    <row r="25" spans="2:22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 t="str">
        <f>IF(J25="","",J25*#REF!)</f>
        <v/>
      </c>
      <c r="M25" s="11" t="str">
        <f t="shared" si="2"/>
        <v/>
      </c>
      <c r="N25" s="612"/>
      <c r="O25" s="612"/>
      <c r="P25" s="612"/>
      <c r="Q25" s="29"/>
    </row>
    <row r="26" spans="2:22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 t="str">
        <f>IF(J26="","",J26*#REF!)</f>
        <v/>
      </c>
      <c r="M26" s="11" t="str">
        <f t="shared" si="2"/>
        <v/>
      </c>
      <c r="N26" s="612"/>
      <c r="O26" s="612"/>
      <c r="P26" s="612"/>
      <c r="Q26" s="29"/>
    </row>
    <row r="27" spans="2:22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 t="str">
        <f>IF(J27="","",J27*#REF!)</f>
        <v/>
      </c>
      <c r="M27" s="11" t="str">
        <f t="shared" si="2"/>
        <v/>
      </c>
      <c r="N27" s="612"/>
      <c r="O27" s="612"/>
      <c r="P27" s="612"/>
      <c r="Q27" s="29"/>
    </row>
    <row r="28" spans="2:22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 t="str">
        <f>IF(J28="","",J28*#REF!)</f>
        <v/>
      </c>
      <c r="M28" s="11" t="str">
        <f t="shared" si="2"/>
        <v/>
      </c>
      <c r="N28" s="612"/>
      <c r="O28" s="612"/>
      <c r="P28" s="612"/>
      <c r="Q28" s="29"/>
    </row>
    <row r="29" spans="2:22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 t="str">
        <f>IF(J29="","",J29*#REF!)</f>
        <v/>
      </c>
      <c r="M29" s="11" t="str">
        <f t="shared" si="2"/>
        <v/>
      </c>
      <c r="N29" s="612"/>
      <c r="O29" s="612"/>
      <c r="P29" s="612"/>
      <c r="Q29" s="29"/>
    </row>
    <row r="30" spans="2:22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 t="str">
        <f>IF(J30="","",J30*#REF!)</f>
        <v/>
      </c>
      <c r="M30" s="11" t="str">
        <f t="shared" si="2"/>
        <v/>
      </c>
      <c r="N30" s="612"/>
      <c r="O30" s="612"/>
      <c r="P30" s="612"/>
      <c r="Q30" s="29"/>
    </row>
    <row r="31" spans="2:22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 t="str">
        <f>IF(J31="","",J31*#REF!)</f>
        <v/>
      </c>
      <c r="M31" s="11" t="str">
        <f t="shared" si="2"/>
        <v/>
      </c>
      <c r="N31" s="612"/>
      <c r="O31" s="612"/>
      <c r="P31" s="612"/>
      <c r="Q31" s="29"/>
    </row>
    <row r="32" spans="2:22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 t="str">
        <f>IF(J32="","",J32*#REF!)</f>
        <v/>
      </c>
      <c r="M32" s="11" t="str">
        <f t="shared" si="2"/>
        <v/>
      </c>
      <c r="N32" s="612"/>
      <c r="O32" s="612"/>
      <c r="P32" s="612"/>
      <c r="Q32" s="29"/>
    </row>
    <row r="33" spans="2:17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 t="str">
        <f>IF(J33="","",J33*#REF!)</f>
        <v/>
      </c>
      <c r="M33" s="11" t="str">
        <f t="shared" si="2"/>
        <v/>
      </c>
      <c r="N33" s="612"/>
      <c r="O33" s="612"/>
      <c r="P33" s="612"/>
      <c r="Q33" s="29"/>
    </row>
    <row r="34" spans="2:17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 t="str">
        <f>IF(J34="","",J34*#REF!)</f>
        <v/>
      </c>
      <c r="M34" s="11" t="str">
        <f t="shared" si="2"/>
        <v/>
      </c>
      <c r="N34" s="612"/>
      <c r="O34" s="612"/>
      <c r="P34" s="612"/>
      <c r="Q34" s="29"/>
    </row>
    <row r="35" spans="2:17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 t="str">
        <f>IF(J35="","",J35*#REF!)</f>
        <v/>
      </c>
      <c r="M35" s="11" t="str">
        <f t="shared" si="2"/>
        <v/>
      </c>
      <c r="N35" s="612"/>
      <c r="O35" s="612"/>
      <c r="P35" s="612"/>
      <c r="Q35" s="29"/>
    </row>
    <row r="36" spans="2:17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 t="str">
        <f>IF(J36="","",J36*#REF!)</f>
        <v/>
      </c>
      <c r="M36" s="12" t="str">
        <f t="shared" si="2"/>
        <v/>
      </c>
      <c r="N36" s="634"/>
      <c r="O36" s="634"/>
      <c r="P36" s="634"/>
      <c r="Q36" s="34"/>
    </row>
    <row r="37" spans="2:17" ht="19.899999999999999" customHeight="1" thickTop="1" x14ac:dyDescent="0.25"/>
  </sheetData>
  <mergeCells count="70">
    <mergeCell ref="N36:P36"/>
    <mergeCell ref="N30:P30"/>
    <mergeCell ref="N31:P31"/>
    <mergeCell ref="N32:P32"/>
    <mergeCell ref="N33:P33"/>
    <mergeCell ref="N34:P34"/>
    <mergeCell ref="N35:P35"/>
    <mergeCell ref="S15:T15"/>
    <mergeCell ref="N29:P29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N17:P17"/>
    <mergeCell ref="B15:B16"/>
    <mergeCell ref="C15:C16"/>
    <mergeCell ref="D15:E15"/>
    <mergeCell ref="F15:G15"/>
    <mergeCell ref="H15:H16"/>
    <mergeCell ref="I15:I16"/>
    <mergeCell ref="L15:L16"/>
    <mergeCell ref="M15:M16"/>
    <mergeCell ref="N15:P16"/>
    <mergeCell ref="C13:F13"/>
    <mergeCell ref="H13:N13"/>
    <mergeCell ref="P13:Q13"/>
    <mergeCell ref="Q15:Q16"/>
    <mergeCell ref="B8:D8"/>
    <mergeCell ref="E8:F8"/>
    <mergeCell ref="G8:H8"/>
    <mergeCell ref="J8:Q8"/>
    <mergeCell ref="B9:D9"/>
    <mergeCell ref="E9:F9"/>
    <mergeCell ref="G9:H9"/>
    <mergeCell ref="J9:Q9"/>
    <mergeCell ref="B11:F11"/>
    <mergeCell ref="G11:Q11"/>
    <mergeCell ref="C12:F12"/>
    <mergeCell ref="H12:N12"/>
    <mergeCell ref="P12:Q12"/>
    <mergeCell ref="B6:D6"/>
    <mergeCell ref="E6:F6"/>
    <mergeCell ref="G6:H6"/>
    <mergeCell ref="J6:Q6"/>
    <mergeCell ref="B7:D7"/>
    <mergeCell ref="E7:F7"/>
    <mergeCell ref="G7:H7"/>
    <mergeCell ref="J7:Q7"/>
    <mergeCell ref="B4:D4"/>
    <mergeCell ref="E4:F4"/>
    <mergeCell ref="G4:H4"/>
    <mergeCell ref="J4:Q4"/>
    <mergeCell ref="B5:D5"/>
    <mergeCell ref="E5:F5"/>
    <mergeCell ref="G5:H5"/>
    <mergeCell ref="J5:Q5"/>
    <mergeCell ref="B2:D3"/>
    <mergeCell ref="E2:H2"/>
    <mergeCell ref="J2:Q2"/>
    <mergeCell ref="S2:T2"/>
    <mergeCell ref="E3:F3"/>
    <mergeCell ref="G3:H3"/>
    <mergeCell ref="J3:Q3"/>
  </mergeCells>
  <conditionalFormatting sqref="B17:N36">
    <cfRule type="containsBlanks" dxfId="11" priority="1">
      <formula>LEN(TRIM(B17))=0</formula>
    </cfRule>
  </conditionalFormatting>
  <conditionalFormatting sqref="Q17:Q36">
    <cfRule type="containsBlanks" dxfId="10" priority="2">
      <formula>LEN(TRIM(Q17))=0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E581-68BB-46E5-B72E-2C69C475A602}">
  <sheetPr>
    <pageSetUpPr fitToPage="1"/>
  </sheetPr>
  <dimension ref="B1:W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74" t="s">
        <v>454</v>
      </c>
      <c r="K3" s="675"/>
      <c r="L3" s="675"/>
      <c r="M3" s="675"/>
      <c r="N3" s="675"/>
      <c r="O3" s="675"/>
      <c r="P3" s="675"/>
      <c r="Q3" s="675"/>
      <c r="R3" s="676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81</v>
      </c>
      <c r="F4" s="653"/>
      <c r="G4" s="640">
        <f t="shared" ref="G4:G9" si="0">E4*$Q$13</f>
        <v>22060.63</v>
      </c>
      <c r="H4" s="641"/>
      <c r="J4" s="613"/>
      <c r="K4" s="614"/>
      <c r="L4" s="614"/>
      <c r="M4" s="614"/>
      <c r="N4" s="614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21.705353459330038</v>
      </c>
      <c r="F5" s="654"/>
      <c r="G5" s="642">
        <f t="shared" si="0"/>
        <v>5911.5280455000002</v>
      </c>
      <c r="H5" s="643"/>
      <c r="J5" s="613"/>
      <c r="K5" s="614"/>
      <c r="L5" s="614"/>
      <c r="M5" s="614"/>
      <c r="N5" s="614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59.294646540669959</v>
      </c>
      <c r="F7" s="645"/>
      <c r="G7" s="642">
        <f t="shared" si="0"/>
        <v>16149.1019545</v>
      </c>
      <c r="H7" s="643"/>
      <c r="J7" s="613"/>
      <c r="K7" s="614"/>
      <c r="L7" s="614"/>
      <c r="M7" s="614"/>
      <c r="N7" s="614"/>
      <c r="O7" s="614"/>
      <c r="P7" s="614"/>
      <c r="Q7" s="614"/>
      <c r="R7" s="615"/>
    </row>
    <row r="8" spans="2:21" ht="15" customHeight="1" x14ac:dyDescent="0.25">
      <c r="B8" s="655" t="s">
        <v>300</v>
      </c>
      <c r="C8" s="656"/>
      <c r="D8" s="656"/>
      <c r="E8" s="657">
        <f>SUM(M:M)-E5</f>
        <v>6.2015295598085842</v>
      </c>
      <c r="F8" s="657"/>
      <c r="G8" s="658">
        <f t="shared" si="0"/>
        <v>1689.0080130000006</v>
      </c>
      <c r="H8" s="659"/>
      <c r="J8" s="613"/>
      <c r="K8" s="614"/>
      <c r="L8" s="614"/>
      <c r="M8" s="614"/>
      <c r="N8" s="614"/>
      <c r="O8" s="614"/>
      <c r="P8" s="614"/>
      <c r="Q8" s="614"/>
      <c r="R8" s="615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21.705353459330038</v>
      </c>
      <c r="F9" s="646"/>
      <c r="G9" s="660">
        <f t="shared" si="0"/>
        <v>5911.5280455000002</v>
      </c>
      <c r="H9" s="661"/>
      <c r="J9" s="616"/>
      <c r="K9" s="617"/>
      <c r="L9" s="617"/>
      <c r="M9" s="617"/>
      <c r="N9" s="617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RESUMO!C95</f>
        <v>F.2</v>
      </c>
      <c r="C13" s="623" t="str">
        <f>IF($B$13="","",VLOOKUP($B$13,RESUMO!$C:$F,2,FALSE))</f>
        <v>Equipamentos</v>
      </c>
      <c r="D13" s="623"/>
      <c r="E13" s="623"/>
      <c r="F13" s="662"/>
      <c r="G13" s="16" t="str">
        <f>RESUMO!C96</f>
        <v>F.2.1</v>
      </c>
      <c r="H13" s="623" t="str">
        <f>IF($G$13="","",VLOOKUP($G$13,RESUMO!$C:$F,2,FALSE))</f>
        <v>Trator sobre Esteiras com Lâmina - 127 Kw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h</v>
      </c>
      <c r="Q13" s="621">
        <f>IF($G$13="","",VLOOKUP($G$13,RESUMO!$C:$F,4,FALSE))</f>
        <v>272.35345679012346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436</v>
      </c>
      <c r="K15" s="9" t="s">
        <v>438</v>
      </c>
      <c r="L15" s="672" t="s">
        <v>459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437</v>
      </c>
      <c r="K16" s="10" t="s">
        <v>439</v>
      </c>
      <c r="L16" s="673"/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446</v>
      </c>
      <c r="I17" s="23" t="s">
        <v>325</v>
      </c>
      <c r="J17" s="23">
        <v>9</v>
      </c>
      <c r="K17" s="23">
        <v>2</v>
      </c>
      <c r="L17" s="23">
        <f>93.8337785/Q13</f>
        <v>0.34452941998936565</v>
      </c>
      <c r="M17" s="23">
        <f t="shared" ref="M17:M22" si="1">J17*K17*L17</f>
        <v>6.2015295598085816</v>
      </c>
      <c r="N17" s="23">
        <f>M17</f>
        <v>6.2015295598085816</v>
      </c>
      <c r="O17" s="635" t="s">
        <v>440</v>
      </c>
      <c r="P17" s="635"/>
      <c r="Q17" s="635"/>
      <c r="R17" s="24">
        <v>3</v>
      </c>
      <c r="T17" s="84" t="s">
        <v>72</v>
      </c>
      <c r="U17" s="83" t="str">
        <f>IF($T17="","",VLOOKUP($T17,RESUMO!$C:$D,2,FALSE))</f>
        <v>Escavação, carga e transporte de material de 1ª categoria - DMT de 800 a 1.000 m - caminho de serviço pavimentado - com escavadeira e caminhão basculante de 14 m³</v>
      </c>
      <c r="W17" s="85" t="str">
        <f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297</v>
      </c>
      <c r="E18" s="28">
        <v>500</v>
      </c>
      <c r="F18" s="27"/>
      <c r="G18" s="28"/>
      <c r="H18" s="26" t="s">
        <v>446</v>
      </c>
      <c r="I18" s="11" t="s">
        <v>325</v>
      </c>
      <c r="J18" s="11">
        <v>9</v>
      </c>
      <c r="K18" s="11">
        <v>2</v>
      </c>
      <c r="L18" s="11">
        <f>93.8337785/$Q$13</f>
        <v>0.34452941998936565</v>
      </c>
      <c r="M18" s="11">
        <f t="shared" si="1"/>
        <v>6.2015295598085816</v>
      </c>
      <c r="N18" s="11">
        <f>M18+N17</f>
        <v>12.403059119617163</v>
      </c>
      <c r="O18" s="612" t="s">
        <v>441</v>
      </c>
      <c r="P18" s="612"/>
      <c r="Q18" s="612"/>
      <c r="R18" s="29">
        <v>3</v>
      </c>
      <c r="T18" s="84" t="s">
        <v>75</v>
      </c>
      <c r="U18" s="83" t="str">
        <f>IF($T18="","",VLOOKUP($T18,RESUMO!$C:$D,2,FALSE))</f>
        <v>Escavação e carga de material de 1ª categoria - DMT acima de 3.000 m</v>
      </c>
      <c r="W18" s="85" t="str">
        <f>HYPERLINK("#"&amp;"'"&amp;T18&amp;"'"&amp;"!A1","LINK")</f>
        <v>LINK</v>
      </c>
    </row>
    <row r="19" spans="2:23" ht="19.899999999999999" customHeight="1" x14ac:dyDescent="0.25">
      <c r="B19" s="25" t="s">
        <v>316</v>
      </c>
      <c r="C19" s="26" t="s">
        <v>306</v>
      </c>
      <c r="D19" s="27">
        <v>297</v>
      </c>
      <c r="E19" s="28">
        <v>500</v>
      </c>
      <c r="F19" s="27"/>
      <c r="G19" s="28"/>
      <c r="H19" s="26" t="s">
        <v>446</v>
      </c>
      <c r="I19" s="11" t="s">
        <v>325</v>
      </c>
      <c r="J19" s="11">
        <v>9</v>
      </c>
      <c r="K19" s="11">
        <v>2</v>
      </c>
      <c r="L19" s="11">
        <f>93.8337785/$Q$13</f>
        <v>0.34452941998936565</v>
      </c>
      <c r="M19" s="11">
        <f t="shared" si="1"/>
        <v>6.2015295598085816</v>
      </c>
      <c r="N19" s="11">
        <f>M19+N18</f>
        <v>18.604588679425746</v>
      </c>
      <c r="O19" s="612" t="s">
        <v>442</v>
      </c>
      <c r="P19" s="612"/>
      <c r="Q19" s="612"/>
      <c r="R19" s="29">
        <v>3</v>
      </c>
      <c r="T19" s="84" t="s">
        <v>80</v>
      </c>
      <c r="U19" s="83" t="str">
        <f>IF($T19="","",VLOOKUP($T19,RESUMO!$C:$D,2,FALSE))</f>
        <v>Regularização de bota-fora com espalhamento e execução de hidrossemeadura</v>
      </c>
      <c r="W19" s="85" t="str">
        <f>HYPERLINK("#"&amp;"'"&amp;T19&amp;"'"&amp;"!A1","LINK")</f>
        <v>LINK</v>
      </c>
    </row>
    <row r="20" spans="2:23" ht="19.899999999999999" customHeight="1" x14ac:dyDescent="0.25">
      <c r="B20" s="25" t="s">
        <v>316</v>
      </c>
      <c r="C20" s="26" t="s">
        <v>306</v>
      </c>
      <c r="D20" s="27">
        <v>297</v>
      </c>
      <c r="E20" s="28">
        <v>500</v>
      </c>
      <c r="F20" s="27"/>
      <c r="G20" s="28"/>
      <c r="H20" s="26" t="s">
        <v>446</v>
      </c>
      <c r="I20" s="11" t="s">
        <v>325</v>
      </c>
      <c r="J20" s="11">
        <v>9</v>
      </c>
      <c r="K20" s="11">
        <v>1</v>
      </c>
      <c r="L20" s="11">
        <f>93.8337785/$Q$13</f>
        <v>0.34452941998936565</v>
      </c>
      <c r="M20" s="11">
        <f t="shared" si="1"/>
        <v>3.1007647799042908</v>
      </c>
      <c r="N20" s="11">
        <f>M20+N19</f>
        <v>21.705353459330038</v>
      </c>
      <c r="O20" s="612" t="s">
        <v>443</v>
      </c>
      <c r="P20" s="612"/>
      <c r="Q20" s="612"/>
      <c r="R20" s="29">
        <v>3</v>
      </c>
      <c r="T20" s="84" t="s">
        <v>82</v>
      </c>
      <c r="U20" s="83" t="str">
        <f>IF($T20="","",VLOOKUP($T20,RESUMO!$C:$D,2,FALSE))</f>
        <v>Royaltie de bota-fora</v>
      </c>
      <c r="W20" s="85" t="str">
        <f>HYPERLINK("#"&amp;"'"&amp;T20&amp;"'"&amp;"!A1","LINK")</f>
        <v>LINK</v>
      </c>
    </row>
    <row r="21" spans="2:23" ht="19.899999999999999" customHeight="1" x14ac:dyDescent="0.25">
      <c r="B21" s="25" t="s">
        <v>316</v>
      </c>
      <c r="C21" s="26" t="s">
        <v>306</v>
      </c>
      <c r="D21" s="27">
        <v>297</v>
      </c>
      <c r="E21" s="28">
        <v>500</v>
      </c>
      <c r="F21" s="27"/>
      <c r="G21" s="28"/>
      <c r="H21" s="26" t="s">
        <v>446</v>
      </c>
      <c r="I21" s="11" t="s">
        <v>325</v>
      </c>
      <c r="J21" s="11">
        <v>9</v>
      </c>
      <c r="K21" s="11">
        <v>1</v>
      </c>
      <c r="L21" s="11">
        <f>93.8337785/$Q$13</f>
        <v>0.34452941998936565</v>
      </c>
      <c r="M21" s="11">
        <f t="shared" si="1"/>
        <v>3.1007647799042908</v>
      </c>
      <c r="N21" s="11">
        <f>M21+N20</f>
        <v>24.80611823923433</v>
      </c>
      <c r="O21" s="612" t="s">
        <v>444</v>
      </c>
      <c r="P21" s="612"/>
      <c r="Q21" s="612"/>
      <c r="R21" s="29"/>
    </row>
    <row r="22" spans="2:23" ht="19.899999999999999" customHeight="1" x14ac:dyDescent="0.25">
      <c r="B22" s="25" t="s">
        <v>316</v>
      </c>
      <c r="C22" s="26" t="s">
        <v>306</v>
      </c>
      <c r="D22" s="27">
        <v>297</v>
      </c>
      <c r="E22" s="28">
        <v>500</v>
      </c>
      <c r="F22" s="27"/>
      <c r="G22" s="28"/>
      <c r="H22" s="26" t="s">
        <v>446</v>
      </c>
      <c r="I22" s="11" t="s">
        <v>325</v>
      </c>
      <c r="J22" s="11">
        <v>9</v>
      </c>
      <c r="K22" s="11">
        <v>1</v>
      </c>
      <c r="L22" s="11">
        <f>93.8337785/$Q$13</f>
        <v>0.34452941998936565</v>
      </c>
      <c r="M22" s="11">
        <f t="shared" si="1"/>
        <v>3.1007647799042908</v>
      </c>
      <c r="N22" s="11">
        <f>M22+N21</f>
        <v>27.906883019138622</v>
      </c>
      <c r="O22" s="612" t="s">
        <v>445</v>
      </c>
      <c r="P22" s="612"/>
      <c r="Q22" s="612"/>
      <c r="R22" s="29"/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>IF(J23="","",J23*#REF!)</f>
        <v/>
      </c>
      <c r="N23" s="11" t="str">
        <f t="shared" ref="N23:N36" si="2">IF(B23="","",IF(OR(N22="",R23=""),N22,SUM(M23,N22)))</f>
        <v/>
      </c>
      <c r="O23" s="612"/>
      <c r="P23" s="612"/>
      <c r="Q23" s="612"/>
      <c r="R23" s="29"/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>IF(J24="","",J24*#REF!)</f>
        <v/>
      </c>
      <c r="N24" s="11" t="str">
        <f t="shared" si="2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>IF(J25="","",J25*#REF!)</f>
        <v/>
      </c>
      <c r="N25" s="11" t="str">
        <f t="shared" si="2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>IF(J26="","",J26*#REF!)</f>
        <v/>
      </c>
      <c r="N26" s="11" t="str">
        <f t="shared" si="2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>IF(J27="","",J27*#REF!)</f>
        <v/>
      </c>
      <c r="N27" s="11" t="str">
        <f t="shared" si="2"/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>IF(J28="","",J28*#REF!)</f>
        <v/>
      </c>
      <c r="N28" s="11" t="str">
        <f t="shared" si="2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>IF(J29="","",J29*#REF!)</f>
        <v/>
      </c>
      <c r="N29" s="11" t="str">
        <f t="shared" si="2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>IF(J30="","",J30*#REF!)</f>
        <v/>
      </c>
      <c r="N30" s="11" t="str">
        <f t="shared" si="2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>IF(J31="","",J31*#REF!)</f>
        <v/>
      </c>
      <c r="N31" s="11" t="str">
        <f t="shared" si="2"/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>IF(J32="","",J32*#REF!)</f>
        <v/>
      </c>
      <c r="N32" s="11" t="str">
        <f t="shared" si="2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>IF(J33="","",J33*#REF!)</f>
        <v/>
      </c>
      <c r="N33" s="11" t="str">
        <f t="shared" si="2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>IF(J34="","",J34*#REF!)</f>
        <v/>
      </c>
      <c r="N34" s="11" t="str">
        <f t="shared" si="2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>IF(J35="","",J35*#REF!)</f>
        <v/>
      </c>
      <c r="N35" s="11" t="str">
        <f t="shared" si="2"/>
        <v/>
      </c>
      <c r="O35" s="612"/>
      <c r="P35" s="612"/>
      <c r="Q35" s="612"/>
      <c r="R35" s="29"/>
    </row>
    <row r="36" spans="2:18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/>
      <c r="M36" s="12" t="str">
        <f>IF(J36="","",J36*#REF!)</f>
        <v/>
      </c>
      <c r="N36" s="12" t="str">
        <f t="shared" si="2"/>
        <v/>
      </c>
      <c r="O36" s="634"/>
      <c r="P36" s="634"/>
      <c r="Q36" s="634"/>
      <c r="R36" s="34"/>
    </row>
    <row r="37" spans="2:18" ht="19.899999999999999" customHeight="1" thickTop="1" x14ac:dyDescent="0.25"/>
  </sheetData>
  <mergeCells count="71">
    <mergeCell ref="O36:Q36"/>
    <mergeCell ref="O30:Q30"/>
    <mergeCell ref="O31:Q31"/>
    <mergeCell ref="O32:Q32"/>
    <mergeCell ref="O33:Q33"/>
    <mergeCell ref="O34:Q34"/>
    <mergeCell ref="O35:Q35"/>
    <mergeCell ref="T15:U15"/>
    <mergeCell ref="O29:Q29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17:Q17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C13:F13"/>
    <mergeCell ref="H13:O13"/>
    <mergeCell ref="Q13:R13"/>
    <mergeCell ref="R15:R16"/>
    <mergeCell ref="L15:L16"/>
    <mergeCell ref="B8:D8"/>
    <mergeCell ref="E8:F8"/>
    <mergeCell ref="G8:H8"/>
    <mergeCell ref="J8:R8"/>
    <mergeCell ref="B9:D9"/>
    <mergeCell ref="E9:F9"/>
    <mergeCell ref="G9:H9"/>
    <mergeCell ref="J9:R9"/>
    <mergeCell ref="B11:F11"/>
    <mergeCell ref="G11:R11"/>
    <mergeCell ref="C12:F12"/>
    <mergeCell ref="H12:O12"/>
    <mergeCell ref="Q12:R12"/>
    <mergeCell ref="B6:D6"/>
    <mergeCell ref="E6:F6"/>
    <mergeCell ref="G6:H6"/>
    <mergeCell ref="J6:R6"/>
    <mergeCell ref="B7:D7"/>
    <mergeCell ref="E7:F7"/>
    <mergeCell ref="G7:H7"/>
    <mergeCell ref="J7:R7"/>
    <mergeCell ref="B4:D4"/>
    <mergeCell ref="E4:F4"/>
    <mergeCell ref="G4:H4"/>
    <mergeCell ref="J4:R4"/>
    <mergeCell ref="B5:D5"/>
    <mergeCell ref="E5:F5"/>
    <mergeCell ref="G5:H5"/>
    <mergeCell ref="J5:R5"/>
    <mergeCell ref="B2:D3"/>
    <mergeCell ref="E2:H2"/>
    <mergeCell ref="J2:R2"/>
    <mergeCell ref="T2:U2"/>
    <mergeCell ref="E3:F3"/>
    <mergeCell ref="G3:H3"/>
    <mergeCell ref="J3:R3"/>
  </mergeCells>
  <conditionalFormatting sqref="B17:O36">
    <cfRule type="containsBlanks" dxfId="9" priority="1">
      <formula>LEN(TRIM(B17))=0</formula>
    </cfRule>
  </conditionalFormatting>
  <conditionalFormatting sqref="R17:R36">
    <cfRule type="containsBlanks" dxfId="8" priority="2">
      <formula>LEN(TRIM(R17))=0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691D-D7EB-408D-B9CF-05DFA44A52C4}">
  <sheetPr>
    <pageSetUpPr fitToPage="1"/>
  </sheetPr>
  <dimension ref="B1:W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74" t="s">
        <v>455</v>
      </c>
      <c r="K3" s="675"/>
      <c r="L3" s="675"/>
      <c r="M3" s="675"/>
      <c r="N3" s="675"/>
      <c r="O3" s="675"/>
      <c r="P3" s="675"/>
      <c r="Q3" s="675"/>
      <c r="R3" s="676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117</v>
      </c>
      <c r="F4" s="653"/>
      <c r="G4" s="640">
        <f t="shared" ref="G4:G9" si="0">E4*$Q$13</f>
        <v>33033.29</v>
      </c>
      <c r="H4" s="641"/>
      <c r="J4" s="613"/>
      <c r="K4" s="614"/>
      <c r="L4" s="614"/>
      <c r="M4" s="614"/>
      <c r="N4" s="614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38.822239738851323</v>
      </c>
      <c r="F5" s="654"/>
      <c r="G5" s="642">
        <f t="shared" si="0"/>
        <v>10960.908578999999</v>
      </c>
      <c r="H5" s="643"/>
      <c r="J5" s="613"/>
      <c r="K5" s="614"/>
      <c r="L5" s="614"/>
      <c r="M5" s="614"/>
      <c r="N5" s="614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78.177760261148677</v>
      </c>
      <c r="F7" s="645"/>
      <c r="G7" s="642">
        <f t="shared" si="0"/>
        <v>22072.381420999998</v>
      </c>
      <c r="H7" s="643"/>
      <c r="J7" s="613"/>
      <c r="K7" s="614"/>
      <c r="L7" s="614"/>
      <c r="M7" s="614"/>
      <c r="N7" s="614"/>
      <c r="O7" s="614"/>
      <c r="P7" s="614"/>
      <c r="Q7" s="614"/>
      <c r="R7" s="615"/>
    </row>
    <row r="8" spans="2:21" ht="15" customHeight="1" x14ac:dyDescent="0.25">
      <c r="B8" s="655" t="s">
        <v>300</v>
      </c>
      <c r="C8" s="656"/>
      <c r="D8" s="656"/>
      <c r="E8" s="657">
        <f>SUM(M:M)-E5</f>
        <v>17.254328772822817</v>
      </c>
      <c r="F8" s="657"/>
      <c r="G8" s="658">
        <f t="shared" si="0"/>
        <v>4871.5149240000019</v>
      </c>
      <c r="H8" s="659"/>
      <c r="J8" s="613"/>
      <c r="K8" s="614"/>
      <c r="L8" s="614"/>
      <c r="M8" s="614"/>
      <c r="N8" s="614"/>
      <c r="O8" s="614"/>
      <c r="P8" s="614"/>
      <c r="Q8" s="614"/>
      <c r="R8" s="615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38.822239738851323</v>
      </c>
      <c r="F9" s="646"/>
      <c r="G9" s="660">
        <f t="shared" si="0"/>
        <v>10960.908578999999</v>
      </c>
      <c r="H9" s="661"/>
      <c r="J9" s="616"/>
      <c r="K9" s="617"/>
      <c r="L9" s="617"/>
      <c r="M9" s="617"/>
      <c r="N9" s="617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RESUMO!C95</f>
        <v>F.2</v>
      </c>
      <c r="C13" s="623" t="str">
        <f>IF($B$13="","",VLOOKUP($B$13,RESUMO!$C:$F,2,FALSE))</f>
        <v>Equipamentos</v>
      </c>
      <c r="D13" s="623"/>
      <c r="E13" s="623"/>
      <c r="F13" s="662"/>
      <c r="G13" s="16" t="str">
        <f>RESUMO!C97</f>
        <v>F.2.2</v>
      </c>
      <c r="H13" s="623" t="str">
        <f>IF($G$13="","",VLOOKUP($G$13,RESUMO!$C:$F,2,FALSE))</f>
        <v>Escavadeira Hidráulica sobre Esteiras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h</v>
      </c>
      <c r="Q13" s="621">
        <f>IF($G$13="","",VLOOKUP($G$13,RESUMO!$C:$F,4,FALSE))</f>
        <v>282.33581196581196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436</v>
      </c>
      <c r="K15" s="9" t="s">
        <v>438</v>
      </c>
      <c r="L15" s="672" t="s">
        <v>459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437</v>
      </c>
      <c r="K16" s="10" t="s">
        <v>439</v>
      </c>
      <c r="L16" s="673"/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446</v>
      </c>
      <c r="I17" s="23" t="s">
        <v>325</v>
      </c>
      <c r="J17" s="23">
        <v>9</v>
      </c>
      <c r="K17" s="23">
        <v>3</v>
      </c>
      <c r="L17" s="23">
        <f t="shared" ref="L17:L22" si="1">135.319859/$Q$13</f>
        <v>0.4792869103561892</v>
      </c>
      <c r="M17" s="23">
        <f t="shared" ref="M17:M22" si="2">J17*K17*L17</f>
        <v>12.940746579617109</v>
      </c>
      <c r="N17" s="23">
        <f>M17</f>
        <v>12.940746579617109</v>
      </c>
      <c r="O17" s="635" t="s">
        <v>440</v>
      </c>
      <c r="P17" s="635"/>
      <c r="Q17" s="635"/>
      <c r="R17" s="24">
        <v>3</v>
      </c>
      <c r="T17" s="84" t="s">
        <v>72</v>
      </c>
      <c r="U17" s="83" t="str">
        <f>IF($T17="","",VLOOKUP($T17,RESUMO!$C:$D,2,FALSE))</f>
        <v>Escavação, carga e transporte de material de 1ª categoria - DMT de 800 a 1.000 m - caminho de serviço pavimentado - com escavadeira e caminhão basculante de 14 m³</v>
      </c>
      <c r="W17" s="85" t="str">
        <f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297</v>
      </c>
      <c r="E18" s="28">
        <v>500</v>
      </c>
      <c r="F18" s="27"/>
      <c r="G18" s="28"/>
      <c r="H18" s="26" t="s">
        <v>446</v>
      </c>
      <c r="I18" s="11" t="s">
        <v>325</v>
      </c>
      <c r="J18" s="11">
        <v>9</v>
      </c>
      <c r="K18" s="11">
        <v>2</v>
      </c>
      <c r="L18" s="11">
        <f t="shared" si="1"/>
        <v>0.4792869103561892</v>
      </c>
      <c r="M18" s="11">
        <f t="shared" si="2"/>
        <v>8.6271643864114047</v>
      </c>
      <c r="N18" s="11">
        <f>M18+N17</f>
        <v>21.567910966028514</v>
      </c>
      <c r="O18" s="612" t="s">
        <v>441</v>
      </c>
      <c r="P18" s="612"/>
      <c r="Q18" s="612"/>
      <c r="R18" s="29">
        <v>3</v>
      </c>
      <c r="T18" s="84" t="s">
        <v>75</v>
      </c>
      <c r="U18" s="83" t="str">
        <f>IF($T18="","",VLOOKUP($T18,RESUMO!$C:$D,2,FALSE))</f>
        <v>Escavação e carga de material de 1ª categoria - DMT acima de 3.000 m</v>
      </c>
      <c r="W18" s="85" t="str">
        <f>HYPERLINK("#"&amp;"'"&amp;T18&amp;"'"&amp;"!A1","LINK")</f>
        <v>LINK</v>
      </c>
    </row>
    <row r="19" spans="2:23" ht="19.899999999999999" customHeight="1" x14ac:dyDescent="0.25">
      <c r="B19" s="25" t="s">
        <v>316</v>
      </c>
      <c r="C19" s="26" t="s">
        <v>306</v>
      </c>
      <c r="D19" s="27">
        <v>297</v>
      </c>
      <c r="E19" s="28">
        <v>500</v>
      </c>
      <c r="F19" s="27"/>
      <c r="G19" s="28"/>
      <c r="H19" s="26" t="s">
        <v>446</v>
      </c>
      <c r="I19" s="11" t="s">
        <v>325</v>
      </c>
      <c r="J19" s="11">
        <v>9</v>
      </c>
      <c r="K19" s="11">
        <v>2</v>
      </c>
      <c r="L19" s="11">
        <f t="shared" si="1"/>
        <v>0.4792869103561892</v>
      </c>
      <c r="M19" s="11">
        <f t="shared" si="2"/>
        <v>8.6271643864114047</v>
      </c>
      <c r="N19" s="11">
        <f>M19+N18</f>
        <v>30.195075352439918</v>
      </c>
      <c r="O19" s="612" t="s">
        <v>442</v>
      </c>
      <c r="P19" s="612"/>
      <c r="Q19" s="612"/>
      <c r="R19" s="29">
        <v>3</v>
      </c>
      <c r="T19" s="84" t="s">
        <v>80</v>
      </c>
      <c r="U19" s="83" t="str">
        <f>IF($T19="","",VLOOKUP($T19,RESUMO!$C:$D,2,FALSE))</f>
        <v>Regularização de bota-fora com espalhamento e execução de hidrossemeadura</v>
      </c>
      <c r="W19" s="85" t="str">
        <f>HYPERLINK("#"&amp;"'"&amp;T19&amp;"'"&amp;"!A1","LINK")</f>
        <v>LINK</v>
      </c>
    </row>
    <row r="20" spans="2:23" ht="19.899999999999999" customHeight="1" x14ac:dyDescent="0.25">
      <c r="B20" s="25" t="s">
        <v>316</v>
      </c>
      <c r="C20" s="26" t="s">
        <v>306</v>
      </c>
      <c r="D20" s="27">
        <v>297</v>
      </c>
      <c r="E20" s="28">
        <v>500</v>
      </c>
      <c r="F20" s="27"/>
      <c r="G20" s="28"/>
      <c r="H20" s="26" t="s">
        <v>446</v>
      </c>
      <c r="I20" s="11" t="s">
        <v>325</v>
      </c>
      <c r="J20" s="11">
        <v>9</v>
      </c>
      <c r="K20" s="11">
        <v>2</v>
      </c>
      <c r="L20" s="11">
        <f t="shared" si="1"/>
        <v>0.4792869103561892</v>
      </c>
      <c r="M20" s="11">
        <f t="shared" si="2"/>
        <v>8.6271643864114047</v>
      </c>
      <c r="N20" s="11">
        <f>M20+N19</f>
        <v>38.822239738851323</v>
      </c>
      <c r="O20" s="612" t="s">
        <v>443</v>
      </c>
      <c r="P20" s="612"/>
      <c r="Q20" s="612"/>
      <c r="R20" s="29">
        <v>3</v>
      </c>
      <c r="T20" s="84" t="s">
        <v>82</v>
      </c>
      <c r="U20" s="83" t="str">
        <f>IF($T20="","",VLOOKUP($T20,RESUMO!$C:$D,2,FALSE))</f>
        <v>Royaltie de bota-fora</v>
      </c>
      <c r="W20" s="85" t="str">
        <f>HYPERLINK("#"&amp;"'"&amp;T20&amp;"'"&amp;"!A1","LINK")</f>
        <v>LINK</v>
      </c>
    </row>
    <row r="21" spans="2:23" ht="19.899999999999999" customHeight="1" x14ac:dyDescent="0.25">
      <c r="B21" s="25" t="s">
        <v>316</v>
      </c>
      <c r="C21" s="26" t="s">
        <v>306</v>
      </c>
      <c r="D21" s="27">
        <v>297</v>
      </c>
      <c r="E21" s="28">
        <v>500</v>
      </c>
      <c r="F21" s="27"/>
      <c r="G21" s="28"/>
      <c r="H21" s="26" t="s">
        <v>446</v>
      </c>
      <c r="I21" s="11" t="s">
        <v>325</v>
      </c>
      <c r="J21" s="11">
        <v>9</v>
      </c>
      <c r="K21" s="11">
        <v>2</v>
      </c>
      <c r="L21" s="11">
        <f t="shared" si="1"/>
        <v>0.4792869103561892</v>
      </c>
      <c r="M21" s="11">
        <f t="shared" si="2"/>
        <v>8.6271643864114047</v>
      </c>
      <c r="N21" s="11">
        <f>M21+N20</f>
        <v>47.449404125262731</v>
      </c>
      <c r="O21" s="612" t="s">
        <v>444</v>
      </c>
      <c r="P21" s="612"/>
      <c r="Q21" s="612"/>
      <c r="R21" s="29"/>
    </row>
    <row r="22" spans="2:23" ht="19.899999999999999" customHeight="1" x14ac:dyDescent="0.25">
      <c r="B22" s="25" t="s">
        <v>316</v>
      </c>
      <c r="C22" s="26" t="s">
        <v>306</v>
      </c>
      <c r="D22" s="27">
        <v>297</v>
      </c>
      <c r="E22" s="28">
        <v>500</v>
      </c>
      <c r="F22" s="27"/>
      <c r="G22" s="28"/>
      <c r="H22" s="26" t="s">
        <v>446</v>
      </c>
      <c r="I22" s="11" t="s">
        <v>325</v>
      </c>
      <c r="J22" s="11">
        <v>9</v>
      </c>
      <c r="K22" s="11">
        <v>2</v>
      </c>
      <c r="L22" s="11">
        <f t="shared" si="1"/>
        <v>0.4792869103561892</v>
      </c>
      <c r="M22" s="11">
        <f t="shared" si="2"/>
        <v>8.6271643864114047</v>
      </c>
      <c r="N22" s="11">
        <f>M22+N21</f>
        <v>56.076568511674139</v>
      </c>
      <c r="O22" s="612" t="s">
        <v>445</v>
      </c>
      <c r="P22" s="612"/>
      <c r="Q22" s="612"/>
      <c r="R22" s="29"/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>IF(J23="","",J23*#REF!)</f>
        <v/>
      </c>
      <c r="N23" s="11" t="str">
        <f t="shared" ref="N23:N36" si="3">IF(B23="","",IF(OR(N22="",R23=""),N22,SUM(M23,N22)))</f>
        <v/>
      </c>
      <c r="O23" s="612"/>
      <c r="P23" s="612"/>
      <c r="Q23" s="612"/>
      <c r="R23" s="29"/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>IF(J24="","",J24*#REF!)</f>
        <v/>
      </c>
      <c r="N24" s="11" t="str">
        <f t="shared" si="3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>IF(J25="","",J25*#REF!)</f>
        <v/>
      </c>
      <c r="N25" s="11" t="str">
        <f t="shared" si="3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>IF(J26="","",J26*#REF!)</f>
        <v/>
      </c>
      <c r="N26" s="11" t="str">
        <f t="shared" si="3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>IF(J27="","",J27*#REF!)</f>
        <v/>
      </c>
      <c r="N27" s="11" t="str">
        <f t="shared" si="3"/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>IF(J28="","",J28*#REF!)</f>
        <v/>
      </c>
      <c r="N28" s="11" t="str">
        <f t="shared" si="3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>IF(J29="","",J29*#REF!)</f>
        <v/>
      </c>
      <c r="N29" s="11" t="str">
        <f t="shared" si="3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>IF(J30="","",J30*#REF!)</f>
        <v/>
      </c>
      <c r="N30" s="11" t="str">
        <f t="shared" si="3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>IF(J31="","",J31*#REF!)</f>
        <v/>
      </c>
      <c r="N31" s="11" t="str">
        <f t="shared" si="3"/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>IF(J32="","",J32*#REF!)</f>
        <v/>
      </c>
      <c r="N32" s="11" t="str">
        <f t="shared" si="3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>IF(J33="","",J33*#REF!)</f>
        <v/>
      </c>
      <c r="N33" s="11" t="str">
        <f t="shared" si="3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>IF(J34="","",J34*#REF!)</f>
        <v/>
      </c>
      <c r="N34" s="11" t="str">
        <f t="shared" si="3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>IF(J35="","",J35*#REF!)</f>
        <v/>
      </c>
      <c r="N35" s="11" t="str">
        <f t="shared" si="3"/>
        <v/>
      </c>
      <c r="O35" s="612"/>
      <c r="P35" s="612"/>
      <c r="Q35" s="612"/>
      <c r="R35" s="29"/>
    </row>
    <row r="36" spans="2:18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/>
      <c r="M36" s="12" t="str">
        <f>IF(J36="","",J36*#REF!)</f>
        <v/>
      </c>
      <c r="N36" s="12" t="str">
        <f t="shared" si="3"/>
        <v/>
      </c>
      <c r="O36" s="634"/>
      <c r="P36" s="634"/>
      <c r="Q36" s="634"/>
      <c r="R36" s="34"/>
    </row>
    <row r="37" spans="2:18" ht="19.899999999999999" customHeight="1" thickTop="1" x14ac:dyDescent="0.25"/>
  </sheetData>
  <mergeCells count="71">
    <mergeCell ref="O36:Q36"/>
    <mergeCell ref="O30:Q30"/>
    <mergeCell ref="O31:Q31"/>
    <mergeCell ref="O32:Q32"/>
    <mergeCell ref="O33:Q33"/>
    <mergeCell ref="O34:Q34"/>
    <mergeCell ref="O35:Q35"/>
    <mergeCell ref="T15:U15"/>
    <mergeCell ref="O29:Q29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17:Q17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C13:F13"/>
    <mergeCell ref="H13:O13"/>
    <mergeCell ref="Q13:R13"/>
    <mergeCell ref="R15:R16"/>
    <mergeCell ref="L15:L16"/>
    <mergeCell ref="B8:D8"/>
    <mergeCell ref="E8:F8"/>
    <mergeCell ref="G8:H8"/>
    <mergeCell ref="J8:R8"/>
    <mergeCell ref="B9:D9"/>
    <mergeCell ref="E9:F9"/>
    <mergeCell ref="G9:H9"/>
    <mergeCell ref="J9:R9"/>
    <mergeCell ref="B11:F11"/>
    <mergeCell ref="G11:R11"/>
    <mergeCell ref="C12:F12"/>
    <mergeCell ref="H12:O12"/>
    <mergeCell ref="Q12:R12"/>
    <mergeCell ref="B6:D6"/>
    <mergeCell ref="E6:F6"/>
    <mergeCell ref="G6:H6"/>
    <mergeCell ref="J6:R6"/>
    <mergeCell ref="B7:D7"/>
    <mergeCell ref="E7:F7"/>
    <mergeCell ref="G7:H7"/>
    <mergeCell ref="J7:R7"/>
    <mergeCell ref="B4:D4"/>
    <mergeCell ref="E4:F4"/>
    <mergeCell ref="G4:H4"/>
    <mergeCell ref="J4:R4"/>
    <mergeCell ref="B5:D5"/>
    <mergeCell ref="E5:F5"/>
    <mergeCell ref="G5:H5"/>
    <mergeCell ref="J5:R5"/>
    <mergeCell ref="B2:D3"/>
    <mergeCell ref="E2:H2"/>
    <mergeCell ref="J2:R2"/>
    <mergeCell ref="T2:U2"/>
    <mergeCell ref="E3:F3"/>
    <mergeCell ref="G3:H3"/>
    <mergeCell ref="J3:R3"/>
  </mergeCells>
  <conditionalFormatting sqref="B17:O36">
    <cfRule type="containsBlanks" dxfId="7" priority="1">
      <formula>LEN(TRIM(B17))=0</formula>
    </cfRule>
  </conditionalFormatting>
  <conditionalFormatting sqref="R17:R36">
    <cfRule type="containsBlanks" dxfId="6" priority="3">
      <formula>LEN(TRIM(R17))=0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7198-7F36-4A20-8A94-B8A98EFE8D13}">
  <sheetPr>
    <pageSetUpPr fitToPage="1"/>
  </sheetPr>
  <dimension ref="B1:W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74" t="s">
        <v>456</v>
      </c>
      <c r="K3" s="675"/>
      <c r="L3" s="675"/>
      <c r="M3" s="675"/>
      <c r="N3" s="675"/>
      <c r="O3" s="675"/>
      <c r="P3" s="675"/>
      <c r="Q3" s="675"/>
      <c r="R3" s="676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540</v>
      </c>
      <c r="F4" s="653"/>
      <c r="G4" s="640">
        <f t="shared" ref="G4:G9" si="0">E4*$Q$13</f>
        <v>124610.54</v>
      </c>
      <c r="H4" s="641"/>
      <c r="J4" s="613"/>
      <c r="K4" s="614"/>
      <c r="L4" s="614"/>
      <c r="M4" s="614"/>
      <c r="N4" s="614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257.52762423981153</v>
      </c>
      <c r="F5" s="654"/>
      <c r="G5" s="642">
        <f t="shared" si="0"/>
        <v>59427.141336000001</v>
      </c>
      <c r="H5" s="643"/>
      <c r="J5" s="613"/>
      <c r="K5" s="614"/>
      <c r="L5" s="614"/>
      <c r="M5" s="614"/>
      <c r="N5" s="614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282.47237576018847</v>
      </c>
      <c r="F7" s="645"/>
      <c r="G7" s="642">
        <f t="shared" si="0"/>
        <v>65183.398663999986</v>
      </c>
      <c r="H7" s="643"/>
      <c r="J7" s="613"/>
      <c r="K7" s="614"/>
      <c r="L7" s="614"/>
      <c r="M7" s="614"/>
      <c r="N7" s="614"/>
      <c r="O7" s="614"/>
      <c r="P7" s="614"/>
      <c r="Q7" s="614"/>
      <c r="R7" s="615"/>
    </row>
    <row r="8" spans="2:21" ht="15" customHeight="1" x14ac:dyDescent="0.25">
      <c r="B8" s="655" t="s">
        <v>300</v>
      </c>
      <c r="C8" s="656"/>
      <c r="D8" s="656"/>
      <c r="E8" s="657">
        <f>SUM(M:M)-E5</f>
        <v>128.76381211990577</v>
      </c>
      <c r="F8" s="657"/>
      <c r="G8" s="658">
        <f t="shared" si="0"/>
        <v>29713.570668</v>
      </c>
      <c r="H8" s="659"/>
      <c r="J8" s="613"/>
      <c r="K8" s="614"/>
      <c r="L8" s="614"/>
      <c r="M8" s="614"/>
      <c r="N8" s="614"/>
      <c r="O8" s="614"/>
      <c r="P8" s="614"/>
      <c r="Q8" s="614"/>
      <c r="R8" s="615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257.52762423981153</v>
      </c>
      <c r="F9" s="646"/>
      <c r="G9" s="660">
        <f t="shared" si="0"/>
        <v>59427.141336000001</v>
      </c>
      <c r="H9" s="661"/>
      <c r="J9" s="616"/>
      <c r="K9" s="617"/>
      <c r="L9" s="617"/>
      <c r="M9" s="617"/>
      <c r="N9" s="617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RESUMO!C95</f>
        <v>F.2</v>
      </c>
      <c r="C13" s="623" t="str">
        <f>IF($B$13="","",VLOOKUP($B$13,RESUMO!$C:$F,2,FALSE))</f>
        <v>Equipamentos</v>
      </c>
      <c r="D13" s="623"/>
      <c r="E13" s="623"/>
      <c r="F13" s="662"/>
      <c r="G13" s="16" t="str">
        <f>RESUMO!C98</f>
        <v>F.2.3</v>
      </c>
      <c r="H13" s="623" t="str">
        <f>IF($G$13="","",VLOOKUP($G$13,RESUMO!$C:$F,2,FALSE))</f>
        <v>Caminhão Basculante com Capacidade de 16 M³ - 188 Kw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h</v>
      </c>
      <c r="Q13" s="621">
        <f>IF($G$13="","",VLOOKUP($G$13,RESUMO!$C:$F,4,FALSE))</f>
        <v>230.76025925925924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436</v>
      </c>
      <c r="K15" s="9" t="s">
        <v>438</v>
      </c>
      <c r="L15" s="672" t="s">
        <v>459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437</v>
      </c>
      <c r="K16" s="10" t="s">
        <v>439</v>
      </c>
      <c r="L16" s="673"/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446</v>
      </c>
      <c r="I17" s="23" t="s">
        <v>325</v>
      </c>
      <c r="J17" s="23">
        <v>9</v>
      </c>
      <c r="K17" s="23">
        <v>10</v>
      </c>
      <c r="L17" s="23">
        <f t="shared" ref="L17:L22" si="1">165.0753926/$Q$13</f>
        <v>0.71535451177725418</v>
      </c>
      <c r="M17" s="23">
        <f t="shared" ref="M17:M22" si="2">J17*K17*L17</f>
        <v>64.381906059952883</v>
      </c>
      <c r="N17" s="23">
        <f>M17</f>
        <v>64.381906059952883</v>
      </c>
      <c r="O17" s="635" t="s">
        <v>440</v>
      </c>
      <c r="P17" s="635"/>
      <c r="Q17" s="635"/>
      <c r="R17" s="24">
        <v>3</v>
      </c>
      <c r="T17" s="84" t="s">
        <v>72</v>
      </c>
      <c r="U17" s="83" t="str">
        <f>IF($T17="","",VLOOKUP($T17,RESUMO!$C:$D,2,FALSE))</f>
        <v>Escavação, carga e transporte de material de 1ª categoria - DMT de 800 a 1.000 m - caminho de serviço pavimentado - com escavadeira e caminhão basculante de 14 m³</v>
      </c>
      <c r="W17" s="85" t="str">
        <f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297</v>
      </c>
      <c r="E18" s="28">
        <v>500</v>
      </c>
      <c r="F18" s="27"/>
      <c r="G18" s="28"/>
      <c r="H18" s="26" t="s">
        <v>446</v>
      </c>
      <c r="I18" s="11" t="s">
        <v>325</v>
      </c>
      <c r="J18" s="11">
        <v>9</v>
      </c>
      <c r="K18" s="11">
        <v>10</v>
      </c>
      <c r="L18" s="11">
        <f t="shared" si="1"/>
        <v>0.71535451177725418</v>
      </c>
      <c r="M18" s="11">
        <f t="shared" si="2"/>
        <v>64.381906059952883</v>
      </c>
      <c r="N18" s="11">
        <f>M18+N17</f>
        <v>128.76381211990577</v>
      </c>
      <c r="O18" s="612" t="s">
        <v>441</v>
      </c>
      <c r="P18" s="612"/>
      <c r="Q18" s="612"/>
      <c r="R18" s="29">
        <v>3</v>
      </c>
      <c r="T18" s="84" t="s">
        <v>75</v>
      </c>
      <c r="U18" s="83" t="str">
        <f>IF($T18="","",VLOOKUP($T18,RESUMO!$C:$D,2,FALSE))</f>
        <v>Escavação e carga de material de 1ª categoria - DMT acima de 3.000 m</v>
      </c>
      <c r="W18" s="85" t="str">
        <f>HYPERLINK("#"&amp;"'"&amp;T18&amp;"'"&amp;"!A1","LINK")</f>
        <v>LINK</v>
      </c>
    </row>
    <row r="19" spans="2:23" ht="19.899999999999999" customHeight="1" x14ac:dyDescent="0.25">
      <c r="B19" s="25" t="s">
        <v>316</v>
      </c>
      <c r="C19" s="26" t="s">
        <v>306</v>
      </c>
      <c r="D19" s="27">
        <v>297</v>
      </c>
      <c r="E19" s="28">
        <v>500</v>
      </c>
      <c r="F19" s="27"/>
      <c r="G19" s="28"/>
      <c r="H19" s="26" t="s">
        <v>446</v>
      </c>
      <c r="I19" s="11" t="s">
        <v>325</v>
      </c>
      <c r="J19" s="11">
        <v>9</v>
      </c>
      <c r="K19" s="11">
        <v>10</v>
      </c>
      <c r="L19" s="11">
        <f t="shared" si="1"/>
        <v>0.71535451177725418</v>
      </c>
      <c r="M19" s="11">
        <f t="shared" si="2"/>
        <v>64.381906059952883</v>
      </c>
      <c r="N19" s="11">
        <f>M19+N18</f>
        <v>193.14571817985865</v>
      </c>
      <c r="O19" s="612" t="s">
        <v>442</v>
      </c>
      <c r="P19" s="612"/>
      <c r="Q19" s="612"/>
      <c r="R19" s="29">
        <v>3</v>
      </c>
      <c r="T19" s="84" t="s">
        <v>80</v>
      </c>
      <c r="U19" s="83" t="str">
        <f>IF($T19="","",VLOOKUP($T19,RESUMO!$C:$D,2,FALSE))</f>
        <v>Regularização de bota-fora com espalhamento e execução de hidrossemeadura</v>
      </c>
      <c r="W19" s="85" t="str">
        <f>HYPERLINK("#"&amp;"'"&amp;T19&amp;"'"&amp;"!A1","LINK")</f>
        <v>LINK</v>
      </c>
    </row>
    <row r="20" spans="2:23" ht="19.899999999999999" customHeight="1" x14ac:dyDescent="0.25">
      <c r="B20" s="25" t="s">
        <v>316</v>
      </c>
      <c r="C20" s="26" t="s">
        <v>306</v>
      </c>
      <c r="D20" s="27">
        <v>297</v>
      </c>
      <c r="E20" s="28">
        <v>500</v>
      </c>
      <c r="F20" s="27"/>
      <c r="G20" s="28"/>
      <c r="H20" s="26" t="s">
        <v>446</v>
      </c>
      <c r="I20" s="11" t="s">
        <v>325</v>
      </c>
      <c r="J20" s="11">
        <v>9</v>
      </c>
      <c r="K20" s="11">
        <v>10</v>
      </c>
      <c r="L20" s="11">
        <f t="shared" si="1"/>
        <v>0.71535451177725418</v>
      </c>
      <c r="M20" s="11">
        <f t="shared" si="2"/>
        <v>64.381906059952883</v>
      </c>
      <c r="N20" s="11">
        <f>M20+N19</f>
        <v>257.52762423981153</v>
      </c>
      <c r="O20" s="612" t="s">
        <v>443</v>
      </c>
      <c r="P20" s="612"/>
      <c r="Q20" s="612"/>
      <c r="R20" s="29">
        <v>3</v>
      </c>
      <c r="T20" s="84" t="s">
        <v>82</v>
      </c>
      <c r="U20" s="83" t="str">
        <f>IF($T20="","",VLOOKUP($T20,RESUMO!$C:$D,2,FALSE))</f>
        <v>Royaltie de bota-fora</v>
      </c>
      <c r="W20" s="85" t="str">
        <f>HYPERLINK("#"&amp;"'"&amp;T20&amp;"'"&amp;"!A1","LINK")</f>
        <v>LINK</v>
      </c>
    </row>
    <row r="21" spans="2:23" ht="19.899999999999999" customHeight="1" x14ac:dyDescent="0.25">
      <c r="B21" s="25" t="s">
        <v>316</v>
      </c>
      <c r="C21" s="26" t="s">
        <v>306</v>
      </c>
      <c r="D21" s="27">
        <v>297</v>
      </c>
      <c r="E21" s="28">
        <v>500</v>
      </c>
      <c r="F21" s="27"/>
      <c r="G21" s="28"/>
      <c r="H21" s="26" t="s">
        <v>446</v>
      </c>
      <c r="I21" s="11" t="s">
        <v>325</v>
      </c>
      <c r="J21" s="11">
        <v>9</v>
      </c>
      <c r="K21" s="11">
        <v>10</v>
      </c>
      <c r="L21" s="11">
        <f t="shared" si="1"/>
        <v>0.71535451177725418</v>
      </c>
      <c r="M21" s="11">
        <f t="shared" si="2"/>
        <v>64.381906059952883</v>
      </c>
      <c r="N21" s="11">
        <f>M21+N20</f>
        <v>321.90953029976441</v>
      </c>
      <c r="O21" s="612" t="s">
        <v>444</v>
      </c>
      <c r="P21" s="612"/>
      <c r="Q21" s="612"/>
      <c r="R21" s="29"/>
    </row>
    <row r="22" spans="2:23" ht="19.899999999999999" customHeight="1" x14ac:dyDescent="0.25">
      <c r="B22" s="25" t="s">
        <v>316</v>
      </c>
      <c r="C22" s="26" t="s">
        <v>306</v>
      </c>
      <c r="D22" s="27">
        <v>297</v>
      </c>
      <c r="E22" s="28">
        <v>500</v>
      </c>
      <c r="F22" s="27"/>
      <c r="G22" s="28"/>
      <c r="H22" s="26" t="s">
        <v>446</v>
      </c>
      <c r="I22" s="11" t="s">
        <v>325</v>
      </c>
      <c r="J22" s="11">
        <v>9</v>
      </c>
      <c r="K22" s="11">
        <v>10</v>
      </c>
      <c r="L22" s="11">
        <f t="shared" si="1"/>
        <v>0.71535451177725418</v>
      </c>
      <c r="M22" s="11">
        <f t="shared" si="2"/>
        <v>64.381906059952883</v>
      </c>
      <c r="N22" s="11">
        <f>M22+N21</f>
        <v>386.2914363597173</v>
      </c>
      <c r="O22" s="612" t="s">
        <v>445</v>
      </c>
      <c r="P22" s="612"/>
      <c r="Q22" s="612"/>
      <c r="R22" s="29"/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>IF(J23="","",J23*#REF!)</f>
        <v/>
      </c>
      <c r="N23" s="11" t="str">
        <f t="shared" ref="N23:N36" si="3">IF(B23="","",IF(OR(N22="",R23=""),N22,SUM(M23,N22)))</f>
        <v/>
      </c>
      <c r="O23" s="612"/>
      <c r="P23" s="612"/>
      <c r="Q23" s="612"/>
      <c r="R23" s="29"/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>IF(J24="","",J24*#REF!)</f>
        <v/>
      </c>
      <c r="N24" s="11" t="str">
        <f t="shared" si="3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>IF(J25="","",J25*#REF!)</f>
        <v/>
      </c>
      <c r="N25" s="11" t="str">
        <f t="shared" si="3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>IF(J26="","",J26*#REF!)</f>
        <v/>
      </c>
      <c r="N26" s="11" t="str">
        <f t="shared" si="3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>IF(J27="","",J27*#REF!)</f>
        <v/>
      </c>
      <c r="N27" s="11" t="str">
        <f t="shared" si="3"/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>IF(J28="","",J28*#REF!)</f>
        <v/>
      </c>
      <c r="N28" s="11" t="str">
        <f t="shared" si="3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>IF(J29="","",J29*#REF!)</f>
        <v/>
      </c>
      <c r="N29" s="11" t="str">
        <f t="shared" si="3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>IF(J30="","",J30*#REF!)</f>
        <v/>
      </c>
      <c r="N30" s="11" t="str">
        <f t="shared" si="3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>IF(J31="","",J31*#REF!)</f>
        <v/>
      </c>
      <c r="N31" s="11" t="str">
        <f t="shared" si="3"/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>IF(J32="","",J32*#REF!)</f>
        <v/>
      </c>
      <c r="N32" s="11" t="str">
        <f t="shared" si="3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>IF(J33="","",J33*#REF!)</f>
        <v/>
      </c>
      <c r="N33" s="11" t="str">
        <f t="shared" si="3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>IF(J34="","",J34*#REF!)</f>
        <v/>
      </c>
      <c r="N34" s="11" t="str">
        <f t="shared" si="3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>IF(J35="","",J35*#REF!)</f>
        <v/>
      </c>
      <c r="N35" s="11" t="str">
        <f t="shared" si="3"/>
        <v/>
      </c>
      <c r="O35" s="612"/>
      <c r="P35" s="612"/>
      <c r="Q35" s="612"/>
      <c r="R35" s="29"/>
    </row>
    <row r="36" spans="2:18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/>
      <c r="M36" s="12" t="str">
        <f>IF(J36="","",J36*#REF!)</f>
        <v/>
      </c>
      <c r="N36" s="12" t="str">
        <f t="shared" si="3"/>
        <v/>
      </c>
      <c r="O36" s="634"/>
      <c r="P36" s="634"/>
      <c r="Q36" s="634"/>
      <c r="R36" s="34"/>
    </row>
    <row r="37" spans="2:18" ht="19.899999999999999" customHeight="1" thickTop="1" x14ac:dyDescent="0.25"/>
  </sheetData>
  <mergeCells count="71">
    <mergeCell ref="O36:Q36"/>
    <mergeCell ref="O30:Q30"/>
    <mergeCell ref="O31:Q31"/>
    <mergeCell ref="O32:Q32"/>
    <mergeCell ref="O33:Q33"/>
    <mergeCell ref="O34:Q34"/>
    <mergeCell ref="O35:Q35"/>
    <mergeCell ref="T15:U15"/>
    <mergeCell ref="O29:Q29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17:Q17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C13:F13"/>
    <mergeCell ref="H13:O13"/>
    <mergeCell ref="Q13:R13"/>
    <mergeCell ref="R15:R16"/>
    <mergeCell ref="L15:L16"/>
    <mergeCell ref="B8:D8"/>
    <mergeCell ref="E8:F8"/>
    <mergeCell ref="G8:H8"/>
    <mergeCell ref="J8:R8"/>
    <mergeCell ref="B9:D9"/>
    <mergeCell ref="E9:F9"/>
    <mergeCell ref="G9:H9"/>
    <mergeCell ref="J9:R9"/>
    <mergeCell ref="B11:F11"/>
    <mergeCell ref="G11:R11"/>
    <mergeCell ref="C12:F12"/>
    <mergeCell ref="H12:O12"/>
    <mergeCell ref="Q12:R12"/>
    <mergeCell ref="B6:D6"/>
    <mergeCell ref="E6:F6"/>
    <mergeCell ref="G6:H6"/>
    <mergeCell ref="J6:R6"/>
    <mergeCell ref="B7:D7"/>
    <mergeCell ref="E7:F7"/>
    <mergeCell ref="G7:H7"/>
    <mergeCell ref="J7:R7"/>
    <mergeCell ref="B4:D4"/>
    <mergeCell ref="E4:F4"/>
    <mergeCell ref="G4:H4"/>
    <mergeCell ref="J4:R4"/>
    <mergeCell ref="B5:D5"/>
    <mergeCell ref="E5:F5"/>
    <mergeCell ref="G5:H5"/>
    <mergeCell ref="J5:R5"/>
    <mergeCell ref="B2:D3"/>
    <mergeCell ref="E2:H2"/>
    <mergeCell ref="J2:R2"/>
    <mergeCell ref="T2:U2"/>
    <mergeCell ref="E3:F3"/>
    <mergeCell ref="G3:H3"/>
    <mergeCell ref="J3:R3"/>
  </mergeCells>
  <conditionalFormatting sqref="B17:O36">
    <cfRule type="containsBlanks" dxfId="5" priority="1">
      <formula>LEN(TRIM(B17))=0</formula>
    </cfRule>
  </conditionalFormatting>
  <conditionalFormatting sqref="R17:R36">
    <cfRule type="containsBlanks" dxfId="4" priority="3">
      <formula>LEN(TRIM(R17))=0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98E7-2D9E-4F45-9CAB-94E86D6187A3}">
  <sheetPr>
    <pageSetUpPr fitToPage="1"/>
  </sheetPr>
  <dimension ref="B1:W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74" t="s">
        <v>457</v>
      </c>
      <c r="K3" s="675"/>
      <c r="L3" s="675"/>
      <c r="M3" s="675"/>
      <c r="N3" s="675"/>
      <c r="O3" s="675"/>
      <c r="P3" s="675"/>
      <c r="Q3" s="675"/>
      <c r="R3" s="676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81</v>
      </c>
      <c r="F4" s="653"/>
      <c r="G4" s="640">
        <f t="shared" ref="G4:G9" si="0">E4*$Q$13</f>
        <v>18301.02</v>
      </c>
      <c r="H4" s="641"/>
      <c r="J4" s="613"/>
      <c r="K4" s="614"/>
      <c r="L4" s="614"/>
      <c r="M4" s="614"/>
      <c r="N4" s="614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46.029113592455502</v>
      </c>
      <c r="F5" s="654"/>
      <c r="G5" s="642">
        <f t="shared" si="0"/>
        <v>10399.749733799999</v>
      </c>
      <c r="H5" s="643"/>
      <c r="J5" s="613"/>
      <c r="K5" s="614"/>
      <c r="L5" s="614"/>
      <c r="M5" s="614"/>
      <c r="N5" s="614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34.970886407544498</v>
      </c>
      <c r="F7" s="645"/>
      <c r="G7" s="642">
        <f t="shared" si="0"/>
        <v>7901.2702662000002</v>
      </c>
      <c r="H7" s="643"/>
      <c r="J7" s="613"/>
      <c r="K7" s="614"/>
      <c r="L7" s="614"/>
      <c r="M7" s="614"/>
      <c r="N7" s="614"/>
      <c r="O7" s="614"/>
      <c r="P7" s="614"/>
      <c r="Q7" s="614"/>
      <c r="R7" s="615"/>
    </row>
    <row r="8" spans="2:21" ht="15" customHeight="1" x14ac:dyDescent="0.25">
      <c r="B8" s="655" t="s">
        <v>300</v>
      </c>
      <c r="C8" s="656"/>
      <c r="D8" s="656"/>
      <c r="E8" s="657">
        <f>SUM(M:M)-E5</f>
        <v>13.151175312130135</v>
      </c>
      <c r="F8" s="657"/>
      <c r="G8" s="658">
        <f t="shared" si="0"/>
        <v>2971.3570667999984</v>
      </c>
      <c r="H8" s="659"/>
      <c r="J8" s="613"/>
      <c r="K8" s="614"/>
      <c r="L8" s="614"/>
      <c r="M8" s="614"/>
      <c r="N8" s="614"/>
      <c r="O8" s="614"/>
      <c r="P8" s="614"/>
      <c r="Q8" s="614"/>
      <c r="R8" s="615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46.029113592455502</v>
      </c>
      <c r="F9" s="646"/>
      <c r="G9" s="660">
        <f t="shared" si="0"/>
        <v>10399.749733799999</v>
      </c>
      <c r="H9" s="661"/>
      <c r="J9" s="616"/>
      <c r="K9" s="617"/>
      <c r="L9" s="617"/>
      <c r="M9" s="617"/>
      <c r="N9" s="617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RESUMO!C95</f>
        <v>F.2</v>
      </c>
      <c r="C13" s="623" t="str">
        <f>IF($B$13="","",VLOOKUP($B$13,RESUMO!$C:$F,2,FALSE))</f>
        <v>Equipamentos</v>
      </c>
      <c r="D13" s="623"/>
      <c r="E13" s="623"/>
      <c r="F13" s="662"/>
      <c r="G13" s="16" t="str">
        <f>RESUMO!C99</f>
        <v>F.2.4</v>
      </c>
      <c r="H13" s="623" t="str">
        <f>IF($G$13="","",VLOOKUP($G$13,RESUMO!$C:$F,2,FALSE))</f>
        <v>Rolo Compactador Pé de Carneiro Vibratório Autopropelido por Pneus de 11,6 T - 82 Kw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h</v>
      </c>
      <c r="Q13" s="621">
        <f>IF($G$13="","",VLOOKUP($G$13,RESUMO!$C:$F,4,FALSE))</f>
        <v>225.93851851851852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436</v>
      </c>
      <c r="K15" s="9" t="s">
        <v>438</v>
      </c>
      <c r="L15" s="672" t="s">
        <v>459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437</v>
      </c>
      <c r="K16" s="10" t="s">
        <v>439</v>
      </c>
      <c r="L16" s="673"/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446</v>
      </c>
      <c r="I17" s="23" t="s">
        <v>325</v>
      </c>
      <c r="J17" s="23">
        <v>9</v>
      </c>
      <c r="K17" s="23">
        <v>2</v>
      </c>
      <c r="L17" s="23">
        <f t="shared" ref="L17:L22" si="1">165.0753926/$Q$13</f>
        <v>0.73062085067389682</v>
      </c>
      <c r="M17" s="23">
        <f t="shared" ref="M17:M22" si="2">J17*K17*L17</f>
        <v>13.151175312130142</v>
      </c>
      <c r="N17" s="23">
        <f>M17</f>
        <v>13.151175312130142</v>
      </c>
      <c r="O17" s="635" t="s">
        <v>440</v>
      </c>
      <c r="P17" s="635"/>
      <c r="Q17" s="635"/>
      <c r="R17" s="24">
        <v>3</v>
      </c>
      <c r="T17" s="84" t="s">
        <v>72</v>
      </c>
      <c r="U17" s="83" t="str">
        <f>IF($T17="","",VLOOKUP($T17,RESUMO!$C:$D,2,FALSE))</f>
        <v>Escavação, carga e transporte de material de 1ª categoria - DMT de 800 a 1.000 m - caminho de serviço pavimentado - com escavadeira e caminhão basculante de 14 m³</v>
      </c>
      <c r="W17" s="85" t="str">
        <f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297</v>
      </c>
      <c r="E18" s="28">
        <v>500</v>
      </c>
      <c r="F18" s="27"/>
      <c r="G18" s="28"/>
      <c r="H18" s="26" t="s">
        <v>446</v>
      </c>
      <c r="I18" s="11" t="s">
        <v>325</v>
      </c>
      <c r="J18" s="11">
        <v>9</v>
      </c>
      <c r="K18" s="11">
        <v>2</v>
      </c>
      <c r="L18" s="11">
        <f t="shared" si="1"/>
        <v>0.73062085067389682</v>
      </c>
      <c r="M18" s="11">
        <f t="shared" si="2"/>
        <v>13.151175312130142</v>
      </c>
      <c r="N18" s="11">
        <f>M18+N17</f>
        <v>26.302350624260285</v>
      </c>
      <c r="O18" s="612" t="s">
        <v>441</v>
      </c>
      <c r="P18" s="612"/>
      <c r="Q18" s="612"/>
      <c r="R18" s="29">
        <v>3</v>
      </c>
      <c r="T18" s="84" t="s">
        <v>75</v>
      </c>
      <c r="U18" s="83" t="str">
        <f>IF($T18="","",VLOOKUP($T18,RESUMO!$C:$D,2,FALSE))</f>
        <v>Escavação e carga de material de 1ª categoria - DMT acima de 3.000 m</v>
      </c>
      <c r="W18" s="85" t="str">
        <f>HYPERLINK("#"&amp;"'"&amp;T18&amp;"'"&amp;"!A1","LINK")</f>
        <v>LINK</v>
      </c>
    </row>
    <row r="19" spans="2:23" ht="19.899999999999999" customHeight="1" x14ac:dyDescent="0.25">
      <c r="B19" s="25" t="s">
        <v>316</v>
      </c>
      <c r="C19" s="26" t="s">
        <v>306</v>
      </c>
      <c r="D19" s="27">
        <v>297</v>
      </c>
      <c r="E19" s="28">
        <v>500</v>
      </c>
      <c r="F19" s="27"/>
      <c r="G19" s="28"/>
      <c r="H19" s="26" t="s">
        <v>446</v>
      </c>
      <c r="I19" s="11" t="s">
        <v>325</v>
      </c>
      <c r="J19" s="11">
        <v>9</v>
      </c>
      <c r="K19" s="11">
        <v>2</v>
      </c>
      <c r="L19" s="11">
        <f t="shared" si="1"/>
        <v>0.73062085067389682</v>
      </c>
      <c r="M19" s="11">
        <f t="shared" si="2"/>
        <v>13.151175312130142</v>
      </c>
      <c r="N19" s="11">
        <f>M19+N18</f>
        <v>39.453525936390427</v>
      </c>
      <c r="O19" s="612" t="s">
        <v>442</v>
      </c>
      <c r="P19" s="612"/>
      <c r="Q19" s="612"/>
      <c r="R19" s="29">
        <v>3</v>
      </c>
      <c r="T19" s="84" t="s">
        <v>80</v>
      </c>
      <c r="U19" s="83" t="str">
        <f>IF($T19="","",VLOOKUP($T19,RESUMO!$C:$D,2,FALSE))</f>
        <v>Regularização de bota-fora com espalhamento e execução de hidrossemeadura</v>
      </c>
      <c r="W19" s="85" t="str">
        <f>HYPERLINK("#"&amp;"'"&amp;T19&amp;"'"&amp;"!A1","LINK")</f>
        <v>LINK</v>
      </c>
    </row>
    <row r="20" spans="2:23" ht="19.899999999999999" customHeight="1" x14ac:dyDescent="0.25">
      <c r="B20" s="25" t="s">
        <v>316</v>
      </c>
      <c r="C20" s="26" t="s">
        <v>306</v>
      </c>
      <c r="D20" s="27">
        <v>297</v>
      </c>
      <c r="E20" s="28">
        <v>500</v>
      </c>
      <c r="F20" s="27"/>
      <c r="G20" s="28"/>
      <c r="H20" s="26" t="s">
        <v>446</v>
      </c>
      <c r="I20" s="11" t="s">
        <v>325</v>
      </c>
      <c r="J20" s="11">
        <v>9</v>
      </c>
      <c r="K20" s="11">
        <v>1</v>
      </c>
      <c r="L20" s="11">
        <f t="shared" si="1"/>
        <v>0.73062085067389682</v>
      </c>
      <c r="M20" s="11">
        <f t="shared" si="2"/>
        <v>6.5755876560650712</v>
      </c>
      <c r="N20" s="11">
        <f>M20+N19</f>
        <v>46.029113592455502</v>
      </c>
      <c r="O20" s="612" t="s">
        <v>443</v>
      </c>
      <c r="P20" s="612"/>
      <c r="Q20" s="612"/>
      <c r="R20" s="29">
        <v>3</v>
      </c>
      <c r="T20" s="84" t="s">
        <v>82</v>
      </c>
      <c r="U20" s="83" t="str">
        <f>IF($T20="","",VLOOKUP($T20,RESUMO!$C:$D,2,FALSE))</f>
        <v>Royaltie de bota-fora</v>
      </c>
      <c r="W20" s="85" t="str">
        <f>HYPERLINK("#"&amp;"'"&amp;T20&amp;"'"&amp;"!A1","LINK")</f>
        <v>LINK</v>
      </c>
    </row>
    <row r="21" spans="2:23" ht="19.899999999999999" customHeight="1" x14ac:dyDescent="0.25">
      <c r="B21" s="25" t="s">
        <v>316</v>
      </c>
      <c r="C21" s="26" t="s">
        <v>306</v>
      </c>
      <c r="D21" s="27">
        <v>297</v>
      </c>
      <c r="E21" s="28">
        <v>500</v>
      </c>
      <c r="F21" s="27"/>
      <c r="G21" s="28"/>
      <c r="H21" s="26" t="s">
        <v>446</v>
      </c>
      <c r="I21" s="11" t="s">
        <v>325</v>
      </c>
      <c r="J21" s="11">
        <v>9</v>
      </c>
      <c r="K21" s="11">
        <v>1</v>
      </c>
      <c r="L21" s="11">
        <f t="shared" si="1"/>
        <v>0.73062085067389682</v>
      </c>
      <c r="M21" s="11">
        <f t="shared" si="2"/>
        <v>6.5755876560650712</v>
      </c>
      <c r="N21" s="11">
        <f>M21+N20</f>
        <v>52.60470124852057</v>
      </c>
      <c r="O21" s="612" t="s">
        <v>444</v>
      </c>
      <c r="P21" s="612"/>
      <c r="Q21" s="612"/>
      <c r="R21" s="29"/>
    </row>
    <row r="22" spans="2:23" ht="19.899999999999999" customHeight="1" x14ac:dyDescent="0.25">
      <c r="B22" s="25" t="s">
        <v>316</v>
      </c>
      <c r="C22" s="26" t="s">
        <v>306</v>
      </c>
      <c r="D22" s="27">
        <v>297</v>
      </c>
      <c r="E22" s="28">
        <v>500</v>
      </c>
      <c r="F22" s="27"/>
      <c r="G22" s="28"/>
      <c r="H22" s="26" t="s">
        <v>446</v>
      </c>
      <c r="I22" s="11" t="s">
        <v>325</v>
      </c>
      <c r="J22" s="11">
        <v>9</v>
      </c>
      <c r="K22" s="11">
        <v>1</v>
      </c>
      <c r="L22" s="11">
        <f t="shared" si="1"/>
        <v>0.73062085067389682</v>
      </c>
      <c r="M22" s="11">
        <f t="shared" si="2"/>
        <v>6.5755876560650712</v>
      </c>
      <c r="N22" s="11">
        <f>M22+N21</f>
        <v>59.180288904585638</v>
      </c>
      <c r="O22" s="612" t="s">
        <v>445</v>
      </c>
      <c r="P22" s="612"/>
      <c r="Q22" s="612"/>
      <c r="R22" s="29"/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 t="str">
        <f>IF(J23="","",J23*#REF!)</f>
        <v/>
      </c>
      <c r="N23" s="11" t="str">
        <f t="shared" ref="N23:N36" si="3">IF(B23="","",IF(OR(N22="",R23=""),N22,SUM(M23,N22)))</f>
        <v/>
      </c>
      <c r="O23" s="612"/>
      <c r="P23" s="612"/>
      <c r="Q23" s="612"/>
      <c r="R23" s="29"/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 t="str">
        <f>IF(J24="","",J24*#REF!)</f>
        <v/>
      </c>
      <c r="N24" s="11" t="str">
        <f t="shared" si="3"/>
        <v/>
      </c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 t="str">
        <f>IF(J25="","",J25*#REF!)</f>
        <v/>
      </c>
      <c r="N25" s="11" t="str">
        <f t="shared" si="3"/>
        <v/>
      </c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>IF(J26="","",J26*#REF!)</f>
        <v/>
      </c>
      <c r="N26" s="11" t="str">
        <f t="shared" si="3"/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>IF(J27="","",J27*#REF!)</f>
        <v/>
      </c>
      <c r="N27" s="11" t="str">
        <f t="shared" si="3"/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>IF(J28="","",J28*#REF!)</f>
        <v/>
      </c>
      <c r="N28" s="11" t="str">
        <f t="shared" si="3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>IF(J29="","",J29*#REF!)</f>
        <v/>
      </c>
      <c r="N29" s="11" t="str">
        <f t="shared" si="3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>IF(J30="","",J30*#REF!)</f>
        <v/>
      </c>
      <c r="N30" s="11" t="str">
        <f t="shared" si="3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>IF(J31="","",J31*#REF!)</f>
        <v/>
      </c>
      <c r="N31" s="11" t="str">
        <f t="shared" si="3"/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>IF(J32="","",J32*#REF!)</f>
        <v/>
      </c>
      <c r="N32" s="11" t="str">
        <f t="shared" si="3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>IF(J33="","",J33*#REF!)</f>
        <v/>
      </c>
      <c r="N33" s="11" t="str">
        <f t="shared" si="3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>IF(J34="","",J34*#REF!)</f>
        <v/>
      </c>
      <c r="N34" s="11" t="str">
        <f t="shared" si="3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>IF(J35="","",J35*#REF!)</f>
        <v/>
      </c>
      <c r="N35" s="11" t="str">
        <f t="shared" si="3"/>
        <v/>
      </c>
      <c r="O35" s="612"/>
      <c r="P35" s="612"/>
      <c r="Q35" s="612"/>
      <c r="R35" s="29"/>
    </row>
    <row r="36" spans="2:18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/>
      <c r="M36" s="12" t="str">
        <f>IF(J36="","",J36*#REF!)</f>
        <v/>
      </c>
      <c r="N36" s="12" t="str">
        <f t="shared" si="3"/>
        <v/>
      </c>
      <c r="O36" s="634"/>
      <c r="P36" s="634"/>
      <c r="Q36" s="634"/>
      <c r="R36" s="34"/>
    </row>
    <row r="37" spans="2:18" ht="19.899999999999999" customHeight="1" thickTop="1" x14ac:dyDescent="0.25"/>
  </sheetData>
  <mergeCells count="71">
    <mergeCell ref="O36:Q36"/>
    <mergeCell ref="O30:Q30"/>
    <mergeCell ref="O31:Q31"/>
    <mergeCell ref="O32:Q32"/>
    <mergeCell ref="O33:Q33"/>
    <mergeCell ref="O34:Q34"/>
    <mergeCell ref="O35:Q35"/>
    <mergeCell ref="T15:U15"/>
    <mergeCell ref="O29:Q29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17:Q17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C13:F13"/>
    <mergeCell ref="H13:O13"/>
    <mergeCell ref="Q13:R13"/>
    <mergeCell ref="R15:R16"/>
    <mergeCell ref="L15:L16"/>
    <mergeCell ref="B8:D8"/>
    <mergeCell ref="E8:F8"/>
    <mergeCell ref="G8:H8"/>
    <mergeCell ref="J8:R8"/>
    <mergeCell ref="B9:D9"/>
    <mergeCell ref="E9:F9"/>
    <mergeCell ref="G9:H9"/>
    <mergeCell ref="J9:R9"/>
    <mergeCell ref="B11:F11"/>
    <mergeCell ref="G11:R11"/>
    <mergeCell ref="C12:F12"/>
    <mergeCell ref="H12:O12"/>
    <mergeCell ref="Q12:R12"/>
    <mergeCell ref="B6:D6"/>
    <mergeCell ref="E6:F6"/>
    <mergeCell ref="G6:H6"/>
    <mergeCell ref="J6:R6"/>
    <mergeCell ref="B7:D7"/>
    <mergeCell ref="E7:F7"/>
    <mergeCell ref="G7:H7"/>
    <mergeCell ref="J7:R7"/>
    <mergeCell ref="B4:D4"/>
    <mergeCell ref="E4:F4"/>
    <mergeCell ref="G4:H4"/>
    <mergeCell ref="J4:R4"/>
    <mergeCell ref="B5:D5"/>
    <mergeCell ref="E5:F5"/>
    <mergeCell ref="G5:H5"/>
    <mergeCell ref="J5:R5"/>
    <mergeCell ref="B2:D3"/>
    <mergeCell ref="E2:H2"/>
    <mergeCell ref="J2:R2"/>
    <mergeCell ref="T2:U2"/>
    <mergeCell ref="E3:F3"/>
    <mergeCell ref="G3:H3"/>
    <mergeCell ref="J3:R3"/>
  </mergeCells>
  <conditionalFormatting sqref="B17:O36">
    <cfRule type="containsBlanks" dxfId="3" priority="1">
      <formula>LEN(TRIM(B17))=0</formula>
    </cfRule>
  </conditionalFormatting>
  <conditionalFormatting sqref="R17:R36">
    <cfRule type="containsBlanks" dxfId="2" priority="3">
      <formula>LEN(TRIM(R17))=0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22F2-F2B2-4CD6-9151-885FCDFB060D}">
  <sheetPr>
    <pageSetUpPr fitToPage="1"/>
  </sheetPr>
  <dimension ref="B1:W37"/>
  <sheetViews>
    <sheetView workbookViewId="0"/>
  </sheetViews>
  <sheetFormatPr defaultColWidth="10.7109375" defaultRowHeight="19.899999999999999" customHeight="1" x14ac:dyDescent="0.25"/>
  <cols>
    <col min="1" max="1" width="10.7109375" style="3"/>
    <col min="2" max="2" width="10.7109375" style="6"/>
    <col min="3" max="3" width="10.7109375" style="4"/>
    <col min="4" max="4" width="10.7109375" style="5" customWidth="1"/>
    <col min="5" max="5" width="10.7109375" style="4"/>
    <col min="6" max="6" width="10.7109375" style="5"/>
    <col min="7" max="7" width="10.7109375" style="5" customWidth="1"/>
    <col min="8" max="8" width="10.7109375" style="3"/>
    <col min="9" max="14" width="12.7109375" style="3" customWidth="1"/>
    <col min="15" max="15" width="20.7109375" style="3" customWidth="1"/>
    <col min="16" max="17" width="10.7109375" style="3" customWidth="1"/>
    <col min="18" max="16384" width="10.7109375" style="3"/>
  </cols>
  <sheetData>
    <row r="1" spans="2:21" ht="19.899999999999999" customHeight="1" thickBot="1" x14ac:dyDescent="0.3"/>
    <row r="2" spans="2:21" s="7" customFormat="1" ht="15" customHeight="1" thickTop="1" x14ac:dyDescent="0.25">
      <c r="B2" s="636" t="s">
        <v>291</v>
      </c>
      <c r="C2" s="625"/>
      <c r="D2" s="625"/>
      <c r="E2" s="625" t="s">
        <v>292</v>
      </c>
      <c r="F2" s="625"/>
      <c r="G2" s="625"/>
      <c r="H2" s="626"/>
      <c r="J2" s="631" t="s">
        <v>293</v>
      </c>
      <c r="K2" s="632"/>
      <c r="L2" s="632"/>
      <c r="M2" s="632"/>
      <c r="N2" s="632"/>
      <c r="O2" s="632"/>
      <c r="P2" s="632"/>
      <c r="Q2" s="632"/>
      <c r="R2" s="633"/>
      <c r="T2" s="611" t="s">
        <v>294</v>
      </c>
      <c r="U2" s="611"/>
    </row>
    <row r="3" spans="2:21" s="7" customFormat="1" ht="15" customHeight="1" x14ac:dyDescent="0.25">
      <c r="B3" s="637"/>
      <c r="C3" s="619"/>
      <c r="D3" s="619"/>
      <c r="E3" s="619" t="s">
        <v>262</v>
      </c>
      <c r="F3" s="619"/>
      <c r="G3" s="638" t="s">
        <v>295</v>
      </c>
      <c r="H3" s="639"/>
      <c r="J3" s="674" t="s">
        <v>458</v>
      </c>
      <c r="K3" s="675"/>
      <c r="L3" s="675"/>
      <c r="M3" s="675"/>
      <c r="N3" s="675"/>
      <c r="O3" s="675"/>
      <c r="P3" s="675"/>
      <c r="Q3" s="675"/>
      <c r="R3" s="676"/>
      <c r="T3" s="36"/>
      <c r="U3" s="36"/>
    </row>
    <row r="4" spans="2:21" ht="15" customHeight="1" x14ac:dyDescent="0.25">
      <c r="B4" s="647" t="s">
        <v>296</v>
      </c>
      <c r="C4" s="648"/>
      <c r="D4" s="648"/>
      <c r="E4" s="653">
        <f>IF($G$13="","",VLOOKUP($G$13,RESUMO!$C:$G,5,FALSE))</f>
        <v>27</v>
      </c>
      <c r="F4" s="653"/>
      <c r="G4" s="640">
        <f t="shared" ref="G4:G9" si="0">E4*$Q$13</f>
        <v>11632.74</v>
      </c>
      <c r="H4" s="641"/>
      <c r="J4" s="613"/>
      <c r="K4" s="614"/>
      <c r="L4" s="614"/>
      <c r="M4" s="614"/>
      <c r="N4" s="614"/>
      <c r="O4" s="614"/>
      <c r="P4" s="614"/>
      <c r="Q4" s="614"/>
      <c r="R4" s="615"/>
      <c r="T4" s="36"/>
      <c r="U4" s="36"/>
    </row>
    <row r="5" spans="2:21" ht="15" customHeight="1" x14ac:dyDescent="0.25">
      <c r="B5" s="649" t="s">
        <v>297</v>
      </c>
      <c r="C5" s="650"/>
      <c r="D5" s="650"/>
      <c r="E5" s="654">
        <f>SUMIFS(M:M,R:R,"&lt;&gt;")</f>
        <v>7.3632469047189213</v>
      </c>
      <c r="F5" s="654"/>
      <c r="G5" s="642">
        <f t="shared" si="0"/>
        <v>3172.3976591999995</v>
      </c>
      <c r="H5" s="643"/>
      <c r="J5" s="613"/>
      <c r="K5" s="614"/>
      <c r="L5" s="614"/>
      <c r="M5" s="614"/>
      <c r="N5" s="614"/>
      <c r="O5" s="614"/>
      <c r="P5" s="614"/>
      <c r="Q5" s="614"/>
      <c r="R5" s="615"/>
      <c r="T5" s="36"/>
      <c r="U5" s="36"/>
    </row>
    <row r="6" spans="2:21" ht="15" customHeight="1" x14ac:dyDescent="0.25">
      <c r="B6" s="649" t="s">
        <v>298</v>
      </c>
      <c r="C6" s="650"/>
      <c r="D6" s="650"/>
      <c r="E6" s="654">
        <f>E5-E9</f>
        <v>0</v>
      </c>
      <c r="F6" s="654"/>
      <c r="G6" s="642">
        <f t="shared" si="0"/>
        <v>0</v>
      </c>
      <c r="H6" s="643"/>
      <c r="J6" s="613"/>
      <c r="K6" s="614"/>
      <c r="L6" s="614"/>
      <c r="M6" s="614"/>
      <c r="N6" s="614"/>
      <c r="O6" s="614"/>
      <c r="P6" s="614"/>
      <c r="Q6" s="614"/>
      <c r="R6" s="615"/>
    </row>
    <row r="7" spans="2:21" ht="15" customHeight="1" x14ac:dyDescent="0.25">
      <c r="B7" s="649" t="s">
        <v>299</v>
      </c>
      <c r="C7" s="650"/>
      <c r="D7" s="650"/>
      <c r="E7" s="644">
        <f>E4-E5</f>
        <v>19.63675309528108</v>
      </c>
      <c r="F7" s="645"/>
      <c r="G7" s="642">
        <f t="shared" si="0"/>
        <v>8460.3423408000017</v>
      </c>
      <c r="H7" s="643"/>
      <c r="J7" s="613"/>
      <c r="K7" s="614"/>
      <c r="L7" s="614"/>
      <c r="M7" s="614"/>
      <c r="N7" s="614"/>
      <c r="O7" s="614"/>
      <c r="P7" s="614"/>
      <c r="Q7" s="614"/>
      <c r="R7" s="615"/>
    </row>
    <row r="8" spans="2:21" ht="15" customHeight="1" x14ac:dyDescent="0.25">
      <c r="B8" s="655" t="s">
        <v>300</v>
      </c>
      <c r="C8" s="656"/>
      <c r="D8" s="656"/>
      <c r="E8" s="657">
        <f>SUM(M:M)-E5</f>
        <v>0</v>
      </c>
      <c r="F8" s="657"/>
      <c r="G8" s="658">
        <f t="shared" si="0"/>
        <v>0</v>
      </c>
      <c r="H8" s="659"/>
      <c r="J8" s="613"/>
      <c r="K8" s="614"/>
      <c r="L8" s="614"/>
      <c r="M8" s="614"/>
      <c r="N8" s="614"/>
      <c r="O8" s="614"/>
      <c r="P8" s="614"/>
      <c r="Q8" s="614"/>
      <c r="R8" s="615"/>
    </row>
    <row r="9" spans="2:21" ht="15" customHeight="1" thickBot="1" x14ac:dyDescent="0.3">
      <c r="B9" s="651" t="s">
        <v>301</v>
      </c>
      <c r="C9" s="652"/>
      <c r="D9" s="652"/>
      <c r="E9" s="646">
        <f>SUMIF(R:R,CAPA!$I$2,M:M)</f>
        <v>7.3632469047189213</v>
      </c>
      <c r="F9" s="646"/>
      <c r="G9" s="660">
        <f t="shared" si="0"/>
        <v>3172.3976591999995</v>
      </c>
      <c r="H9" s="661"/>
      <c r="J9" s="616"/>
      <c r="K9" s="617"/>
      <c r="L9" s="617"/>
      <c r="M9" s="617"/>
      <c r="N9" s="617"/>
      <c r="O9" s="617"/>
      <c r="P9" s="617"/>
      <c r="Q9" s="617"/>
      <c r="R9" s="618"/>
    </row>
    <row r="10" spans="2:21" ht="10.15" customHeight="1" thickTop="1" thickBot="1" x14ac:dyDescent="0.3"/>
    <row r="11" spans="2:21" s="7" customFormat="1" ht="15" customHeight="1" thickTop="1" x14ac:dyDescent="0.25">
      <c r="B11" s="636" t="s">
        <v>302</v>
      </c>
      <c r="C11" s="625"/>
      <c r="D11" s="625"/>
      <c r="E11" s="625"/>
      <c r="F11" s="626"/>
      <c r="G11" s="624" t="s">
        <v>46</v>
      </c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6"/>
    </row>
    <row r="12" spans="2:21" s="7" customFormat="1" ht="15" customHeight="1" x14ac:dyDescent="0.25">
      <c r="B12" s="13" t="s">
        <v>269</v>
      </c>
      <c r="C12" s="619" t="s">
        <v>47</v>
      </c>
      <c r="D12" s="619"/>
      <c r="E12" s="619"/>
      <c r="F12" s="620"/>
      <c r="G12" s="18" t="s">
        <v>269</v>
      </c>
      <c r="H12" s="619" t="s">
        <v>47</v>
      </c>
      <c r="I12" s="619"/>
      <c r="J12" s="619"/>
      <c r="K12" s="619"/>
      <c r="L12" s="619"/>
      <c r="M12" s="619"/>
      <c r="N12" s="619"/>
      <c r="O12" s="619"/>
      <c r="P12" s="14" t="s">
        <v>303</v>
      </c>
      <c r="Q12" s="619" t="s">
        <v>304</v>
      </c>
      <c r="R12" s="620"/>
    </row>
    <row r="13" spans="2:21" s="8" customFormat="1" ht="30" customHeight="1" thickBot="1" x14ac:dyDescent="0.3">
      <c r="B13" s="15" t="str">
        <f>RESUMO!C95</f>
        <v>F.2</v>
      </c>
      <c r="C13" s="623" t="str">
        <f>IF($B$13="","",VLOOKUP($B$13,RESUMO!$C:$F,2,FALSE))</f>
        <v>Equipamentos</v>
      </c>
      <c r="D13" s="623"/>
      <c r="E13" s="623"/>
      <c r="F13" s="662"/>
      <c r="G13" s="16" t="str">
        <f>RESUMO!C100</f>
        <v>F.2.5</v>
      </c>
      <c r="H13" s="623" t="str">
        <f>IF($G$13="","",VLOOKUP($G$13,RESUMO!$C:$F,2,FALSE))</f>
        <v>Motoniveladora - 93 Kw</v>
      </c>
      <c r="I13" s="623"/>
      <c r="J13" s="623"/>
      <c r="K13" s="623"/>
      <c r="L13" s="623"/>
      <c r="M13" s="623"/>
      <c r="N13" s="623"/>
      <c r="O13" s="623"/>
      <c r="P13" s="17" t="str">
        <f>IF($G$13="","",VLOOKUP($G$13,RESUMO!$C:$F,3,FALSE))</f>
        <v>h</v>
      </c>
      <c r="Q13" s="621">
        <f>IF($G$13="","",VLOOKUP($G$13,RESUMO!$C:$F,4,FALSE))</f>
        <v>430.84222222222223</v>
      </c>
      <c r="R13" s="622"/>
    </row>
    <row r="14" spans="2:21" ht="10.15" customHeight="1" thickTop="1" thickBot="1" x14ac:dyDescent="0.3"/>
    <row r="15" spans="2:21" ht="15" customHeight="1" thickTop="1" x14ac:dyDescent="0.25">
      <c r="B15" s="663" t="s">
        <v>305</v>
      </c>
      <c r="C15" s="627" t="s">
        <v>306</v>
      </c>
      <c r="D15" s="627" t="s">
        <v>307</v>
      </c>
      <c r="E15" s="627"/>
      <c r="F15" s="627" t="s">
        <v>308</v>
      </c>
      <c r="G15" s="627"/>
      <c r="H15" s="627" t="s">
        <v>309</v>
      </c>
      <c r="I15" s="627" t="s">
        <v>319</v>
      </c>
      <c r="J15" s="9" t="s">
        <v>436</v>
      </c>
      <c r="K15" s="9" t="s">
        <v>438</v>
      </c>
      <c r="L15" s="672" t="s">
        <v>459</v>
      </c>
      <c r="M15" s="627" t="s">
        <v>310</v>
      </c>
      <c r="N15" s="627" t="s">
        <v>311</v>
      </c>
      <c r="O15" s="627" t="s">
        <v>312</v>
      </c>
      <c r="P15" s="627"/>
      <c r="Q15" s="627"/>
      <c r="R15" s="629" t="s">
        <v>27</v>
      </c>
      <c r="T15" s="611" t="s">
        <v>313</v>
      </c>
      <c r="U15" s="611"/>
    </row>
    <row r="16" spans="2:21" ht="15" customHeight="1" thickBot="1" x14ac:dyDescent="0.3">
      <c r="B16" s="664"/>
      <c r="C16" s="628"/>
      <c r="D16" s="10" t="s">
        <v>314</v>
      </c>
      <c r="E16" s="10" t="s">
        <v>315</v>
      </c>
      <c r="F16" s="10" t="s">
        <v>314</v>
      </c>
      <c r="G16" s="10" t="s">
        <v>315</v>
      </c>
      <c r="H16" s="628"/>
      <c r="I16" s="628"/>
      <c r="J16" s="10" t="s">
        <v>437</v>
      </c>
      <c r="K16" s="10" t="s">
        <v>439</v>
      </c>
      <c r="L16" s="673"/>
      <c r="M16" s="628"/>
      <c r="N16" s="628"/>
      <c r="O16" s="628"/>
      <c r="P16" s="628"/>
      <c r="Q16" s="628"/>
      <c r="R16" s="630"/>
      <c r="T16" s="35" t="s">
        <v>269</v>
      </c>
      <c r="U16" s="35" t="s">
        <v>47</v>
      </c>
    </row>
    <row r="17" spans="2:23" ht="19.899999999999999" customHeight="1" thickTop="1" x14ac:dyDescent="0.25">
      <c r="B17" s="19" t="s">
        <v>316</v>
      </c>
      <c r="C17" s="20" t="s">
        <v>306</v>
      </c>
      <c r="D17" s="21">
        <v>297</v>
      </c>
      <c r="E17" s="22">
        <v>500</v>
      </c>
      <c r="F17" s="21"/>
      <c r="G17" s="22"/>
      <c r="H17" s="20" t="s">
        <v>446</v>
      </c>
      <c r="I17" s="23" t="s">
        <v>325</v>
      </c>
      <c r="J17" s="23">
        <v>9</v>
      </c>
      <c r="K17" s="23">
        <v>1</v>
      </c>
      <c r="L17" s="23">
        <f>117.4962096/$Q$13</f>
        <v>0.27271284832292303</v>
      </c>
      <c r="M17" s="23">
        <f>J17*K17*L17</f>
        <v>2.4544156349063071</v>
      </c>
      <c r="N17" s="23">
        <f>M17</f>
        <v>2.4544156349063071</v>
      </c>
      <c r="O17" s="635" t="s">
        <v>440</v>
      </c>
      <c r="P17" s="635"/>
      <c r="Q17" s="635"/>
      <c r="R17" s="24">
        <v>3</v>
      </c>
      <c r="T17" s="84" t="s">
        <v>72</v>
      </c>
      <c r="U17" s="83" t="str">
        <f>IF($T17="","",VLOOKUP($T17,RESUMO!$C:$D,2,FALSE))</f>
        <v>Escavação, carga e transporte de material de 1ª categoria - DMT de 800 a 1.000 m - caminho de serviço pavimentado - com escavadeira e caminhão basculante de 14 m³</v>
      </c>
      <c r="W17" s="85" t="str">
        <f>HYPERLINK("#"&amp;"'"&amp;T17&amp;"'"&amp;"!A1","LINK")</f>
        <v>LINK</v>
      </c>
    </row>
    <row r="18" spans="2:23" ht="19.899999999999999" customHeight="1" x14ac:dyDescent="0.25">
      <c r="B18" s="25" t="s">
        <v>316</v>
      </c>
      <c r="C18" s="26" t="s">
        <v>306</v>
      </c>
      <c r="D18" s="27">
        <v>297</v>
      </c>
      <c r="E18" s="28">
        <v>500</v>
      </c>
      <c r="F18" s="27"/>
      <c r="G18" s="28"/>
      <c r="H18" s="26" t="s">
        <v>446</v>
      </c>
      <c r="I18" s="11" t="s">
        <v>325</v>
      </c>
      <c r="J18" s="11">
        <v>9</v>
      </c>
      <c r="K18" s="11">
        <v>1</v>
      </c>
      <c r="L18" s="11">
        <f>117.4962096/$Q$13</f>
        <v>0.27271284832292303</v>
      </c>
      <c r="M18" s="11">
        <f>J18*K18*L18</f>
        <v>2.4544156349063071</v>
      </c>
      <c r="N18" s="11">
        <f>M18+N17</f>
        <v>4.9088312698126142</v>
      </c>
      <c r="O18" s="612" t="s">
        <v>441</v>
      </c>
      <c r="P18" s="612"/>
      <c r="Q18" s="612"/>
      <c r="R18" s="29">
        <v>3</v>
      </c>
      <c r="T18" s="84" t="s">
        <v>75</v>
      </c>
      <c r="U18" s="83" t="str">
        <f>IF($T18="","",VLOOKUP($T18,RESUMO!$C:$D,2,FALSE))</f>
        <v>Escavação e carga de material de 1ª categoria - DMT acima de 3.000 m</v>
      </c>
      <c r="W18" s="85" t="str">
        <f>HYPERLINK("#"&amp;"'"&amp;T18&amp;"'"&amp;"!A1","LINK")</f>
        <v>LINK</v>
      </c>
    </row>
    <row r="19" spans="2:23" ht="19.899999999999999" customHeight="1" x14ac:dyDescent="0.25">
      <c r="B19" s="25" t="s">
        <v>316</v>
      </c>
      <c r="C19" s="26" t="s">
        <v>306</v>
      </c>
      <c r="D19" s="27">
        <v>297</v>
      </c>
      <c r="E19" s="28">
        <v>500</v>
      </c>
      <c r="F19" s="27"/>
      <c r="G19" s="28"/>
      <c r="H19" s="26" t="s">
        <v>446</v>
      </c>
      <c r="I19" s="11" t="s">
        <v>325</v>
      </c>
      <c r="J19" s="11">
        <v>9</v>
      </c>
      <c r="K19" s="11">
        <v>1</v>
      </c>
      <c r="L19" s="11">
        <f>117.4962096/$Q$13</f>
        <v>0.27271284832292303</v>
      </c>
      <c r="M19" s="11">
        <f>J19*K19*L19</f>
        <v>2.4544156349063071</v>
      </c>
      <c r="N19" s="11">
        <f>M19+N18</f>
        <v>7.3632469047189213</v>
      </c>
      <c r="O19" s="612" t="s">
        <v>442</v>
      </c>
      <c r="P19" s="612"/>
      <c r="Q19" s="612"/>
      <c r="R19" s="29">
        <v>3</v>
      </c>
      <c r="T19" s="84" t="s">
        <v>80</v>
      </c>
      <c r="U19" s="83" t="str">
        <f>IF($T19="","",VLOOKUP($T19,RESUMO!$C:$D,2,FALSE))</f>
        <v>Regularização de bota-fora com espalhamento e execução de hidrossemeadura</v>
      </c>
      <c r="W19" s="85" t="str">
        <f>HYPERLINK("#"&amp;"'"&amp;T19&amp;"'"&amp;"!A1","LINK")</f>
        <v>LINK</v>
      </c>
    </row>
    <row r="20" spans="2:23" ht="19.899999999999999" customHeight="1" x14ac:dyDescent="0.25">
      <c r="B20" s="25"/>
      <c r="C20" s="26"/>
      <c r="D20" s="27"/>
      <c r="E20" s="28"/>
      <c r="F20" s="27"/>
      <c r="G20" s="28"/>
      <c r="H20" s="26"/>
      <c r="I20" s="11"/>
      <c r="J20" s="11"/>
      <c r="K20" s="11"/>
      <c r="L20" s="11"/>
      <c r="M20" s="11"/>
      <c r="N20" s="11"/>
      <c r="O20" s="612"/>
      <c r="P20" s="612"/>
      <c r="Q20" s="612"/>
      <c r="R20" s="29"/>
      <c r="T20" s="84" t="s">
        <v>82</v>
      </c>
      <c r="U20" s="83" t="str">
        <f>IF($T20="","",VLOOKUP($T20,RESUMO!$C:$D,2,FALSE))</f>
        <v>Royaltie de bota-fora</v>
      </c>
      <c r="W20" s="85" t="str">
        <f>HYPERLINK("#"&amp;"'"&amp;T20&amp;"'"&amp;"!A1","LINK")</f>
        <v>LINK</v>
      </c>
    </row>
    <row r="21" spans="2:23" ht="19.899999999999999" customHeight="1" x14ac:dyDescent="0.25">
      <c r="B21" s="25"/>
      <c r="C21" s="26"/>
      <c r="D21" s="27"/>
      <c r="E21" s="28"/>
      <c r="F21" s="27"/>
      <c r="G21" s="28"/>
      <c r="H21" s="26"/>
      <c r="I21" s="11"/>
      <c r="J21" s="11"/>
      <c r="K21" s="11"/>
      <c r="L21" s="11"/>
      <c r="M21" s="11"/>
      <c r="N21" s="11"/>
      <c r="O21" s="612"/>
      <c r="P21" s="612"/>
      <c r="Q21" s="612"/>
      <c r="R21" s="29"/>
    </row>
    <row r="22" spans="2:23" ht="19.899999999999999" customHeight="1" x14ac:dyDescent="0.25">
      <c r="B22" s="25"/>
      <c r="C22" s="26"/>
      <c r="D22" s="27"/>
      <c r="E22" s="28"/>
      <c r="F22" s="27"/>
      <c r="G22" s="28"/>
      <c r="H22" s="26"/>
      <c r="I22" s="11"/>
      <c r="J22" s="11"/>
      <c r="K22" s="11"/>
      <c r="L22" s="11"/>
      <c r="M22" s="11"/>
      <c r="N22" s="11"/>
      <c r="O22" s="612"/>
      <c r="P22" s="612"/>
      <c r="Q22" s="612"/>
      <c r="R22" s="29"/>
    </row>
    <row r="23" spans="2:23" ht="19.899999999999999" customHeight="1" x14ac:dyDescent="0.25">
      <c r="B23" s="25"/>
      <c r="C23" s="26"/>
      <c r="D23" s="27"/>
      <c r="E23" s="28"/>
      <c r="F23" s="27"/>
      <c r="G23" s="28"/>
      <c r="H23" s="26"/>
      <c r="I23" s="11"/>
      <c r="J23" s="11"/>
      <c r="K23" s="11"/>
      <c r="L23" s="11"/>
      <c r="M23" s="11"/>
      <c r="N23" s="11"/>
      <c r="O23" s="612"/>
      <c r="P23" s="612"/>
      <c r="Q23" s="612"/>
      <c r="R23" s="29"/>
    </row>
    <row r="24" spans="2:23" ht="19.899999999999999" customHeight="1" x14ac:dyDescent="0.25">
      <c r="B24" s="25"/>
      <c r="C24" s="26"/>
      <c r="D24" s="27"/>
      <c r="E24" s="28"/>
      <c r="F24" s="27"/>
      <c r="G24" s="28"/>
      <c r="H24" s="26"/>
      <c r="I24" s="11"/>
      <c r="J24" s="11"/>
      <c r="K24" s="11"/>
      <c r="L24" s="11"/>
      <c r="M24" s="11"/>
      <c r="N24" s="11"/>
      <c r="O24" s="612"/>
      <c r="P24" s="612"/>
      <c r="Q24" s="612"/>
      <c r="R24" s="29"/>
    </row>
    <row r="25" spans="2:23" ht="19.899999999999999" customHeight="1" x14ac:dyDescent="0.25">
      <c r="B25" s="25"/>
      <c r="C25" s="26"/>
      <c r="D25" s="27"/>
      <c r="E25" s="28"/>
      <c r="F25" s="27"/>
      <c r="G25" s="28"/>
      <c r="H25" s="26"/>
      <c r="I25" s="11"/>
      <c r="J25" s="11"/>
      <c r="K25" s="11"/>
      <c r="L25" s="11"/>
      <c r="M25" s="11"/>
      <c r="N25" s="11"/>
      <c r="O25" s="612"/>
      <c r="P25" s="612"/>
      <c r="Q25" s="612"/>
      <c r="R25" s="29"/>
    </row>
    <row r="26" spans="2:23" ht="19.899999999999999" customHeight="1" x14ac:dyDescent="0.25">
      <c r="B26" s="25"/>
      <c r="C26" s="26"/>
      <c r="D26" s="27"/>
      <c r="E26" s="28"/>
      <c r="F26" s="27"/>
      <c r="G26" s="28"/>
      <c r="H26" s="26"/>
      <c r="I26" s="11"/>
      <c r="J26" s="11"/>
      <c r="K26" s="11"/>
      <c r="L26" s="11"/>
      <c r="M26" s="11" t="str">
        <f>IF(J26="","",J26*#REF!)</f>
        <v/>
      </c>
      <c r="N26" s="11" t="str">
        <f t="shared" ref="N26:N36" si="1">IF(B26="","",IF(OR(N25="",R26=""),N25,SUM(M26,N25)))</f>
        <v/>
      </c>
      <c r="O26" s="612"/>
      <c r="P26" s="612"/>
      <c r="Q26" s="612"/>
      <c r="R26" s="29"/>
    </row>
    <row r="27" spans="2:23" ht="19.899999999999999" customHeight="1" x14ac:dyDescent="0.25">
      <c r="B27" s="25"/>
      <c r="C27" s="26"/>
      <c r="D27" s="27"/>
      <c r="E27" s="28"/>
      <c r="F27" s="27"/>
      <c r="G27" s="28"/>
      <c r="H27" s="26"/>
      <c r="I27" s="11"/>
      <c r="J27" s="11"/>
      <c r="K27" s="11"/>
      <c r="L27" s="11"/>
      <c r="M27" s="11" t="str">
        <f>IF(J27="","",J27*#REF!)</f>
        <v/>
      </c>
      <c r="N27" s="11" t="str">
        <f t="shared" si="1"/>
        <v/>
      </c>
      <c r="O27" s="612"/>
      <c r="P27" s="612"/>
      <c r="Q27" s="612"/>
      <c r="R27" s="29"/>
    </row>
    <row r="28" spans="2:23" ht="19.899999999999999" customHeight="1" x14ac:dyDescent="0.25">
      <c r="B28" s="25"/>
      <c r="C28" s="26"/>
      <c r="D28" s="27"/>
      <c r="E28" s="28"/>
      <c r="F28" s="27"/>
      <c r="G28" s="28"/>
      <c r="H28" s="26"/>
      <c r="I28" s="11"/>
      <c r="J28" s="11"/>
      <c r="K28" s="11"/>
      <c r="L28" s="11"/>
      <c r="M28" s="11" t="str">
        <f>IF(J28="","",J28*#REF!)</f>
        <v/>
      </c>
      <c r="N28" s="11" t="str">
        <f t="shared" si="1"/>
        <v/>
      </c>
      <c r="O28" s="612"/>
      <c r="P28" s="612"/>
      <c r="Q28" s="612"/>
      <c r="R28" s="29"/>
    </row>
    <row r="29" spans="2:23" ht="19.899999999999999" customHeight="1" x14ac:dyDescent="0.25">
      <c r="B29" s="25"/>
      <c r="C29" s="26"/>
      <c r="D29" s="27"/>
      <c r="E29" s="28"/>
      <c r="F29" s="27"/>
      <c r="G29" s="28"/>
      <c r="H29" s="26"/>
      <c r="I29" s="11"/>
      <c r="J29" s="11"/>
      <c r="K29" s="11"/>
      <c r="L29" s="11"/>
      <c r="M29" s="11" t="str">
        <f>IF(J29="","",J29*#REF!)</f>
        <v/>
      </c>
      <c r="N29" s="11" t="str">
        <f t="shared" si="1"/>
        <v/>
      </c>
      <c r="O29" s="612"/>
      <c r="P29" s="612"/>
      <c r="Q29" s="612"/>
      <c r="R29" s="29"/>
    </row>
    <row r="30" spans="2:23" ht="19.899999999999999" customHeight="1" x14ac:dyDescent="0.25">
      <c r="B30" s="25"/>
      <c r="C30" s="26"/>
      <c r="D30" s="27"/>
      <c r="E30" s="28"/>
      <c r="F30" s="27"/>
      <c r="G30" s="28"/>
      <c r="H30" s="26"/>
      <c r="I30" s="11"/>
      <c r="J30" s="11"/>
      <c r="K30" s="11"/>
      <c r="L30" s="11"/>
      <c r="M30" s="11" t="str">
        <f>IF(J30="","",J30*#REF!)</f>
        <v/>
      </c>
      <c r="N30" s="11" t="str">
        <f t="shared" si="1"/>
        <v/>
      </c>
      <c r="O30" s="612"/>
      <c r="P30" s="612"/>
      <c r="Q30" s="612"/>
      <c r="R30" s="29"/>
    </row>
    <row r="31" spans="2:23" ht="19.899999999999999" customHeight="1" x14ac:dyDescent="0.25">
      <c r="B31" s="25"/>
      <c r="C31" s="26"/>
      <c r="D31" s="27"/>
      <c r="E31" s="28"/>
      <c r="F31" s="27"/>
      <c r="G31" s="28"/>
      <c r="H31" s="26"/>
      <c r="I31" s="11"/>
      <c r="J31" s="11"/>
      <c r="K31" s="11"/>
      <c r="L31" s="11"/>
      <c r="M31" s="11" t="str">
        <f>IF(J31="","",J31*#REF!)</f>
        <v/>
      </c>
      <c r="N31" s="11" t="str">
        <f t="shared" si="1"/>
        <v/>
      </c>
      <c r="O31" s="612"/>
      <c r="P31" s="612"/>
      <c r="Q31" s="612"/>
      <c r="R31" s="29"/>
    </row>
    <row r="32" spans="2:23" ht="19.899999999999999" customHeight="1" x14ac:dyDescent="0.25">
      <c r="B32" s="25"/>
      <c r="C32" s="26"/>
      <c r="D32" s="27"/>
      <c r="E32" s="28"/>
      <c r="F32" s="27"/>
      <c r="G32" s="28"/>
      <c r="H32" s="26"/>
      <c r="I32" s="11"/>
      <c r="J32" s="11"/>
      <c r="K32" s="11"/>
      <c r="L32" s="11"/>
      <c r="M32" s="11" t="str">
        <f>IF(J32="","",J32*#REF!)</f>
        <v/>
      </c>
      <c r="N32" s="11" t="str">
        <f t="shared" si="1"/>
        <v/>
      </c>
      <c r="O32" s="612"/>
      <c r="P32" s="612"/>
      <c r="Q32" s="612"/>
      <c r="R32" s="29"/>
    </row>
    <row r="33" spans="2:18" ht="19.899999999999999" customHeight="1" x14ac:dyDescent="0.25">
      <c r="B33" s="25"/>
      <c r="C33" s="26"/>
      <c r="D33" s="27"/>
      <c r="E33" s="28"/>
      <c r="F33" s="27"/>
      <c r="G33" s="28"/>
      <c r="H33" s="26"/>
      <c r="I33" s="11"/>
      <c r="J33" s="11"/>
      <c r="K33" s="11"/>
      <c r="L33" s="11"/>
      <c r="M33" s="11" t="str">
        <f>IF(J33="","",J33*#REF!)</f>
        <v/>
      </c>
      <c r="N33" s="11" t="str">
        <f t="shared" si="1"/>
        <v/>
      </c>
      <c r="O33" s="612"/>
      <c r="P33" s="612"/>
      <c r="Q33" s="612"/>
      <c r="R33" s="29"/>
    </row>
    <row r="34" spans="2:18" ht="19.899999999999999" customHeight="1" x14ac:dyDescent="0.25">
      <c r="B34" s="25"/>
      <c r="C34" s="26"/>
      <c r="D34" s="27"/>
      <c r="E34" s="28"/>
      <c r="F34" s="27"/>
      <c r="G34" s="28"/>
      <c r="H34" s="26"/>
      <c r="I34" s="11"/>
      <c r="J34" s="11"/>
      <c r="K34" s="11"/>
      <c r="L34" s="11"/>
      <c r="M34" s="11" t="str">
        <f>IF(J34="","",J34*#REF!)</f>
        <v/>
      </c>
      <c r="N34" s="11" t="str">
        <f t="shared" si="1"/>
        <v/>
      </c>
      <c r="O34" s="612"/>
      <c r="P34" s="612"/>
      <c r="Q34" s="612"/>
      <c r="R34" s="29"/>
    </row>
    <row r="35" spans="2:18" ht="19.899999999999999" customHeight="1" x14ac:dyDescent="0.25">
      <c r="B35" s="25"/>
      <c r="C35" s="26"/>
      <c r="D35" s="27"/>
      <c r="E35" s="28"/>
      <c r="F35" s="27"/>
      <c r="G35" s="28"/>
      <c r="H35" s="26"/>
      <c r="I35" s="11"/>
      <c r="J35" s="11"/>
      <c r="K35" s="11"/>
      <c r="L35" s="11"/>
      <c r="M35" s="11" t="str">
        <f>IF(J35="","",J35*#REF!)</f>
        <v/>
      </c>
      <c r="N35" s="11" t="str">
        <f t="shared" si="1"/>
        <v/>
      </c>
      <c r="O35" s="612"/>
      <c r="P35" s="612"/>
      <c r="Q35" s="612"/>
      <c r="R35" s="29"/>
    </row>
    <row r="36" spans="2:18" ht="19.899999999999999" customHeight="1" thickBot="1" x14ac:dyDescent="0.3">
      <c r="B36" s="30"/>
      <c r="C36" s="31"/>
      <c r="D36" s="32"/>
      <c r="E36" s="33"/>
      <c r="F36" s="32"/>
      <c r="G36" s="33"/>
      <c r="H36" s="31"/>
      <c r="I36" s="12"/>
      <c r="J36" s="12"/>
      <c r="K36" s="12"/>
      <c r="L36" s="12"/>
      <c r="M36" s="12" t="str">
        <f>IF(J36="","",J36*#REF!)</f>
        <v/>
      </c>
      <c r="N36" s="12" t="str">
        <f t="shared" si="1"/>
        <v/>
      </c>
      <c r="O36" s="634"/>
      <c r="P36" s="634"/>
      <c r="Q36" s="634"/>
      <c r="R36" s="34"/>
    </row>
    <row r="37" spans="2:18" ht="19.899999999999999" customHeight="1" thickTop="1" x14ac:dyDescent="0.25"/>
  </sheetData>
  <mergeCells count="71">
    <mergeCell ref="O36:Q36"/>
    <mergeCell ref="O30:Q30"/>
    <mergeCell ref="O31:Q31"/>
    <mergeCell ref="O32:Q32"/>
    <mergeCell ref="O33:Q33"/>
    <mergeCell ref="O34:Q34"/>
    <mergeCell ref="O35:Q35"/>
    <mergeCell ref="T15:U15"/>
    <mergeCell ref="O29:Q29"/>
    <mergeCell ref="O18:Q18"/>
    <mergeCell ref="O19:Q19"/>
    <mergeCell ref="O20:Q20"/>
    <mergeCell ref="O21:Q21"/>
    <mergeCell ref="O22:Q22"/>
    <mergeCell ref="O23:Q23"/>
    <mergeCell ref="O24:Q24"/>
    <mergeCell ref="O25:Q25"/>
    <mergeCell ref="O26:Q26"/>
    <mergeCell ref="O27:Q27"/>
    <mergeCell ref="O28:Q28"/>
    <mergeCell ref="O17:Q17"/>
    <mergeCell ref="B15:B16"/>
    <mergeCell ref="C15:C16"/>
    <mergeCell ref="D15:E15"/>
    <mergeCell ref="F15:G15"/>
    <mergeCell ref="H15:H16"/>
    <mergeCell ref="I15:I16"/>
    <mergeCell ref="M15:M16"/>
    <mergeCell ref="N15:N16"/>
    <mergeCell ref="O15:Q16"/>
    <mergeCell ref="C13:F13"/>
    <mergeCell ref="H13:O13"/>
    <mergeCell ref="Q13:R13"/>
    <mergeCell ref="R15:R16"/>
    <mergeCell ref="L15:L16"/>
    <mergeCell ref="B8:D8"/>
    <mergeCell ref="E8:F8"/>
    <mergeCell ref="G8:H8"/>
    <mergeCell ref="J8:R8"/>
    <mergeCell ref="B9:D9"/>
    <mergeCell ref="E9:F9"/>
    <mergeCell ref="G9:H9"/>
    <mergeCell ref="J9:R9"/>
    <mergeCell ref="B11:F11"/>
    <mergeCell ref="G11:R11"/>
    <mergeCell ref="C12:F12"/>
    <mergeCell ref="H12:O12"/>
    <mergeCell ref="Q12:R12"/>
    <mergeCell ref="B6:D6"/>
    <mergeCell ref="E6:F6"/>
    <mergeCell ref="G6:H6"/>
    <mergeCell ref="J6:R6"/>
    <mergeCell ref="B7:D7"/>
    <mergeCell ref="E7:F7"/>
    <mergeCell ref="G7:H7"/>
    <mergeCell ref="J7:R7"/>
    <mergeCell ref="B4:D4"/>
    <mergeCell ref="E4:F4"/>
    <mergeCell ref="G4:H4"/>
    <mergeCell ref="J4:R4"/>
    <mergeCell ref="B5:D5"/>
    <mergeCell ref="E5:F5"/>
    <mergeCell ref="G5:H5"/>
    <mergeCell ref="J5:R5"/>
    <mergeCell ref="B2:D3"/>
    <mergeCell ref="E2:H2"/>
    <mergeCell ref="J2:R2"/>
    <mergeCell ref="T2:U2"/>
    <mergeCell ref="E3:F3"/>
    <mergeCell ref="G3:H3"/>
    <mergeCell ref="J3:R3"/>
  </mergeCells>
  <conditionalFormatting sqref="B17:O36">
    <cfRule type="containsBlanks" dxfId="1" priority="1">
      <formula>LEN(TRIM(B17))=0</formula>
    </cfRule>
  </conditionalFormatting>
  <conditionalFormatting sqref="R17:R36">
    <cfRule type="containsBlanks" dxfId="0" priority="3">
      <formula>LEN(TRIM(R17))=0</formula>
    </cfRule>
  </conditionalFormatting>
  <printOptions horizontalCentered="1"/>
  <pageMargins left="7.874015748031496E-2" right="7.874015748031496E-2" top="0.59055118110236227" bottom="0.59055118110236227" header="0.11811023622047245" footer="0.39370078740157483"/>
  <pageSetup paperSize="9" scale="75" fitToHeight="0" orientation="landscape" r:id="rId1"/>
  <headerFooter>
    <oddHeader>&amp;C&amp;"Calibri,Negrito"&amp;12MEMÓRIA DE CÁLCULO&amp;R&amp;G</oddHeader>
    <oddFooter>&amp;RPÁGINA &amp;P DE &amp;N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953CB7D0F7DE46855387B891866034" ma:contentTypeVersion="20" ma:contentTypeDescription="Crie um novo documento." ma:contentTypeScope="" ma:versionID="32c1db01124c038de119869e47ddfac1">
  <xsd:schema xmlns:xsd="http://www.w3.org/2001/XMLSchema" xmlns:xs="http://www.w3.org/2001/XMLSchema" xmlns:p="http://schemas.microsoft.com/office/2006/metadata/properties" xmlns:ns2="0289f7c2-d85a-4bac-b653-8f11286b7db5" xmlns:ns3="4faf1209-4fc6-4884-ae0c-4911bd601000" targetNamespace="http://schemas.microsoft.com/office/2006/metadata/properties" ma:root="true" ma:fieldsID="5dc085becb6a01d353f097aacff9cbc6" ns2:_="" ns3:_="">
    <xsd:import namespace="0289f7c2-d85a-4bac-b653-8f11286b7db5"/>
    <xsd:import namespace="4faf1209-4fc6-4884-ae0c-4911bd60100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9f7c2-d85a-4bac-b653-8f11286b7d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a46569e-6173-4fb1-9e71-7b89d5d48827}" ma:internalName="TaxCatchAll" ma:showField="CatchAllData" ma:web="0289f7c2-d85a-4bac-b653-8f11286b7d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f1209-4fc6-4884-ae0c-4911bd6010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6bbf78-4dbb-4efa-bc4d-14da7588d3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4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af1209-4fc6-4884-ae0c-4911bd601000">
      <Terms xmlns="http://schemas.microsoft.com/office/infopath/2007/PartnerControls"/>
    </lcf76f155ced4ddcb4097134ff3c332f>
    <TaxCatchAll xmlns="0289f7c2-d85a-4bac-b653-8f11286b7db5" xsi:nil="true"/>
    <_Flow_SignoffStatus xmlns="4faf1209-4fc6-4884-ae0c-4911bd601000" xsi:nil="true"/>
  </documentManagement>
</p:properties>
</file>

<file path=customXml/itemProps1.xml><?xml version="1.0" encoding="utf-8"?>
<ds:datastoreItem xmlns:ds="http://schemas.openxmlformats.org/officeDocument/2006/customXml" ds:itemID="{7D3B31F6-1C58-483F-AA6A-909A1C2AEB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DBA124-F689-4F8F-B841-AD0FD3380F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89f7c2-d85a-4bac-b653-8f11286b7db5"/>
    <ds:schemaRef ds:uri="4faf1209-4fc6-4884-ae0c-4911bd6010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CB036F-0824-4A69-8B69-B9631096FDF6}">
  <ds:schemaRefs>
    <ds:schemaRef ds:uri="http://schemas.microsoft.com/office/2006/metadata/properties"/>
    <ds:schemaRef ds:uri="http://schemas.microsoft.com/office/infopath/2007/PartnerControls"/>
    <ds:schemaRef ds:uri="4faf1209-4fc6-4884-ae0c-4911bd601000"/>
    <ds:schemaRef ds:uri="0289f7c2-d85a-4bac-b653-8f11286b7d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78</vt:i4>
      </vt:variant>
      <vt:variant>
        <vt:lpstr>Intervalos Nomeados</vt:lpstr>
      </vt:variant>
      <vt:variant>
        <vt:i4>151</vt:i4>
      </vt:variant>
    </vt:vector>
  </HeadingPairs>
  <TitlesOfParts>
    <vt:vector size="229" baseType="lpstr">
      <vt:lpstr>CAPA</vt:lpstr>
      <vt:lpstr>PQ</vt:lpstr>
      <vt:lpstr>RESUMO</vt:lpstr>
      <vt:lpstr>MUNICIPIOS</vt:lpstr>
      <vt:lpstr>A.1</vt:lpstr>
      <vt:lpstr>A.2</vt:lpstr>
      <vt:lpstr>A.3</vt:lpstr>
      <vt:lpstr>B.1.1</vt:lpstr>
      <vt:lpstr>B.1.2</vt:lpstr>
      <vt:lpstr>B.1.3</vt:lpstr>
      <vt:lpstr>B.1.4</vt:lpstr>
      <vt:lpstr>B.1.5</vt:lpstr>
      <vt:lpstr>B.1.6</vt:lpstr>
      <vt:lpstr>B.1.7</vt:lpstr>
      <vt:lpstr>B.1.8</vt:lpstr>
      <vt:lpstr>B.1.9</vt:lpstr>
      <vt:lpstr>B.2.1</vt:lpstr>
      <vt:lpstr>B.2.2</vt:lpstr>
      <vt:lpstr>B.2.3</vt:lpstr>
      <vt:lpstr>B.2.4</vt:lpstr>
      <vt:lpstr>B.2.5</vt:lpstr>
      <vt:lpstr>B.2.6</vt:lpstr>
      <vt:lpstr>B.2.7</vt:lpstr>
      <vt:lpstr>B.2.8</vt:lpstr>
      <vt:lpstr>B.2.9</vt:lpstr>
      <vt:lpstr>B.3.1</vt:lpstr>
      <vt:lpstr>B.3.2</vt:lpstr>
      <vt:lpstr>C.1.1</vt:lpstr>
      <vt:lpstr>C.1.2</vt:lpstr>
      <vt:lpstr>C.1.3</vt:lpstr>
      <vt:lpstr>C.1.4</vt:lpstr>
      <vt:lpstr>C.1.5</vt:lpstr>
      <vt:lpstr>C.2.1</vt:lpstr>
      <vt:lpstr>C.2.2</vt:lpstr>
      <vt:lpstr>C.2.3</vt:lpstr>
      <vt:lpstr>C.2.4</vt:lpstr>
      <vt:lpstr>C.2.5</vt:lpstr>
      <vt:lpstr>C.2.6</vt:lpstr>
      <vt:lpstr>C.3.1</vt:lpstr>
      <vt:lpstr>C.3.2</vt:lpstr>
      <vt:lpstr>C.3.3</vt:lpstr>
      <vt:lpstr>C.3.4</vt:lpstr>
      <vt:lpstr>C.3.5</vt:lpstr>
      <vt:lpstr>C.3.6</vt:lpstr>
      <vt:lpstr>C.4.1</vt:lpstr>
      <vt:lpstr>C.4.2</vt:lpstr>
      <vt:lpstr>C.4.3</vt:lpstr>
      <vt:lpstr>C.4.4</vt:lpstr>
      <vt:lpstr>C.4.5</vt:lpstr>
      <vt:lpstr>D.1.1</vt:lpstr>
      <vt:lpstr>D.1.2</vt:lpstr>
      <vt:lpstr>D.1.3</vt:lpstr>
      <vt:lpstr>D.1.4</vt:lpstr>
      <vt:lpstr>D.1.5</vt:lpstr>
      <vt:lpstr>D.2.1</vt:lpstr>
      <vt:lpstr>D.2.2</vt:lpstr>
      <vt:lpstr>D.2.3</vt:lpstr>
      <vt:lpstr>D.2.4</vt:lpstr>
      <vt:lpstr>D.2.5</vt:lpstr>
      <vt:lpstr>D.2.6</vt:lpstr>
      <vt:lpstr>D.2.7</vt:lpstr>
      <vt:lpstr>D.3.1</vt:lpstr>
      <vt:lpstr>D.3.2</vt:lpstr>
      <vt:lpstr>D.3.3</vt:lpstr>
      <vt:lpstr>D.3.4</vt:lpstr>
      <vt:lpstr>D.3.5</vt:lpstr>
      <vt:lpstr>D.3.6</vt:lpstr>
      <vt:lpstr>D.4.1</vt:lpstr>
      <vt:lpstr>D.4.2</vt:lpstr>
      <vt:lpstr>E.1</vt:lpstr>
      <vt:lpstr>F.1.1</vt:lpstr>
      <vt:lpstr>F.1.2</vt:lpstr>
      <vt:lpstr>F.1.3</vt:lpstr>
      <vt:lpstr>F.2.1</vt:lpstr>
      <vt:lpstr>F.2.2</vt:lpstr>
      <vt:lpstr>F.2.3</vt:lpstr>
      <vt:lpstr>F.2.4</vt:lpstr>
      <vt:lpstr>F.2.5</vt:lpstr>
      <vt:lpstr>A.1!Area_de_impressao</vt:lpstr>
      <vt:lpstr>A.2!Area_de_impressao</vt:lpstr>
      <vt:lpstr>A.3!Area_de_impressao</vt:lpstr>
      <vt:lpstr>B.1.1!Area_de_impressao</vt:lpstr>
      <vt:lpstr>B.1.2!Area_de_impressao</vt:lpstr>
      <vt:lpstr>B.1.3!Area_de_impressao</vt:lpstr>
      <vt:lpstr>B.1.4!Area_de_impressao</vt:lpstr>
      <vt:lpstr>B.1.5!Area_de_impressao</vt:lpstr>
      <vt:lpstr>B.1.6!Area_de_impressao</vt:lpstr>
      <vt:lpstr>B.1.7!Area_de_impressao</vt:lpstr>
      <vt:lpstr>B.1.8!Area_de_impressao</vt:lpstr>
      <vt:lpstr>B.1.9!Area_de_impressao</vt:lpstr>
      <vt:lpstr>B.2.1!Area_de_impressao</vt:lpstr>
      <vt:lpstr>B.2.2!Area_de_impressao</vt:lpstr>
      <vt:lpstr>B.2.3!Area_de_impressao</vt:lpstr>
      <vt:lpstr>B.2.4!Area_de_impressao</vt:lpstr>
      <vt:lpstr>B.2.5!Area_de_impressao</vt:lpstr>
      <vt:lpstr>B.2.6!Area_de_impressao</vt:lpstr>
      <vt:lpstr>B.2.7!Area_de_impressao</vt:lpstr>
      <vt:lpstr>B.2.8!Area_de_impressao</vt:lpstr>
      <vt:lpstr>B.2.9!Area_de_impressao</vt:lpstr>
      <vt:lpstr>B.3.1!Area_de_impressao</vt:lpstr>
      <vt:lpstr>B.3.2!Area_de_impressao</vt:lpstr>
      <vt:lpstr>C.1.1!Area_de_impressao</vt:lpstr>
      <vt:lpstr>C.1.2!Area_de_impressao</vt:lpstr>
      <vt:lpstr>C.1.3!Area_de_impressao</vt:lpstr>
      <vt:lpstr>C.1.4!Area_de_impressao</vt:lpstr>
      <vt:lpstr>C.1.5!Area_de_impressao</vt:lpstr>
      <vt:lpstr>C.2.1!Area_de_impressao</vt:lpstr>
      <vt:lpstr>C.2.2!Area_de_impressao</vt:lpstr>
      <vt:lpstr>C.2.3!Area_de_impressao</vt:lpstr>
      <vt:lpstr>C.2.4!Area_de_impressao</vt:lpstr>
      <vt:lpstr>C.2.5!Area_de_impressao</vt:lpstr>
      <vt:lpstr>C.2.6!Area_de_impressao</vt:lpstr>
      <vt:lpstr>C.3.1!Area_de_impressao</vt:lpstr>
      <vt:lpstr>C.3.2!Area_de_impressao</vt:lpstr>
      <vt:lpstr>C.3.3!Area_de_impressao</vt:lpstr>
      <vt:lpstr>C.3.4!Area_de_impressao</vt:lpstr>
      <vt:lpstr>C.3.5!Area_de_impressao</vt:lpstr>
      <vt:lpstr>C.3.6!Area_de_impressao</vt:lpstr>
      <vt:lpstr>C.4.1!Area_de_impressao</vt:lpstr>
      <vt:lpstr>C.4.2!Area_de_impressao</vt:lpstr>
      <vt:lpstr>C.4.3!Area_de_impressao</vt:lpstr>
      <vt:lpstr>C.4.4!Area_de_impressao</vt:lpstr>
      <vt:lpstr>C.4.5!Area_de_impressao</vt:lpstr>
      <vt:lpstr>D.1.1!Area_de_impressao</vt:lpstr>
      <vt:lpstr>D.1.2!Area_de_impressao</vt:lpstr>
      <vt:lpstr>D.1.3!Area_de_impressao</vt:lpstr>
      <vt:lpstr>D.1.4!Area_de_impressao</vt:lpstr>
      <vt:lpstr>D.1.5!Area_de_impressao</vt:lpstr>
      <vt:lpstr>D.2.1!Area_de_impressao</vt:lpstr>
      <vt:lpstr>D.2.2!Area_de_impressao</vt:lpstr>
      <vt:lpstr>D.2.3!Area_de_impressao</vt:lpstr>
      <vt:lpstr>D.2.4!Area_de_impressao</vt:lpstr>
      <vt:lpstr>D.2.5!Area_de_impressao</vt:lpstr>
      <vt:lpstr>D.2.6!Area_de_impressao</vt:lpstr>
      <vt:lpstr>D.2.7!Area_de_impressao</vt:lpstr>
      <vt:lpstr>D.3.1!Area_de_impressao</vt:lpstr>
      <vt:lpstr>D.3.2!Area_de_impressao</vt:lpstr>
      <vt:lpstr>D.3.3!Area_de_impressao</vt:lpstr>
      <vt:lpstr>D.3.4!Area_de_impressao</vt:lpstr>
      <vt:lpstr>D.3.5!Area_de_impressao</vt:lpstr>
      <vt:lpstr>D.3.6!Area_de_impressao</vt:lpstr>
      <vt:lpstr>D.4.1!Area_de_impressao</vt:lpstr>
      <vt:lpstr>D.4.2!Area_de_impressao</vt:lpstr>
      <vt:lpstr>E.1!Area_de_impressao</vt:lpstr>
      <vt:lpstr>F.1.1!Area_de_impressao</vt:lpstr>
      <vt:lpstr>F.1.2!Area_de_impressao</vt:lpstr>
      <vt:lpstr>F.1.3!Area_de_impressao</vt:lpstr>
      <vt:lpstr>F.2.1!Area_de_impressao</vt:lpstr>
      <vt:lpstr>F.2.2!Area_de_impressao</vt:lpstr>
      <vt:lpstr>F.2.3!Area_de_impressao</vt:lpstr>
      <vt:lpstr>F.2.4!Area_de_impressao</vt:lpstr>
      <vt:lpstr>F.2.5!Area_de_impressao</vt:lpstr>
      <vt:lpstr>PQ!Area_de_impressao</vt:lpstr>
      <vt:lpstr>RESUMO!Area_de_impressao</vt:lpstr>
      <vt:lpstr>A.1!Titulos_de_impressao</vt:lpstr>
      <vt:lpstr>A.2!Titulos_de_impressao</vt:lpstr>
      <vt:lpstr>A.3!Titulos_de_impressao</vt:lpstr>
      <vt:lpstr>B.1.1!Titulos_de_impressao</vt:lpstr>
      <vt:lpstr>B.1.2!Titulos_de_impressao</vt:lpstr>
      <vt:lpstr>B.1.3!Titulos_de_impressao</vt:lpstr>
      <vt:lpstr>B.1.4!Titulos_de_impressao</vt:lpstr>
      <vt:lpstr>B.1.5!Titulos_de_impressao</vt:lpstr>
      <vt:lpstr>B.1.6!Titulos_de_impressao</vt:lpstr>
      <vt:lpstr>B.1.7!Titulos_de_impressao</vt:lpstr>
      <vt:lpstr>B.1.8!Titulos_de_impressao</vt:lpstr>
      <vt:lpstr>B.1.9!Titulos_de_impressao</vt:lpstr>
      <vt:lpstr>B.2.1!Titulos_de_impressao</vt:lpstr>
      <vt:lpstr>B.2.2!Titulos_de_impressao</vt:lpstr>
      <vt:lpstr>B.2.3!Titulos_de_impressao</vt:lpstr>
      <vt:lpstr>B.2.4!Titulos_de_impressao</vt:lpstr>
      <vt:lpstr>B.2.5!Titulos_de_impressao</vt:lpstr>
      <vt:lpstr>B.2.6!Titulos_de_impressao</vt:lpstr>
      <vt:lpstr>B.2.7!Titulos_de_impressao</vt:lpstr>
      <vt:lpstr>B.2.8!Titulos_de_impressao</vt:lpstr>
      <vt:lpstr>B.2.9!Titulos_de_impressao</vt:lpstr>
      <vt:lpstr>B.3.1!Titulos_de_impressao</vt:lpstr>
      <vt:lpstr>B.3.2!Titulos_de_impressao</vt:lpstr>
      <vt:lpstr>C.1.1!Titulos_de_impressao</vt:lpstr>
      <vt:lpstr>C.1.2!Titulos_de_impressao</vt:lpstr>
      <vt:lpstr>C.1.3!Titulos_de_impressao</vt:lpstr>
      <vt:lpstr>C.1.4!Titulos_de_impressao</vt:lpstr>
      <vt:lpstr>C.1.5!Titulos_de_impressao</vt:lpstr>
      <vt:lpstr>C.2.1!Titulos_de_impressao</vt:lpstr>
      <vt:lpstr>C.2.2!Titulos_de_impressao</vt:lpstr>
      <vt:lpstr>C.2.3!Titulos_de_impressao</vt:lpstr>
      <vt:lpstr>C.2.4!Titulos_de_impressao</vt:lpstr>
      <vt:lpstr>C.2.5!Titulos_de_impressao</vt:lpstr>
      <vt:lpstr>C.2.6!Titulos_de_impressao</vt:lpstr>
      <vt:lpstr>C.3.1!Titulos_de_impressao</vt:lpstr>
      <vt:lpstr>C.3.2!Titulos_de_impressao</vt:lpstr>
      <vt:lpstr>C.3.3!Titulos_de_impressao</vt:lpstr>
      <vt:lpstr>C.3.4!Titulos_de_impressao</vt:lpstr>
      <vt:lpstr>C.3.5!Titulos_de_impressao</vt:lpstr>
      <vt:lpstr>C.3.6!Titulos_de_impressao</vt:lpstr>
      <vt:lpstr>C.4.1!Titulos_de_impressao</vt:lpstr>
      <vt:lpstr>C.4.2!Titulos_de_impressao</vt:lpstr>
      <vt:lpstr>C.4.3!Titulos_de_impressao</vt:lpstr>
      <vt:lpstr>C.4.4!Titulos_de_impressao</vt:lpstr>
      <vt:lpstr>C.4.5!Titulos_de_impressao</vt:lpstr>
      <vt:lpstr>D.1.1!Titulos_de_impressao</vt:lpstr>
      <vt:lpstr>D.1.2!Titulos_de_impressao</vt:lpstr>
      <vt:lpstr>D.1.3!Titulos_de_impressao</vt:lpstr>
      <vt:lpstr>D.1.4!Titulos_de_impressao</vt:lpstr>
      <vt:lpstr>D.1.5!Titulos_de_impressao</vt:lpstr>
      <vt:lpstr>D.2.1!Titulos_de_impressao</vt:lpstr>
      <vt:lpstr>D.2.2!Titulos_de_impressao</vt:lpstr>
      <vt:lpstr>D.2.3!Titulos_de_impressao</vt:lpstr>
      <vt:lpstr>D.2.4!Titulos_de_impressao</vt:lpstr>
      <vt:lpstr>D.2.5!Titulos_de_impressao</vt:lpstr>
      <vt:lpstr>D.2.6!Titulos_de_impressao</vt:lpstr>
      <vt:lpstr>D.2.7!Titulos_de_impressao</vt:lpstr>
      <vt:lpstr>D.3.1!Titulos_de_impressao</vt:lpstr>
      <vt:lpstr>D.3.2!Titulos_de_impressao</vt:lpstr>
      <vt:lpstr>D.3.3!Titulos_de_impressao</vt:lpstr>
      <vt:lpstr>D.3.4!Titulos_de_impressao</vt:lpstr>
      <vt:lpstr>D.3.5!Titulos_de_impressao</vt:lpstr>
      <vt:lpstr>D.3.6!Titulos_de_impressao</vt:lpstr>
      <vt:lpstr>D.4.1!Titulos_de_impressao</vt:lpstr>
      <vt:lpstr>D.4.2!Titulos_de_impressao</vt:lpstr>
      <vt:lpstr>E.1!Titulos_de_impressao</vt:lpstr>
      <vt:lpstr>F.1.1!Titulos_de_impressao</vt:lpstr>
      <vt:lpstr>F.1.2!Titulos_de_impressao</vt:lpstr>
      <vt:lpstr>F.1.3!Titulos_de_impressao</vt:lpstr>
      <vt:lpstr>F.2.1!Titulos_de_impressao</vt:lpstr>
      <vt:lpstr>F.2.2!Titulos_de_impressao</vt:lpstr>
      <vt:lpstr>F.2.3!Titulos_de_impressao</vt:lpstr>
      <vt:lpstr>F.2.4!Titulos_de_impressao</vt:lpstr>
      <vt:lpstr>F.2.5!Titulos_de_impressao</vt:lpstr>
      <vt:lpstr>RESUMO!Titulos_de_impressao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Sergio Santos Lima</dc:creator>
  <cp:keywords/>
  <dc:description/>
  <cp:lastModifiedBy>Paulo Sergio Santos Lima</cp:lastModifiedBy>
  <cp:revision/>
  <cp:lastPrinted>2025-11-03T17:54:49Z</cp:lastPrinted>
  <dcterms:created xsi:type="dcterms:W3CDTF">2025-09-12T11:16:16Z</dcterms:created>
  <dcterms:modified xsi:type="dcterms:W3CDTF">2025-11-18T14:34:57Z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0x010100A6953CB7D0F7DE46855387B891866034</vt:lpwstr>
  </property>
  <property fmtid="{D5CDD505-2E9C-101B-9397-08002B2CF9AE}" pid="3" name="MediaServiceImageTags">
    <vt:lpwstr/>
  </property>
</Properties>
</file>