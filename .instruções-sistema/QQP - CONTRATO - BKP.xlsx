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backupFile="1"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aterpa-my.sharepoint.com/personal/paulo_lima_consorcio381_com_br/Documents/Área de Trabalho/"/>
    </mc:Choice>
  </mc:AlternateContent>
  <xr:revisionPtr revIDLastSave="3562" documentId="6_{45BF92EE-B41E-474F-B660-2407FF101024}" xr6:coauthVersionLast="47" xr6:coauthVersionMax="47" xr10:uidLastSave="{3CBC985D-8814-4F56-90FF-0599C87FA7C2}"/>
  <bookViews>
    <workbookView xWindow="-120" yWindow="-120" windowWidth="29040" windowHeight="15720" tabRatio="940" xr2:uid="{75754F93-EC7F-4CFA-B1CC-CC2B5C7D2167}"/>
  </bookViews>
  <sheets>
    <sheet name="CADASTRO GERAL" sheetId="7" r:id="rId1"/>
  </sheets>
  <definedNames>
    <definedName name="_xlnm._FilterDatabase" localSheetId="0" hidden="1">'CADASTRO GERAL'!$A$4:$O$218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8" i="7" l="1"/>
  <c r="J217" i="7"/>
  <c r="J216" i="7"/>
  <c r="J215" i="7"/>
  <c r="J213" i="7"/>
  <c r="J212" i="7"/>
  <c r="J211" i="7"/>
  <c r="J210" i="7"/>
  <c r="J209" i="7"/>
  <c r="J208" i="7"/>
  <c r="J207" i="7"/>
  <c r="J206" i="7"/>
  <c r="J205" i="7"/>
  <c r="J204" i="7"/>
  <c r="J203" i="7"/>
  <c r="J201" i="7"/>
  <c r="J200" i="7"/>
  <c r="J199" i="7"/>
  <c r="J198" i="7"/>
  <c r="J197" i="7"/>
  <c r="J196" i="7"/>
  <c r="J195" i="7"/>
  <c r="J194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73" i="7"/>
  <c r="J171" i="7"/>
  <c r="J169" i="7"/>
  <c r="J168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36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41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16" i="7"/>
  <c r="J14" i="7"/>
  <c r="J13" i="7"/>
  <c r="L6" i="7"/>
  <c r="L5" i="7" s="1"/>
  <c r="M6" i="7"/>
  <c r="M5" i="7" s="1"/>
  <c r="N6" i="7"/>
  <c r="N5" i="7" s="1"/>
  <c r="L8" i="7"/>
  <c r="L7" i="7" s="1"/>
  <c r="M8" i="7"/>
  <c r="M7" i="7" s="1"/>
  <c r="N8" i="7"/>
  <c r="N7" i="7" s="1"/>
  <c r="L10" i="7"/>
  <c r="M10" i="7"/>
  <c r="N10" i="7"/>
  <c r="L11" i="7"/>
  <c r="M11" i="7"/>
  <c r="N11" i="7"/>
  <c r="L13" i="7"/>
  <c r="M13" i="7"/>
  <c r="N13" i="7"/>
  <c r="L14" i="7"/>
  <c r="M14" i="7"/>
  <c r="N14" i="7"/>
  <c r="L16" i="7"/>
  <c r="M16" i="7"/>
  <c r="N16" i="7"/>
  <c r="L17" i="7"/>
  <c r="M17" i="7"/>
  <c r="N17" i="7"/>
  <c r="L18" i="7"/>
  <c r="M18" i="7"/>
  <c r="N18" i="7"/>
  <c r="L19" i="7"/>
  <c r="M19" i="7"/>
  <c r="N19" i="7"/>
  <c r="L20" i="7"/>
  <c r="M20" i="7"/>
  <c r="N20" i="7"/>
  <c r="L21" i="7"/>
  <c r="M21" i="7"/>
  <c r="N21" i="7"/>
  <c r="L22" i="7"/>
  <c r="M22" i="7"/>
  <c r="N22" i="7"/>
  <c r="L23" i="7"/>
  <c r="M23" i="7"/>
  <c r="N23" i="7"/>
  <c r="L24" i="7"/>
  <c r="M24" i="7"/>
  <c r="N24" i="7"/>
  <c r="L25" i="7"/>
  <c r="M25" i="7"/>
  <c r="N25" i="7"/>
  <c r="L26" i="7"/>
  <c r="M26" i="7"/>
  <c r="N26" i="7"/>
  <c r="L27" i="7"/>
  <c r="M27" i="7"/>
  <c r="N27" i="7"/>
  <c r="L28" i="7"/>
  <c r="M28" i="7"/>
  <c r="N28" i="7"/>
  <c r="L29" i="7"/>
  <c r="M29" i="7"/>
  <c r="N29" i="7"/>
  <c r="L30" i="7"/>
  <c r="M30" i="7"/>
  <c r="N30" i="7"/>
  <c r="L31" i="7"/>
  <c r="M31" i="7"/>
  <c r="N31" i="7"/>
  <c r="L32" i="7"/>
  <c r="M32" i="7"/>
  <c r="N32" i="7"/>
  <c r="L33" i="7"/>
  <c r="M33" i="7"/>
  <c r="N33" i="7"/>
  <c r="L34" i="7"/>
  <c r="M34" i="7"/>
  <c r="N34" i="7"/>
  <c r="L35" i="7"/>
  <c r="M35" i="7"/>
  <c r="N35" i="7"/>
  <c r="L36" i="7"/>
  <c r="M36" i="7"/>
  <c r="N36" i="7"/>
  <c r="L37" i="7"/>
  <c r="M37" i="7"/>
  <c r="N37" i="7"/>
  <c r="L38" i="7"/>
  <c r="M38" i="7"/>
  <c r="N38" i="7"/>
  <c r="L39" i="7"/>
  <c r="M39" i="7"/>
  <c r="N39" i="7"/>
  <c r="L41" i="7"/>
  <c r="M41" i="7"/>
  <c r="N41" i="7"/>
  <c r="L42" i="7"/>
  <c r="M42" i="7"/>
  <c r="N42" i="7"/>
  <c r="L43" i="7"/>
  <c r="M43" i="7"/>
  <c r="N43" i="7"/>
  <c r="L44" i="7"/>
  <c r="M44" i="7"/>
  <c r="N44" i="7"/>
  <c r="L45" i="7"/>
  <c r="M45" i="7"/>
  <c r="N45" i="7"/>
  <c r="L46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M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L56" i="7"/>
  <c r="M56" i="7"/>
  <c r="N56" i="7"/>
  <c r="L57" i="7"/>
  <c r="M57" i="7"/>
  <c r="N57" i="7"/>
  <c r="L58" i="7"/>
  <c r="M58" i="7"/>
  <c r="N58" i="7"/>
  <c r="L59" i="7"/>
  <c r="M59" i="7"/>
  <c r="N59" i="7"/>
  <c r="L60" i="7"/>
  <c r="M60" i="7"/>
  <c r="N60" i="7"/>
  <c r="L61" i="7"/>
  <c r="M61" i="7"/>
  <c r="N61" i="7"/>
  <c r="L62" i="7"/>
  <c r="M62" i="7"/>
  <c r="N62" i="7"/>
  <c r="L63" i="7"/>
  <c r="M63" i="7"/>
  <c r="N63" i="7"/>
  <c r="L64" i="7"/>
  <c r="M64" i="7"/>
  <c r="N64" i="7"/>
  <c r="L65" i="7"/>
  <c r="M65" i="7"/>
  <c r="N65" i="7"/>
  <c r="L66" i="7"/>
  <c r="M66" i="7"/>
  <c r="N66" i="7"/>
  <c r="L67" i="7"/>
  <c r="M67" i="7"/>
  <c r="N67" i="7"/>
  <c r="L68" i="7"/>
  <c r="M68" i="7"/>
  <c r="N68" i="7"/>
  <c r="L69" i="7"/>
  <c r="M69" i="7"/>
  <c r="N69" i="7"/>
  <c r="L70" i="7"/>
  <c r="M70" i="7"/>
  <c r="N70" i="7"/>
  <c r="L71" i="7"/>
  <c r="M71" i="7"/>
  <c r="N71" i="7"/>
  <c r="L72" i="7"/>
  <c r="M72" i="7"/>
  <c r="N72" i="7"/>
  <c r="L73" i="7"/>
  <c r="M73" i="7"/>
  <c r="N73" i="7"/>
  <c r="L74" i="7"/>
  <c r="M74" i="7"/>
  <c r="N74" i="7"/>
  <c r="L75" i="7"/>
  <c r="M75" i="7"/>
  <c r="N75" i="7"/>
  <c r="L76" i="7"/>
  <c r="M76" i="7"/>
  <c r="N76" i="7"/>
  <c r="L77" i="7"/>
  <c r="M77" i="7"/>
  <c r="N77" i="7"/>
  <c r="L78" i="7"/>
  <c r="M78" i="7"/>
  <c r="N78" i="7"/>
  <c r="L79" i="7"/>
  <c r="M79" i="7"/>
  <c r="N79" i="7"/>
  <c r="L80" i="7"/>
  <c r="M80" i="7"/>
  <c r="N80" i="7"/>
  <c r="L81" i="7"/>
  <c r="M81" i="7"/>
  <c r="N81" i="7"/>
  <c r="L82" i="7"/>
  <c r="M82" i="7"/>
  <c r="N82" i="7"/>
  <c r="L83" i="7"/>
  <c r="M83" i="7"/>
  <c r="N83" i="7"/>
  <c r="L84" i="7"/>
  <c r="M84" i="7"/>
  <c r="N84" i="7"/>
  <c r="L85" i="7"/>
  <c r="M85" i="7"/>
  <c r="N85" i="7"/>
  <c r="L86" i="7"/>
  <c r="M86" i="7"/>
  <c r="N86" i="7"/>
  <c r="L87" i="7"/>
  <c r="M87" i="7"/>
  <c r="N87" i="7"/>
  <c r="L88" i="7"/>
  <c r="M88" i="7"/>
  <c r="N88" i="7"/>
  <c r="L89" i="7"/>
  <c r="M89" i="7"/>
  <c r="N89" i="7"/>
  <c r="L90" i="7"/>
  <c r="M90" i="7"/>
  <c r="N90" i="7"/>
  <c r="L91" i="7"/>
  <c r="M91" i="7"/>
  <c r="N91" i="7"/>
  <c r="L92" i="7"/>
  <c r="M92" i="7"/>
  <c r="N92" i="7"/>
  <c r="L93" i="7"/>
  <c r="M93" i="7"/>
  <c r="N93" i="7"/>
  <c r="L94" i="7"/>
  <c r="M94" i="7"/>
  <c r="N94" i="7"/>
  <c r="L95" i="7"/>
  <c r="M95" i="7"/>
  <c r="N95" i="7"/>
  <c r="L96" i="7"/>
  <c r="M96" i="7"/>
  <c r="N96" i="7"/>
  <c r="L97" i="7"/>
  <c r="M97" i="7"/>
  <c r="N97" i="7"/>
  <c r="L98" i="7"/>
  <c r="M98" i="7"/>
  <c r="N98" i="7"/>
  <c r="L99" i="7"/>
  <c r="M99" i="7"/>
  <c r="N99" i="7"/>
  <c r="L100" i="7"/>
  <c r="M100" i="7"/>
  <c r="N100" i="7"/>
  <c r="L101" i="7"/>
  <c r="M101" i="7"/>
  <c r="N101" i="7"/>
  <c r="L102" i="7"/>
  <c r="M102" i="7"/>
  <c r="N102" i="7"/>
  <c r="L103" i="7"/>
  <c r="M103" i="7"/>
  <c r="N103" i="7"/>
  <c r="L104" i="7"/>
  <c r="M104" i="7"/>
  <c r="N104" i="7"/>
  <c r="L105" i="7"/>
  <c r="M105" i="7"/>
  <c r="N105" i="7"/>
  <c r="L106" i="7"/>
  <c r="M106" i="7"/>
  <c r="N106" i="7"/>
  <c r="L107" i="7"/>
  <c r="M107" i="7"/>
  <c r="N107" i="7"/>
  <c r="L108" i="7"/>
  <c r="M108" i="7"/>
  <c r="N108" i="7"/>
  <c r="L109" i="7"/>
  <c r="M109" i="7"/>
  <c r="N109" i="7"/>
  <c r="L110" i="7"/>
  <c r="M110" i="7"/>
  <c r="N110" i="7"/>
  <c r="L111" i="7"/>
  <c r="M111" i="7"/>
  <c r="N111" i="7"/>
  <c r="L112" i="7"/>
  <c r="M112" i="7"/>
  <c r="N112" i="7"/>
  <c r="L113" i="7"/>
  <c r="M113" i="7"/>
  <c r="N113" i="7"/>
  <c r="L114" i="7"/>
  <c r="M114" i="7"/>
  <c r="N114" i="7"/>
  <c r="L115" i="7"/>
  <c r="M115" i="7"/>
  <c r="N115" i="7"/>
  <c r="L116" i="7"/>
  <c r="M116" i="7"/>
  <c r="N116" i="7"/>
  <c r="L117" i="7"/>
  <c r="M117" i="7"/>
  <c r="N117" i="7"/>
  <c r="L118" i="7"/>
  <c r="M118" i="7"/>
  <c r="N118" i="7"/>
  <c r="L119" i="7"/>
  <c r="M119" i="7"/>
  <c r="N119" i="7"/>
  <c r="L120" i="7"/>
  <c r="M120" i="7"/>
  <c r="N120" i="7"/>
  <c r="L121" i="7"/>
  <c r="M121" i="7"/>
  <c r="N121" i="7"/>
  <c r="L122" i="7"/>
  <c r="M122" i="7"/>
  <c r="N122" i="7"/>
  <c r="L123" i="7"/>
  <c r="M123" i="7"/>
  <c r="N123" i="7"/>
  <c r="L124" i="7"/>
  <c r="M124" i="7"/>
  <c r="N124" i="7"/>
  <c r="L125" i="7"/>
  <c r="M125" i="7"/>
  <c r="N125" i="7"/>
  <c r="L126" i="7"/>
  <c r="M126" i="7"/>
  <c r="N126" i="7"/>
  <c r="L127" i="7"/>
  <c r="M127" i="7"/>
  <c r="N127" i="7"/>
  <c r="L128" i="7"/>
  <c r="M128" i="7"/>
  <c r="N128" i="7"/>
  <c r="L129" i="7"/>
  <c r="M129" i="7"/>
  <c r="N129" i="7"/>
  <c r="L130" i="7"/>
  <c r="M130" i="7"/>
  <c r="N130" i="7"/>
  <c r="L131" i="7"/>
  <c r="M131" i="7"/>
  <c r="N131" i="7"/>
  <c r="L132" i="7"/>
  <c r="M132" i="7"/>
  <c r="N132" i="7"/>
  <c r="L133" i="7"/>
  <c r="M133" i="7"/>
  <c r="N133" i="7"/>
  <c r="L134" i="7"/>
  <c r="M134" i="7"/>
  <c r="N134" i="7"/>
  <c r="L136" i="7"/>
  <c r="M136" i="7"/>
  <c r="N136" i="7"/>
  <c r="L137" i="7"/>
  <c r="M137" i="7"/>
  <c r="N137" i="7"/>
  <c r="L138" i="7"/>
  <c r="M138" i="7"/>
  <c r="N138" i="7"/>
  <c r="L139" i="7"/>
  <c r="M139" i="7"/>
  <c r="N139" i="7"/>
  <c r="L140" i="7"/>
  <c r="M140" i="7"/>
  <c r="N140" i="7"/>
  <c r="L141" i="7"/>
  <c r="M141" i="7"/>
  <c r="N141" i="7"/>
  <c r="L142" i="7"/>
  <c r="M142" i="7"/>
  <c r="N142" i="7"/>
  <c r="L143" i="7"/>
  <c r="M143" i="7"/>
  <c r="N143" i="7"/>
  <c r="L144" i="7"/>
  <c r="M144" i="7"/>
  <c r="N144" i="7"/>
  <c r="L145" i="7"/>
  <c r="M145" i="7"/>
  <c r="N145" i="7"/>
  <c r="L146" i="7"/>
  <c r="M146" i="7"/>
  <c r="N146" i="7"/>
  <c r="L147" i="7"/>
  <c r="M147" i="7"/>
  <c r="N147" i="7"/>
  <c r="L148" i="7"/>
  <c r="M148" i="7"/>
  <c r="N148" i="7"/>
  <c r="L149" i="7"/>
  <c r="M149" i="7"/>
  <c r="N149" i="7"/>
  <c r="L150" i="7"/>
  <c r="M150" i="7"/>
  <c r="N150" i="7"/>
  <c r="L151" i="7"/>
  <c r="M151" i="7"/>
  <c r="N151" i="7"/>
  <c r="L152" i="7"/>
  <c r="M152" i="7"/>
  <c r="N152" i="7"/>
  <c r="L153" i="7"/>
  <c r="M153" i="7"/>
  <c r="N153" i="7"/>
  <c r="L154" i="7"/>
  <c r="M154" i="7"/>
  <c r="N154" i="7"/>
  <c r="L155" i="7"/>
  <c r="M155" i="7"/>
  <c r="N155" i="7"/>
  <c r="L156" i="7"/>
  <c r="M156" i="7"/>
  <c r="N156" i="7"/>
  <c r="L157" i="7"/>
  <c r="M157" i="7"/>
  <c r="N157" i="7"/>
  <c r="L158" i="7"/>
  <c r="M158" i="7"/>
  <c r="N158" i="7"/>
  <c r="L159" i="7"/>
  <c r="M159" i="7"/>
  <c r="N159" i="7"/>
  <c r="L160" i="7"/>
  <c r="M160" i="7"/>
  <c r="N160" i="7"/>
  <c r="L161" i="7"/>
  <c r="M161" i="7"/>
  <c r="N161" i="7"/>
  <c r="L162" i="7"/>
  <c r="M162" i="7"/>
  <c r="N162" i="7"/>
  <c r="L163" i="7"/>
  <c r="M163" i="7"/>
  <c r="N163" i="7"/>
  <c r="L164" i="7"/>
  <c r="M164" i="7"/>
  <c r="N164" i="7"/>
  <c r="L165" i="7"/>
  <c r="M165" i="7"/>
  <c r="N165" i="7"/>
  <c r="L166" i="7"/>
  <c r="M166" i="7"/>
  <c r="N166" i="7"/>
  <c r="L168" i="7"/>
  <c r="M168" i="7"/>
  <c r="N168" i="7"/>
  <c r="L169" i="7"/>
  <c r="M169" i="7"/>
  <c r="N169" i="7"/>
  <c r="L171" i="7"/>
  <c r="L170" i="7" s="1"/>
  <c r="M171" i="7"/>
  <c r="M170" i="7" s="1"/>
  <c r="N171" i="7"/>
  <c r="N170" i="7" s="1"/>
  <c r="L173" i="7"/>
  <c r="M173" i="7"/>
  <c r="N173" i="7"/>
  <c r="L174" i="7"/>
  <c r="M174" i="7"/>
  <c r="N174" i="7"/>
  <c r="L175" i="7"/>
  <c r="M175" i="7"/>
  <c r="N175" i="7"/>
  <c r="L176" i="7"/>
  <c r="M176" i="7"/>
  <c r="N176" i="7"/>
  <c r="L177" i="7"/>
  <c r="M177" i="7"/>
  <c r="N177" i="7"/>
  <c r="L178" i="7"/>
  <c r="M178" i="7"/>
  <c r="N178" i="7"/>
  <c r="L179" i="7"/>
  <c r="M179" i="7"/>
  <c r="N179" i="7"/>
  <c r="L180" i="7"/>
  <c r="M180" i="7"/>
  <c r="N180" i="7"/>
  <c r="L181" i="7"/>
  <c r="M181" i="7"/>
  <c r="N181" i="7"/>
  <c r="L182" i="7"/>
  <c r="M182" i="7"/>
  <c r="N182" i="7"/>
  <c r="L183" i="7"/>
  <c r="M183" i="7"/>
  <c r="N183" i="7"/>
  <c r="L184" i="7"/>
  <c r="M184" i="7"/>
  <c r="N184" i="7"/>
  <c r="L185" i="7"/>
  <c r="M185" i="7"/>
  <c r="N185" i="7"/>
  <c r="L186" i="7"/>
  <c r="M186" i="7"/>
  <c r="N186" i="7"/>
  <c r="L187" i="7"/>
  <c r="M187" i="7"/>
  <c r="N187" i="7"/>
  <c r="L188" i="7"/>
  <c r="M188" i="7"/>
  <c r="N188" i="7"/>
  <c r="L189" i="7"/>
  <c r="M189" i="7"/>
  <c r="N189" i="7"/>
  <c r="L190" i="7"/>
  <c r="M190" i="7"/>
  <c r="N190" i="7"/>
  <c r="L191" i="7"/>
  <c r="M191" i="7"/>
  <c r="N191" i="7"/>
  <c r="L192" i="7"/>
  <c r="M192" i="7"/>
  <c r="N192" i="7"/>
  <c r="L194" i="7"/>
  <c r="M194" i="7"/>
  <c r="N194" i="7"/>
  <c r="L195" i="7"/>
  <c r="M195" i="7"/>
  <c r="N195" i="7"/>
  <c r="L196" i="7"/>
  <c r="M196" i="7"/>
  <c r="N196" i="7"/>
  <c r="L197" i="7"/>
  <c r="M197" i="7"/>
  <c r="N197" i="7"/>
  <c r="L198" i="7"/>
  <c r="M198" i="7"/>
  <c r="N198" i="7"/>
  <c r="L199" i="7"/>
  <c r="M199" i="7"/>
  <c r="N199" i="7"/>
  <c r="L200" i="7"/>
  <c r="M200" i="7"/>
  <c r="N200" i="7"/>
  <c r="L201" i="7"/>
  <c r="M201" i="7"/>
  <c r="N201" i="7"/>
  <c r="L203" i="7"/>
  <c r="M203" i="7"/>
  <c r="N203" i="7"/>
  <c r="L204" i="7"/>
  <c r="M204" i="7"/>
  <c r="N204" i="7"/>
  <c r="L205" i="7"/>
  <c r="M205" i="7"/>
  <c r="N205" i="7"/>
  <c r="L206" i="7"/>
  <c r="M206" i="7"/>
  <c r="N206" i="7"/>
  <c r="L207" i="7"/>
  <c r="M207" i="7"/>
  <c r="N207" i="7"/>
  <c r="L208" i="7"/>
  <c r="M208" i="7"/>
  <c r="N208" i="7"/>
  <c r="L209" i="7"/>
  <c r="M209" i="7"/>
  <c r="N209" i="7"/>
  <c r="L210" i="7"/>
  <c r="M210" i="7"/>
  <c r="N210" i="7"/>
  <c r="L211" i="7"/>
  <c r="M211" i="7"/>
  <c r="N211" i="7"/>
  <c r="L212" i="7"/>
  <c r="M212" i="7"/>
  <c r="N212" i="7"/>
  <c r="L213" i="7"/>
  <c r="M213" i="7"/>
  <c r="N213" i="7"/>
  <c r="L215" i="7"/>
  <c r="M215" i="7"/>
  <c r="N215" i="7"/>
  <c r="L216" i="7"/>
  <c r="M216" i="7"/>
  <c r="N216" i="7"/>
  <c r="L217" i="7"/>
  <c r="M217" i="7"/>
  <c r="N217" i="7"/>
  <c r="L218" i="7"/>
  <c r="M218" i="7"/>
  <c r="N218" i="7"/>
  <c r="K191" i="7"/>
  <c r="K192" i="7"/>
  <c r="K126" i="7"/>
  <c r="K127" i="7"/>
  <c r="K128" i="7"/>
  <c r="K129" i="7"/>
  <c r="K130" i="7"/>
  <c r="K131" i="7"/>
  <c r="K132" i="7"/>
  <c r="K133" i="7"/>
  <c r="K134" i="7"/>
  <c r="K38" i="7"/>
  <c r="K39" i="7"/>
  <c r="J11" i="7"/>
  <c r="J10" i="7"/>
  <c r="J8" i="7"/>
  <c r="J6" i="7"/>
  <c r="K125" i="7"/>
  <c r="K218" i="7"/>
  <c r="K217" i="7"/>
  <c r="K216" i="7"/>
  <c r="K215" i="7"/>
  <c r="K204" i="7"/>
  <c r="K205" i="7"/>
  <c r="K206" i="7"/>
  <c r="K207" i="7"/>
  <c r="K208" i="7"/>
  <c r="K209" i="7"/>
  <c r="K210" i="7"/>
  <c r="K211" i="7"/>
  <c r="K212" i="7"/>
  <c r="K213" i="7"/>
  <c r="K203" i="7"/>
  <c r="K195" i="7"/>
  <c r="K196" i="7"/>
  <c r="K197" i="7"/>
  <c r="K198" i="7"/>
  <c r="K199" i="7"/>
  <c r="K200" i="7"/>
  <c r="K201" i="7"/>
  <c r="K194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73" i="7"/>
  <c r="K171" i="7"/>
  <c r="K170" i="7" s="1"/>
  <c r="K169" i="7"/>
  <c r="K168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36" i="7"/>
  <c r="K123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4" i="7"/>
  <c r="K41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16" i="7"/>
  <c r="K14" i="7"/>
  <c r="K13" i="7"/>
  <c r="K11" i="7"/>
  <c r="K10" i="7"/>
  <c r="K8" i="7"/>
  <c r="K7" i="7" s="1"/>
  <c r="K6" i="7"/>
  <c r="K5" i="7" s="1"/>
  <c r="O215" i="7" l="1"/>
  <c r="O216" i="7"/>
  <c r="O217" i="7"/>
  <c r="O218" i="7"/>
  <c r="O28" i="7"/>
  <c r="O99" i="7"/>
  <c r="O43" i="7"/>
  <c r="O194" i="7"/>
  <c r="O11" i="7"/>
  <c r="M214" i="7"/>
  <c r="O35" i="7"/>
  <c r="O27" i="7"/>
  <c r="O19" i="7"/>
  <c r="O130" i="7"/>
  <c r="O122" i="7"/>
  <c r="O114" i="7"/>
  <c r="O106" i="7"/>
  <c r="O98" i="7"/>
  <c r="O90" i="7"/>
  <c r="O82" i="7"/>
  <c r="O74" i="7"/>
  <c r="O66" i="7"/>
  <c r="O58" i="7"/>
  <c r="O50" i="7"/>
  <c r="O42" i="7"/>
  <c r="O160" i="7"/>
  <c r="O152" i="7"/>
  <c r="O144" i="7"/>
  <c r="O168" i="7"/>
  <c r="O188" i="7"/>
  <c r="O180" i="7"/>
  <c r="O195" i="7"/>
  <c r="O204" i="7"/>
  <c r="O212" i="7"/>
  <c r="O10" i="7"/>
  <c r="O36" i="7"/>
  <c r="O107" i="7"/>
  <c r="O51" i="7"/>
  <c r="O203" i="7"/>
  <c r="O13" i="7"/>
  <c r="O34" i="7"/>
  <c r="O26" i="7"/>
  <c r="O18" i="7"/>
  <c r="O129" i="7"/>
  <c r="O121" i="7"/>
  <c r="O113" i="7"/>
  <c r="O105" i="7"/>
  <c r="O97" i="7"/>
  <c r="O89" i="7"/>
  <c r="O81" i="7"/>
  <c r="O73" i="7"/>
  <c r="O65" i="7"/>
  <c r="O57" i="7"/>
  <c r="O49" i="7"/>
  <c r="O136" i="7"/>
  <c r="O159" i="7"/>
  <c r="O151" i="7"/>
  <c r="O143" i="7"/>
  <c r="O169" i="7"/>
  <c r="O187" i="7"/>
  <c r="O179" i="7"/>
  <c r="O196" i="7"/>
  <c r="O205" i="7"/>
  <c r="O213" i="7"/>
  <c r="O20" i="7"/>
  <c r="O67" i="7"/>
  <c r="O181" i="7"/>
  <c r="O14" i="7"/>
  <c r="O33" i="7"/>
  <c r="O25" i="7"/>
  <c r="O17" i="7"/>
  <c r="O128" i="7"/>
  <c r="O120" i="7"/>
  <c r="O112" i="7"/>
  <c r="O104" i="7"/>
  <c r="O96" i="7"/>
  <c r="O88" i="7"/>
  <c r="O80" i="7"/>
  <c r="O72" i="7"/>
  <c r="O64" i="7"/>
  <c r="O56" i="7"/>
  <c r="O48" i="7"/>
  <c r="O166" i="7"/>
  <c r="O158" i="7"/>
  <c r="O150" i="7"/>
  <c r="O142" i="7"/>
  <c r="O171" i="7"/>
  <c r="O170" i="7" s="1"/>
  <c r="O186" i="7"/>
  <c r="O178" i="7"/>
  <c r="O197" i="7"/>
  <c r="O206" i="7"/>
  <c r="O91" i="7"/>
  <c r="O211" i="7"/>
  <c r="O16" i="7"/>
  <c r="O32" i="7"/>
  <c r="O24" i="7"/>
  <c r="O41" i="7"/>
  <c r="O127" i="7"/>
  <c r="O119" i="7"/>
  <c r="O111" i="7"/>
  <c r="O103" i="7"/>
  <c r="O95" i="7"/>
  <c r="O87" i="7"/>
  <c r="O79" i="7"/>
  <c r="O71" i="7"/>
  <c r="O63" i="7"/>
  <c r="O55" i="7"/>
  <c r="O47" i="7"/>
  <c r="O165" i="7"/>
  <c r="O157" i="7"/>
  <c r="O149" i="7"/>
  <c r="O141" i="7"/>
  <c r="O173" i="7"/>
  <c r="O185" i="7"/>
  <c r="O177" i="7"/>
  <c r="O198" i="7"/>
  <c r="O207" i="7"/>
  <c r="O131" i="7"/>
  <c r="O83" i="7"/>
  <c r="O161" i="7"/>
  <c r="O137" i="7"/>
  <c r="O39" i="7"/>
  <c r="O31" i="7"/>
  <c r="O23" i="7"/>
  <c r="O134" i="7"/>
  <c r="O126" i="7"/>
  <c r="O118" i="7"/>
  <c r="O110" i="7"/>
  <c r="O102" i="7"/>
  <c r="O94" i="7"/>
  <c r="O86" i="7"/>
  <c r="O78" i="7"/>
  <c r="O70" i="7"/>
  <c r="O62" i="7"/>
  <c r="O54" i="7"/>
  <c r="O46" i="7"/>
  <c r="O164" i="7"/>
  <c r="O156" i="7"/>
  <c r="O148" i="7"/>
  <c r="O140" i="7"/>
  <c r="O192" i="7"/>
  <c r="O184" i="7"/>
  <c r="O176" i="7"/>
  <c r="O199" i="7"/>
  <c r="O208" i="7"/>
  <c r="O123" i="7"/>
  <c r="O75" i="7"/>
  <c r="O153" i="7"/>
  <c r="O145" i="7"/>
  <c r="O6" i="7"/>
  <c r="O5" i="7" s="1"/>
  <c r="O38" i="7"/>
  <c r="O30" i="7"/>
  <c r="O22" i="7"/>
  <c r="O133" i="7"/>
  <c r="O125" i="7"/>
  <c r="O117" i="7"/>
  <c r="O109" i="7"/>
  <c r="O101" i="7"/>
  <c r="O93" i="7"/>
  <c r="O85" i="7"/>
  <c r="O77" i="7"/>
  <c r="O69" i="7"/>
  <c r="O61" i="7"/>
  <c r="O53" i="7"/>
  <c r="O45" i="7"/>
  <c r="O163" i="7"/>
  <c r="O155" i="7"/>
  <c r="O147" i="7"/>
  <c r="O139" i="7"/>
  <c r="O191" i="7"/>
  <c r="O183" i="7"/>
  <c r="O175" i="7"/>
  <c r="O200" i="7"/>
  <c r="O209" i="7"/>
  <c r="O115" i="7"/>
  <c r="O59" i="7"/>
  <c r="O189" i="7"/>
  <c r="O8" i="7"/>
  <c r="O7" i="7" s="1"/>
  <c r="O37" i="7"/>
  <c r="O29" i="7"/>
  <c r="O21" i="7"/>
  <c r="O132" i="7"/>
  <c r="O124" i="7"/>
  <c r="O116" i="7"/>
  <c r="O108" i="7"/>
  <c r="O100" i="7"/>
  <c r="O92" i="7"/>
  <c r="O84" i="7"/>
  <c r="O76" i="7"/>
  <c r="O68" i="7"/>
  <c r="O60" i="7"/>
  <c r="O52" i="7"/>
  <c r="O44" i="7"/>
  <c r="O162" i="7"/>
  <c r="O154" i="7"/>
  <c r="O146" i="7"/>
  <c r="O138" i="7"/>
  <c r="O190" i="7"/>
  <c r="O182" i="7"/>
  <c r="O174" i="7"/>
  <c r="O201" i="7"/>
  <c r="O210" i="7"/>
  <c r="M12" i="7"/>
  <c r="N167" i="7"/>
  <c r="N193" i="7"/>
  <c r="M9" i="7"/>
  <c r="N202" i="7"/>
  <c r="N12" i="7"/>
  <c r="L9" i="7"/>
  <c r="L12" i="7"/>
  <c r="M167" i="7"/>
  <c r="K15" i="7"/>
  <c r="N9" i="7"/>
  <c r="L167" i="7"/>
  <c r="M40" i="7"/>
  <c r="L135" i="7"/>
  <c r="M193" i="7"/>
  <c r="L193" i="7"/>
  <c r="M135" i="7"/>
  <c r="L40" i="7"/>
  <c r="N15" i="7"/>
  <c r="L15" i="7"/>
  <c r="K40" i="7"/>
  <c r="M15" i="7"/>
  <c r="K172" i="7"/>
  <c r="L202" i="7"/>
  <c r="M202" i="7"/>
  <c r="M172" i="7"/>
  <c r="N135" i="7"/>
  <c r="N40" i="7"/>
  <c r="L214" i="7"/>
  <c r="N214" i="7"/>
  <c r="N172" i="7"/>
  <c r="L172" i="7"/>
  <c r="K167" i="7"/>
  <c r="K214" i="7"/>
  <c r="K12" i="7"/>
  <c r="K202" i="7"/>
  <c r="K193" i="7"/>
  <c r="K135" i="7"/>
  <c r="K9" i="7"/>
  <c r="O214" i="7" l="1"/>
  <c r="O9" i="7"/>
  <c r="O12" i="7"/>
  <c r="O15" i="7"/>
  <c r="O193" i="7"/>
  <c r="O135" i="7"/>
  <c r="O172" i="7"/>
  <c r="O40" i="7"/>
  <c r="O202" i="7"/>
  <c r="O167" i="7"/>
  <c r="N220" i="7"/>
  <c r="K220" i="7"/>
  <c r="M220" i="7"/>
  <c r="L220" i="7"/>
  <c r="O220" i="7" l="1"/>
</calcChain>
</file>

<file path=xl/sharedStrings.xml><?xml version="1.0" encoding="utf-8"?>
<sst xmlns="http://schemas.openxmlformats.org/spreadsheetml/2006/main" count="851" uniqueCount="654">
  <si>
    <t>Melhoramento e pavimentação, trecho Papagaios - Pompéu, extensão de 44,78 km, na Rodovia MG 060.</t>
  </si>
  <si>
    <t>Referência</t>
  </si>
  <si>
    <t>Código</t>
  </si>
  <si>
    <t>Serviço</t>
  </si>
  <si>
    <t>unid.</t>
  </si>
  <si>
    <t>Valor Unitário</t>
  </si>
  <si>
    <t>Quantidade</t>
  </si>
  <si>
    <t>Valor</t>
  </si>
  <si>
    <t>Contrato</t>
  </si>
  <si>
    <t>Total</t>
  </si>
  <si>
    <t>Administração</t>
  </si>
  <si>
    <t>RO-42334</t>
  </si>
  <si>
    <t>Administração local</t>
  </si>
  <si>
    <t>vb</t>
  </si>
  <si>
    <t>Mobilização e desmobilização</t>
  </si>
  <si>
    <t>RO-42337</t>
  </si>
  <si>
    <t>Mobilização e Desmobilização</t>
  </si>
  <si>
    <t>Índice nacional de construção civil</t>
  </si>
  <si>
    <t>RO-42332</t>
  </si>
  <si>
    <t>Instalação do canteiro de obra</t>
  </si>
  <si>
    <t>u</t>
  </si>
  <si>
    <t>RO-41665</t>
  </si>
  <si>
    <t>Abrigo duplo de passageiros pré-moldado (Execução, incluindo o fornecimento,  transporte e montagem)</t>
  </si>
  <si>
    <t>Consultoria</t>
  </si>
  <si>
    <t>RO-17467</t>
  </si>
  <si>
    <t>Veículo tipo utilitário Strada, cabine dupla, ou similar com motorista</t>
  </si>
  <si>
    <t xml:space="preserve">mês </t>
  </si>
  <si>
    <t>RO-44115</t>
  </si>
  <si>
    <t>Apoio Logístico - Veículo tipo Gol ou similar sem Motorista</t>
  </si>
  <si>
    <t>Terraplenagem</t>
  </si>
  <si>
    <t>RO-43333</t>
  </si>
  <si>
    <t>Desmatamento, destocamento e limpeza de árvores, arbustos e vegetação rasteira. (execução na espessura de até 30cm, incluindo remanejamento para fora da linha de offsets e acerto do material)</t>
  </si>
  <si>
    <t>m2</t>
  </si>
  <si>
    <t>RO-42930</t>
  </si>
  <si>
    <t>Destocamento de árvores com diâmetro entre 0,15 m e 0,30 m</t>
  </si>
  <si>
    <t>RO-42287</t>
  </si>
  <si>
    <t>Destocamento de árvores com ø maior que 0,30 m</t>
  </si>
  <si>
    <t>RO-43419</t>
  </si>
  <si>
    <t>Corte de árvore nativa com moto-serra  0,15m =&lt; Ø &lt; 0,30m - acima de 1.000 unidades</t>
  </si>
  <si>
    <t>RO-43420</t>
  </si>
  <si>
    <t>Corte de árvore nativa com moto-serra   Ø &gt;= 0,30m - acima de 1.000 unidades</t>
  </si>
  <si>
    <t>RO-43339</t>
  </si>
  <si>
    <t>Corte de árvore de reflorestamento com moto-serra 0,15m =&lt; Ø &lt;0,30m - acima de 1.000 unidades</t>
  </si>
  <si>
    <t>RO-43340</t>
  </si>
  <si>
    <t>Corte de árvore de reflorestamento com moto-serra Ø &gt;= 0,30m - acima de 1.000 unidades</t>
  </si>
  <si>
    <t>RO-42825</t>
  </si>
  <si>
    <t>Carga e Transporte de material proveniente de desmatamento e destocamento ( 0 a 5 km)</t>
  </si>
  <si>
    <t>m3</t>
  </si>
  <si>
    <t>RO-42824</t>
  </si>
  <si>
    <t>Carga e Transporte de material proveniente de desmatamento e destocamento ( 5 a 10 km)</t>
  </si>
  <si>
    <t>RO-7045</t>
  </si>
  <si>
    <t>Escavação, carga, descarga, espalhamento e transporte de material de 1ª e 2ª categoria. Distância média de transporte de 0 a 7.000 m</t>
  </si>
  <si>
    <t>RO-99004</t>
  </si>
  <si>
    <t>Escavação, carga, descarga, espalhamento e transporte de material de 1ª e 2ª. categoria. Distância média de transporte de 7.001 a 14.000 m</t>
  </si>
  <si>
    <t>RO-99005</t>
  </si>
  <si>
    <t>Escavação, carga, descarga, espalhamento e transporte de material de 3ª categoria. Distância média de transporte de 7.000 a 13.000 m</t>
  </si>
  <si>
    <t>RO-40253</t>
  </si>
  <si>
    <t>Compactação de aterro a 100% proctor internormal (150%proctor normal)</t>
  </si>
  <si>
    <t>RO-42371</t>
  </si>
  <si>
    <t>Compactação de bota-fora a 95% proctor normal</t>
  </si>
  <si>
    <t>RO-40249</t>
  </si>
  <si>
    <t>Compactação de aterro a 95% proctor normal</t>
  </si>
  <si>
    <t>RO-40218</t>
  </si>
  <si>
    <t>Escavação mecânica de valas em material de 1ª categoria (Execução, incluindo remoção para fora do leito estradal)</t>
  </si>
  <si>
    <t>RO-40230</t>
  </si>
  <si>
    <t>Muro de arrimo em gabião caixa, tela galvanizada (Execução, incluindo fornecimento de todos os materiais)</t>
  </si>
  <si>
    <t>RO-42263</t>
  </si>
  <si>
    <t>Espalhamento de material em bota-fora</t>
  </si>
  <si>
    <t>RO-40238</t>
  </si>
  <si>
    <t>Compactação manual de aterros</t>
  </si>
  <si>
    <t>RO-40239</t>
  </si>
  <si>
    <t>Apiloamento de fundo de valas</t>
  </si>
  <si>
    <t>RO-40250</t>
  </si>
  <si>
    <t>Compactação de aterro com sapo compactador</t>
  </si>
  <si>
    <t>RO-40052</t>
  </si>
  <si>
    <t>Transporte de pedra DMT = 18 a 28 km</t>
  </si>
  <si>
    <t xml:space="preserve">m3*km </t>
  </si>
  <si>
    <t>RO-40171</t>
  </si>
  <si>
    <t>Escavação, carga e transporte de material de 2ª categoria - executado com escavadeira de 1,40 m³ e caminhão basculante de 12 m³ e com caminho de serviço em leito natural - DMT de 1.800 a 2.000 m</t>
  </si>
  <si>
    <t>RO-1409</t>
  </si>
  <si>
    <t>Drenagem</t>
  </si>
  <si>
    <t>RO-40270</t>
  </si>
  <si>
    <t>Bueiro simples tubular de concreto, classe CA-1. BSTC Ø 0,60 m - corpo (Execução, incluindo fornecimento e transporte de todos os materiais e berço, exclusive escavação e compactação)</t>
  </si>
  <si>
    <t xml:space="preserve">m </t>
  </si>
  <si>
    <t>RO-40276</t>
  </si>
  <si>
    <t>Bueiro simples tubular  de concreto, classe CA-2.  BSTC Ø 0,60 m  - corpo (Execução, incluindo fornecimento e transporte de todos os materiais e berço, exclusive escavação e compactação)</t>
  </si>
  <si>
    <t>RO-40287</t>
  </si>
  <si>
    <t>Bueiro simples tubular de concreto, BSTC Ø 0,60 m - boca (Execução, incluindo fornecimento e transporte de todos os materiais, exclusive escavação e compactação)</t>
  </si>
  <si>
    <t xml:space="preserve">u </t>
  </si>
  <si>
    <t>RO-40271</t>
  </si>
  <si>
    <t>Bueiro simples tubular de concreto, classe CA-1. BSTC Ø 0,80 m - corpo (Execução, incluindo fornecimento e transporte de todos os materiais e berço, exclusive escavação e compactação)</t>
  </si>
  <si>
    <t>RO-40272</t>
  </si>
  <si>
    <t>Bueiro simples tubular de concreto, classe CA-1. BSTC Ø 1,00 m - corpo (Execução, incluindo fornecimento e transporte de todos os materiais e berço, exclusive escavação e compactação)</t>
  </si>
  <si>
    <t>RO-40288</t>
  </si>
  <si>
    <t>Bueiro simples tubular de concreto, BSTC Ø 0,80 m - boca (Execução, incluindo fornecimento e transporte de todos os materiais, exclusive escavação e compactação)</t>
  </si>
  <si>
    <t>RO-41754</t>
  </si>
  <si>
    <t>Bueiro simples tubular de concreto. BSTC Ø 1,00 m - boca (Execução, incluindo fornecimento e transporte de todos os materiais, exclusive escavação e compactação)</t>
  </si>
  <si>
    <t>RO-40279</t>
  </si>
  <si>
    <t>Bueiro simples tubular  de concreto, classe CA-2.  BSTC Ø 1,20 m  - corpo (Execução, incluindo fornecimento e transporte de todos os materiais e berço, exclusive escavação e compactação)</t>
  </si>
  <si>
    <t>RO-41783</t>
  </si>
  <si>
    <t>Bueiro simples tubular de concreto. BSTC Ø 1,20 m - boca (Execução, incluindo fornecimento e transporte de todos os materiais, exclusive escavação e compactação)</t>
  </si>
  <si>
    <t>RO-40294</t>
  </si>
  <si>
    <t>Bueiro duplo tubular de concreto, classe CA-1. BDTC Ø 1,00 m - corpo (Execução, incluindo fornecimento e transporte de todos os materiais e berço, exclusive escavação e compactação)</t>
  </si>
  <si>
    <t>RO-40309</t>
  </si>
  <si>
    <t>Bueiro duplo tubular de concreto, BDTC Ø 1,00 m - boca (Execução, incluindo fornecimento e transporte de todos os materiais, exclusive escavação e compactação)</t>
  </si>
  <si>
    <t>RO-40318</t>
  </si>
  <si>
    <t>Bueiro triplo tubular de concreto, classe CA-1. BTTC Ø 1,00 m - corpo (Execução, incluindo fornecimento e transporte de todos os materiais e berço, exclusive escavação e compactação)</t>
  </si>
  <si>
    <t>RO-40333</t>
  </si>
  <si>
    <t>Bueiro triplo tubular de concreto. BTTC Ø 1,00 m - boca (Execução, incluindo fornecimento e transporte de todos os materiais, exclusive escavação e compactação)</t>
  </si>
  <si>
    <t>RO-51419</t>
  </si>
  <si>
    <t>Bueiro simples celular de concreto Padrão DEER/MG. Para altura de aterro de 1,00 a 2,50 m. BSCC (1,50 x 1,50)m - corpo (Execução, incluindo fornecimento e transporte de todos os materiais, exclusive escavação e compactação) (da RT 01.45 - Caderno de Bueiros Celulares)</t>
  </si>
  <si>
    <t>RO-51428</t>
  </si>
  <si>
    <t>Bueiro simples celular de concreto Padrão DEER/MG. BSCC (1,50 x 1,50)m - boca com esconsidade de 30º (Execução, incluindo fornecimento e transporte de todos os materiais, exclusive escavação e compactação) (da RT 01.45 - Caderno de Bueiros Celulares)</t>
  </si>
  <si>
    <t>RO-41040</t>
  </si>
  <si>
    <t>Remoção de bueiro simples tubular de concreto. BSTC Ø 0,40 m - corpo</t>
  </si>
  <si>
    <t>RO-41041</t>
  </si>
  <si>
    <t>Remoção de bueiro simples tubular de concreto. BSTC Ø 0,60 m - corpo</t>
  </si>
  <si>
    <t>RO-40512</t>
  </si>
  <si>
    <t>Empedramento (calçamento) para fundação direta de bueiros</t>
  </si>
  <si>
    <t>RO-40514</t>
  </si>
  <si>
    <t>Valeta de proteção de aterro tipo DR.VPA (Execução, incluindo escavação)</t>
  </si>
  <si>
    <t>RO-40519</t>
  </si>
  <si>
    <t>Valeta de proteção de corte, tipo DR.VP-01., tipo 75/50 (Execução, incluindo escavação)</t>
  </si>
  <si>
    <t>RO-40554</t>
  </si>
  <si>
    <t>Valeta de proteção de corte, tipo DR.VP-03., tipo 75/50 (Execução, incluindo escavação,fornecimento e transporte de todos os materiais)</t>
  </si>
  <si>
    <t>RO-40620</t>
  </si>
  <si>
    <t>Sarjeta de concreto em aterro, tipo DR.SCA-x/y. Largura = 80 cm tipo 50/10 (Execução, incluindo escavação, fornecimento e transporte de todos os materiais)</t>
  </si>
  <si>
    <t>RO-40621</t>
  </si>
  <si>
    <t>Sarjeta de concreto em aterro, tipo DR.SCA-x/y. Largura = 80 cm tipo 50/15 (Execução, incluindo escavação, fornecimento e transporte de todos os materiais)</t>
  </si>
  <si>
    <t>RO-40622</t>
  </si>
  <si>
    <t>Sarjeta de concreto em aterro, tipo DR.SCA-x/y. Largura = 80 cm tipo 50/20 (Execução, incluindo escavação, fornecimento e transporte de todos os materiais)</t>
  </si>
  <si>
    <t>RO-40630</t>
  </si>
  <si>
    <t>Sarjeta de concreto em aterro, tipo DR.SCA-x/y. Largura = 100 cm tipo 70/10 (Execução, incluindo escavação, fornecimento e transporte de todos os materiais)</t>
  </si>
  <si>
    <t>RO-40631</t>
  </si>
  <si>
    <t>Sarjeta de concreto em aterro, tipo DR.SCA-x/y. Largura = 100 cm tipo 70/15 (Execução, incluindo escavação, fornecimento e transporte de todos os materiais)</t>
  </si>
  <si>
    <t>RO-40632</t>
  </si>
  <si>
    <t>Sarjeta de concreto em aterro, tipo DR.SCA-x/y. Largura = 100 cm tipo 70/20 (Execução, incluindo escavação, fornecimento e transporte de todos os materiais)</t>
  </si>
  <si>
    <t>RO-40634</t>
  </si>
  <si>
    <t>Sarjeta de concreto em aterro, tipo DR.SCA-x/y. Largura = 100 cm tipo 70/30 (Execução, incluindo escavação, fornecimento e transporte de todos os materiais)</t>
  </si>
  <si>
    <t>RO-41741</t>
  </si>
  <si>
    <t>Sarjeta de concreto padrão SUDECAP tipo B</t>
  </si>
  <si>
    <t>RO-51723</t>
  </si>
  <si>
    <t>Bueiro simples celular de concreto Padrão DEER/MG. Para altura de aterro de 2,50 a 5,00 m. BSCC (4,00 x 4,00)m - corpo (Execução, incluindo fornecimento e transporte de todos os materiais, exclusive escavação e compactação) (da RT 01.45 - Caderno de Bueiros Celulares)</t>
  </si>
  <si>
    <t>RO-51725</t>
  </si>
  <si>
    <t>Bueiro simples celular de concreto Padrão DEER/MG. Para altura de aterro de 7,50 a 10,00 m. BSCC (4,00 x 4,00)m - corpo (Execução, incluindo fornecimento e transporte de todos os materiais, exclusive escavação e compactação) (da RT 01.45 - Caderno de Bueiros Celulares)</t>
  </si>
  <si>
    <t>RO-40638</t>
  </si>
  <si>
    <t>Meio-fio de concreto, tipo DR.MF-01 (Execução, incluindo escavação, fornecimento e transporte de todos os materiais)</t>
  </si>
  <si>
    <t>RO-51730</t>
  </si>
  <si>
    <t>Bueiro simples celular de concreto Padrão DEER/MG. BSCC (4,00 x 4,00)m - boca com esconsidade de 15º (Execução, incluindo fornecimento e transporte de todos os materiais, exclusive escavação e compactação) (da RT 01.45 - Caderno de Bueiros Celulares)</t>
  </si>
  <si>
    <t>RO-42191</t>
  </si>
  <si>
    <t>Meio-Fio de concreto pre-moldado tipo B (SUDECAP)</t>
  </si>
  <si>
    <t>RO-51786</t>
  </si>
  <si>
    <t>Bueiro duplo celular de concreto Padrão DEER/MG. Para altura de aterro de 10,00 a 12,50 m. BDCC (2,00 x 2,00)m - corpo (Execução, incluindo fornecimento e transporte de todos os materiais, exclusive escavação e compactação) (da RT 01.45 - Caderno de Bueiros Celulares)</t>
  </si>
  <si>
    <t>RO-51789</t>
  </si>
  <si>
    <t>Bueiro duplo celular de concreto Padrão DEER/MG. BDCC (2,00 x 2,00)m - boca com esconsidade de 0º (Execução, incluindo fornecimento e transporte de todos os materiais, exclusive escavação e compactação) (da RT 01.45 - Caderno de Bueiros Celulares)</t>
  </si>
  <si>
    <t>RO-40686</t>
  </si>
  <si>
    <t>Saída d'água de concreto em corte,  tipo DR.SDC-01 (Execução, incluindo escavação, fornecimento e transporte de todos os materiais)</t>
  </si>
  <si>
    <t>RO-40701</t>
  </si>
  <si>
    <t>Saída d'água de concreto em aterro,  tipo DR.SDA-01 (Execução, incluindo escavação, fornecimento e transporte de todos os materiais)</t>
  </si>
  <si>
    <t>RO-40703</t>
  </si>
  <si>
    <t>Saída d'água de concreto em aterro,  tipo DR.SDA-02 (Execução, incluindo escavação, fornecimento e transporte de todos os materiais)</t>
  </si>
  <si>
    <t>RO-51904</t>
  </si>
  <si>
    <t>Bueiro duplo celular de concreto Padrão DEER/MG. Para altura de aterro de 2,50 a 5,00 m. BDCC (3,00 x 2,50)m - corpo (Execução, incluindo fornecimento e transporte de todos os materiais, exclusive escavação e compactação) (da RT 01.45 - Caderno de Bueiros Celulares)</t>
  </si>
  <si>
    <t>RO-51910</t>
  </si>
  <si>
    <t>Bueiro duplo celular de concreto Padrão DEER/MG. BDCC (3,00 x 2,50)m - boca com esconsidade de 0º (Execução, incluindo fornecimento e transporte de todos os materiais, exclusive escavação e compactação) (da RT 01.45 - Caderno de Bueiros Celulares)</t>
  </si>
  <si>
    <t>RO-40820</t>
  </si>
  <si>
    <t>Caixa coletora simples em concreto, tipo DR.CX-01, para bueiro simples tubular de concreto - BSTC ø 0,60m com altura 0,00 &lt; H &lt;= 1,60m (Execução, incluindo escavação, fornecimento e transporte de todos os materiais)</t>
  </si>
  <si>
    <t>RO-40821</t>
  </si>
  <si>
    <t>Caixa coletora simples em concreto, tipo DR.CX-01, para bueiro simples tubular de concreto - BSTC ø 0,60m com altura 1,60 &lt; H &lt;= 2,00m (Execução, incluindo escavação, fornecimento e transporte de todos os materiais)</t>
  </si>
  <si>
    <t>RO-40823</t>
  </si>
  <si>
    <t>Caixa coletora simples em concreto, tipo DR.CX-01, para bueiro simples tubular de concreto - BSTC ø 0,60m com altura 2,00 &lt; H &lt;= 2,40m (Execução, incluindo escavação, fornecimento e transporte de todos os materiais)</t>
  </si>
  <si>
    <t>RO-40824</t>
  </si>
  <si>
    <t>Caixa coletora simples em concreto, tipo DR.CX-01, para bueiro simples tubular de concreto - BSTC ø 0,60m com altura 2,40 &lt; H &lt;= 2,80m (Execução, incluindo escavação, fornecimento e transporte de todos os materiais)</t>
  </si>
  <si>
    <t>RO-40825</t>
  </si>
  <si>
    <t>Caixa coletora simples em concreto, tipo DR.CX-01, para bueiro simples tubular de concreto - BSTC ø 0,60m com altura 2,80 &lt; H &lt;= 3,20 m (Execução, incluindo escavação, fornecimento e transporte de todos os materiais)</t>
  </si>
  <si>
    <t>RO-44723</t>
  </si>
  <si>
    <t>Caixa coletora dupla em concreto, tipo DR.CX-01, para bueiro duplo tubular de concreto - BDTC ø 0,80 m com altura 0,00 &lt; H &lt;= 1,60m</t>
  </si>
  <si>
    <t>RO-42911</t>
  </si>
  <si>
    <t>Bacia de acumulação tipo II - A (Jusante de bueiros de greide)</t>
  </si>
  <si>
    <t>RO-53295</t>
  </si>
  <si>
    <t>Bueiro triplo celular de concreto Padrão DEER/MG. Para altura de aterro de 2,50 a 5,00 m. BTCC (3,50 x 2,50)m - corpo(Execução, incluindo fornecimento e transporte de todos os materiais, exclusive escavação e compactação) (da RT 01.45 - Caderno de Bueiros Celulares)</t>
  </si>
  <si>
    <t>RO-53301</t>
  </si>
  <si>
    <t>Bueiro triplo celular de concreto Padrão DEER/MG. BTCC (3,50 x 2,50)m - boca com esconsidade de 0º (Execução, incluindo fornecimento e transporte de todos os materiais, exclusive escavação e compactação)(da RT 01.45 - Caderno de Bueiros Celulares)</t>
  </si>
  <si>
    <t>RO-42808</t>
  </si>
  <si>
    <t>Dreno profundo com areia, sem selo, com 1,50x0,40 m e tubo de polietileno de alta densidade perfurado, de 100mm envolvido em manta geotêxtil não tecida, tipo DR.DP-02 (Execução  incluindo  escavação , fornecimento de todos os materiais, exceto transporte dos agregados)</t>
  </si>
  <si>
    <t>RO-41043</t>
  </si>
  <si>
    <t>Remoção de bueiro simples tubular de concreto. BSTC Ø 1,00 m - corpo</t>
  </si>
  <si>
    <t>RO-42838</t>
  </si>
  <si>
    <t>Dreno profundo com brita, sem selo, com 1,50x0,40 m envolvido em manta geotêxtil não tecida, com tubo de polietileno de alta densidade perfurado, de 100mm tipo DR.DP-02 (Execução  incluindo  escavação, fornecimento de todos os materiais, exceto transporte dos agregados)</t>
  </si>
  <si>
    <t>RO-40953</t>
  </si>
  <si>
    <t>Dreno profundo de corte em rocha tipo DR.DPR (Execução  incluindo  escavação,  fornecimento de todos os materiais, exceto transporte dos agregados)</t>
  </si>
  <si>
    <t>RO-40974</t>
  </si>
  <si>
    <t>Terminal de dreno profundo, tipo DR.TDP (Execução,  incluindo  escavação, fornecimento e transporte de todos os materiais)</t>
  </si>
  <si>
    <t>RO-40975</t>
  </si>
  <si>
    <t>Terminal de dreno profundo de corte em rocha para DR.DPR (Execução, incluindo  escavação, fornecimento e transporte  de todos os materiais)</t>
  </si>
  <si>
    <t>RO-40986</t>
  </si>
  <si>
    <t>Colchão drenante de brita (execução, incluindo fornecimento de todos os materiais)</t>
  </si>
  <si>
    <t>RO-41033</t>
  </si>
  <si>
    <t>Passagem sobre sarjeta, tipo OC.PS-02A com lajes de largura = 2,00m (Execução incluindo escavação, fornecimento e transporte de todos os materiais)</t>
  </si>
  <si>
    <t>RO-40569</t>
  </si>
  <si>
    <t>Valeta de proteção de corte, tipo DR.VP-03., tipo 125/100 (Execução, incluindo escavação,fornecimento e transporte de todos os materiais)</t>
  </si>
  <si>
    <t>RO-40702</t>
  </si>
  <si>
    <t>Descida d'água de concreto em corte, tipo DR.DSC-01, com largura = 0,60 m (Execução, incluindo escavação, fornecimento e transporte de todos os materiais)</t>
  </si>
  <si>
    <t>RO-40707</t>
  </si>
  <si>
    <t>Descida d'água de concreto em aterro, tipo DR.DSA-01, com largura = 0,60m (Execução, incluindo escavação, fornecimento e transporte de todos os materiais)</t>
  </si>
  <si>
    <t>RO-42348</t>
  </si>
  <si>
    <t>Descida dàgua de concreto em aterro,armada,Tipo DR.DSA-01A com L=0,90</t>
  </si>
  <si>
    <t>RO-40715</t>
  </si>
  <si>
    <t>Descida d'água de concreto em aterro em degraus, tipo DR.DSA-03, com largura = 1,20m (Execução, incluindo escavação, fornecimento e transporte de todos os materiais)</t>
  </si>
  <si>
    <t>RO-40717</t>
  </si>
  <si>
    <t>Descida d'água de concreto em aterro em degraus, tipo DR-DSA 03, com largura  = 1,80m (Execução, incluindo escavação, fornecimento e transporte de todos os materiais)</t>
  </si>
  <si>
    <t>RO-40772</t>
  </si>
  <si>
    <t>Soleira de dispersão para descida d'água em aterro, tipo DSA-01 (Execução, incluindo preparo do terreno, fornecimento e assentamento)</t>
  </si>
  <si>
    <t>RO-40773</t>
  </si>
  <si>
    <t>Soleira de dispersão para descida d'água em aterro, tipo DSA-03 (Execução, incluindo preparo do terreno, fornecimento e assentamento)</t>
  </si>
  <si>
    <t>RO-40774</t>
  </si>
  <si>
    <t>Dispersor para descida d'água, tipo DR.DSA-01, com largura = 0,60m (Execução, incluindo escavação, fornecimento e transporte de todos os materiais)</t>
  </si>
  <si>
    <t>RO-42814</t>
  </si>
  <si>
    <t>Dispersor para descida d'água, tipo DR.DSA-01A, com largura = 0,90m (Execução, incluindo escavação, fornecimento e transporte de todos os materiais)</t>
  </si>
  <si>
    <t>RO-40779</t>
  </si>
  <si>
    <t>Dispersor para descida d'água, tipo DR.DSA-03, com largura = 1,20m (Execução, incluindo escavação, fornecimento e transporte de todos os materiais)</t>
  </si>
  <si>
    <t>RO-40783</t>
  </si>
  <si>
    <t>Dispersor para descida d'água, tipo DR.DSA-03, com largura = 1,80m (Execução, incluindo escavação, fornecimento e transporte de todos os materiais)</t>
  </si>
  <si>
    <t>RO-41801</t>
  </si>
  <si>
    <t>Dissipador de energia para saídas de bueiros tubulares e Descidas d'água em aterros, padrão DNIT, para BSTC Ø= 0,60 m, tipo DEB-03, conforme álbum DNIT-2006 - IPR-725 (Execução, incluindo fornecimento e transporte de todos os materiais, inclusive escavação)</t>
  </si>
  <si>
    <t>RO-41837</t>
  </si>
  <si>
    <t>Dissipador de energia para saídas de bueiros tubulares e descidas d'água em aterros, padrão DNIT,  para BSTC ø= 0,80 m, tipo DEB-04, conforme álbum DNIT-2006 - IPR-725 (Execução, incluindo fornecimento e transporte de todos os materiais, inclusive escavação)</t>
  </si>
  <si>
    <t>RO-41838</t>
  </si>
  <si>
    <t>Dissipador de energia para saídas de bueiros tubulares e descidas d'água de aterros, padrão DNIT, para BSTC ø 1,00 m, tipo DEB - 05, conforme álbum DNIT-2006 - IPR-725 (Execução, incluindo fornecimento e transporte de todos os materiais, inclusive escavação)</t>
  </si>
  <si>
    <t>RO-41839</t>
  </si>
  <si>
    <t>Dissipador de energia para saídas de bueiros tubulares e descidas d'água de aterros, padrão DNIT, para BSTC ø 1,20 m, tipo DEB-06 , conforme álbum DNIT-2006 - IPR-725 (Execução, incluindo fornecimento e transporte de todos os materiais, inclusive escavação)</t>
  </si>
  <si>
    <t>RO-42869</t>
  </si>
  <si>
    <t>Dissipador de energia para saídas de bueiros tubulares e descidas d'água de aterros, padrão DNIT, para BDTC ø 1,00 m. tipo DEB-08 , conforme álbum DNIT-2006 - IPR-725 (Execução, incluindo fornecimento e transporte de todos os materiais, inclusive escavação)</t>
  </si>
  <si>
    <t>RO-42872</t>
  </si>
  <si>
    <t>Dissipador de energia para saídas de bueiros tubulares e descidas d'água de aterros, padrão DNIT, para BTTC ø 1,00 m, tipo DEB-11 ,conforme álbum DNIT-2006 - IPR-725 (Execução, incluindo fornecimento e transporte de todos os materiais, inclusive escavação)</t>
  </si>
  <si>
    <t>RO-40988</t>
  </si>
  <si>
    <t>Colchão drenante de areia (Execução,  incluindo  espalhamento e fornecimento de todos os materiais, exceto transporte dos agregados)</t>
  </si>
  <si>
    <t>RO-40055</t>
  </si>
  <si>
    <t>Transporte de pedras de mão DMT = 18 a 28 km</t>
  </si>
  <si>
    <t>RO-40057</t>
  </si>
  <si>
    <t>Transporte de areia DMT = 31 a 48 km</t>
  </si>
  <si>
    <t>RO-43467</t>
  </si>
  <si>
    <t>Dreno de Talvegue tipo DR-DT com pedra de mão (Execução, incluindo fornecimento de todos os materiais, exceto transporte dos agregados e escavação)</t>
  </si>
  <si>
    <t>RO-40056</t>
  </si>
  <si>
    <t>Transporte de brita DMT = 18 a 28 km</t>
  </si>
  <si>
    <t>RO-51466</t>
  </si>
  <si>
    <t>Bueiro simples celular de concreto Padrão DEER/MG. Para altura de aterro de 0 a 1,00 m. BSCC (2,00 x 2,00)m - corpo (Execução, incluindo fornecimento e transporte de todos os materiais, exclusive escavação e compactação) (da RT 01.45 - Caderno de Bueiros Celulares)</t>
  </si>
  <si>
    <t>m</t>
  </si>
  <si>
    <t>RO-51474</t>
  </si>
  <si>
    <t>Bueiro simples celular de concreto Padrão DEER/MG. BSCC (2,00 x 2,00)m - boca com esconsidade de 0º (Execução, incluindo fornecimento e transporte de todos os materiais, exclusive escavação e compactação) (da RT 01.45 - Caderno de Bueiros Celulares)</t>
  </si>
  <si>
    <t>RO-7801</t>
  </si>
  <si>
    <t>Concreto estrutural, fck &gt; 15 Mpa, (execução, incluindo o fornecimento de todos os materiais e transporte dos agregados)</t>
  </si>
  <si>
    <t>Pavimentação</t>
  </si>
  <si>
    <t>RO-42305</t>
  </si>
  <si>
    <t>Fornecimento, montagem e desmontagem de central de britagem Resíduo de Ardósia</t>
  </si>
  <si>
    <t>RO-41212</t>
  </si>
  <si>
    <t>Remoção e carga do revestimento asfaltico em pré-misturado ou concreto betuminoso usinado a quente</t>
  </si>
  <si>
    <t>RO-41773</t>
  </si>
  <si>
    <t>Remoção e carga da camada de material granular do pavimento (base e/ou sub-base)</t>
  </si>
  <si>
    <t>RO-42213</t>
  </si>
  <si>
    <t>Transporte de revestimento asfáltico removido DMT = 2 a 7 km</t>
  </si>
  <si>
    <t>RO-45631</t>
  </si>
  <si>
    <t>Transporte do material granular removido do pavimento existente DMT = 2 a 7 km</t>
  </si>
  <si>
    <t>RO-41083</t>
  </si>
  <si>
    <t>Regularização do sub-leito (proctor internormal)</t>
  </si>
  <si>
    <t>RO-46139</t>
  </si>
  <si>
    <t>Escavação e carga de argila para pavimentação (Volume compactado)</t>
  </si>
  <si>
    <t>RO-45366</t>
  </si>
  <si>
    <t>Sub-base, com mistura na pista, 70% de bica corrida de resíduo de ardósia britado e 30% de de argila, compactada na energia do proctor intermediário (Execução, incluindo fornecimento da bica corrida, espalhamento, umidecimento, homogenização e compactação da mistura; exclui escavação e carga da argila e transporte dos materiais)</t>
  </si>
  <si>
    <t>RO-40062</t>
  </si>
  <si>
    <t>Transporte de argila para sub-base até a pista (volume compactado) DMT = 0 a 5 km</t>
  </si>
  <si>
    <t>RO-46693</t>
  </si>
  <si>
    <t>Transporte de  bica corrida (de ardósia),  para sub-base, até a pista (volume compactado) DMT = 9 a 14 km</t>
  </si>
  <si>
    <t>RO-45094</t>
  </si>
  <si>
    <t>Base, com mistura na pista, 80% de bica corrida de resíduo de ardósia britado e 20% de argila, compactada na energia do proctor modificado (Execução, incluindo fornecimento da bica corrida, espalhamento, umidecimento, homogenização e compactação da mistura; exclui escavação e carga da argila e transporte dos materiais)</t>
  </si>
  <si>
    <t>RO-40063</t>
  </si>
  <si>
    <t>Transporte de argila para base até a pista (volume compactado) DMT = 20 a 30 km</t>
  </si>
  <si>
    <t>RO-46696</t>
  </si>
  <si>
    <t>Transporte de  bica corrida (de ardósia),  para base, até a pista (volume compactado) DMT = 9 a 14 km</t>
  </si>
  <si>
    <t>RO-41164</t>
  </si>
  <si>
    <t>Imprimação sem fornecimento do material betuminoso (Execução, incluindo transporte do material betuminoso dentro do canteiro de obras)</t>
  </si>
  <si>
    <t>RO-41166</t>
  </si>
  <si>
    <t>Pintura de ligação sem fornecimento do material betuminoso (Execução, incluindo o transporte do material betuminoso dentro do canteiro de obras)</t>
  </si>
  <si>
    <t>RO-46988</t>
  </si>
  <si>
    <t>Concreto betuminoso usinado a quente, modificado por borracha (faixa B) (Execução, incluindo usinagem, aplicação, espalhamento e compactação, fornecimento dos agregados; exclui o fornecimento e transporte do material betuminoso, o transporte dos agregados e o transporte da usina até a pista)</t>
  </si>
  <si>
    <t>RO-43829</t>
  </si>
  <si>
    <t>Concreto betuminoso usinado a quente, modificado por borracha (faixa C) (Execução, incluindo usinagem, aplicação, espalhamento e compactação, fornecimento dos agregados; exclui o fornecimento e transporte do material betuminoso, o transporte dos agregados e o transporte da usina até a pista)</t>
  </si>
  <si>
    <t>RO-40092</t>
  </si>
  <si>
    <t>Transporte de brita para o concreto betuminoso usinado a quente até a usina (volume compactado) DMT = 50 a 77 km</t>
  </si>
  <si>
    <t>RO-41677</t>
  </si>
  <si>
    <t>Transporte de areia para concreto betuminoso usinado a quente até a usina  (volume compactado) DMT = 18 a 27 km</t>
  </si>
  <si>
    <t>RO-41678</t>
  </si>
  <si>
    <t>Transporte de areia para base até a pista (volume compactado) DMT = 55 a 75 km</t>
  </si>
  <si>
    <t>RO-40059</t>
  </si>
  <si>
    <t>Transporte de filler para concreto betuminoso usinado a quente DMT = 120 a 180 km</t>
  </si>
  <si>
    <t>RO-46990</t>
  </si>
  <si>
    <t>Transporte de concreto betuminoso usinado a quente, modificado por asfalto borracha da usina até a pista (volume compactado) DMT = 15 a 25 km</t>
  </si>
  <si>
    <t>RO-15064</t>
  </si>
  <si>
    <t>Transporte de emulsão asfáltica  para imprimação (NÃO COTAR) EAI - DMT = 185 km</t>
  </si>
  <si>
    <t xml:space="preserve">t </t>
  </si>
  <si>
    <t>RO-42221</t>
  </si>
  <si>
    <t>Transporte do material betuminoso ao canteiro de obras (não cotar) - RR-1C DMT = 185 km</t>
  </si>
  <si>
    <t>RO-41832</t>
  </si>
  <si>
    <t>Transporte do material betuminoso ao canteiro de obras (não cotar) - CAP à base de borracha DMT = 185 km</t>
  </si>
  <si>
    <t>Fornecimento, montagem e desmontagem de central de britagem resíduo de ardósia - central complementar</t>
  </si>
  <si>
    <t>RO-32633</t>
  </si>
  <si>
    <t>Fragmentação de blocos de rocha com escavadeira e rompedor hidráulico 1.500 kg desmonte de bloco de ardósia para britagem</t>
  </si>
  <si>
    <t>RO-45096</t>
  </si>
  <si>
    <t>Carga da bica corrida de resíduo de ardósia no britador</t>
  </si>
  <si>
    <t>RO-45095</t>
  </si>
  <si>
    <t>Transporte do resíduo de ardósia até o britador DMT = 0,4 km</t>
  </si>
  <si>
    <t>RO-21211</t>
  </si>
  <si>
    <t>Adicional de custo de Base referente a substituição de 15% de argila por 15% de areia. Nova composição: Base, com mistura na pista, 80% de bica corrida de resíduo de ardósia britado 15% de areia e 5% de argila, compactada na energia do proctor modificado</t>
  </si>
  <si>
    <t>RO-47553</t>
  </si>
  <si>
    <t xml:space="preserve">Adicional de transporte de 20km de brita para o concreto betuminoso usinado a quente até a usina (volume compactado) </t>
  </si>
  <si>
    <t>Emulsão Asfáltica</t>
  </si>
  <si>
    <t>RO-15063</t>
  </si>
  <si>
    <t>Fornecimento de emulsão asfáltica  para imprimação (NÃO COTAR) EAI</t>
  </si>
  <si>
    <t>RO-41810</t>
  </si>
  <si>
    <t>Fornecimento do material betuminoso (não cotar). RR-1C</t>
  </si>
  <si>
    <t>Asfalto Borracha</t>
  </si>
  <si>
    <t>RO-42735</t>
  </si>
  <si>
    <t>Fornecimento do material betuminoso ao canteiro de obras (não cotar) - CAP à base de borracha</t>
  </si>
  <si>
    <t>Obras Complementares e Meio Ambiente</t>
  </si>
  <si>
    <t>RO-41278</t>
  </si>
  <si>
    <t>Cerca de arame farpado, tipo OC.CA-01 (com 4 fios e mourão de madeira com espaçamento de 2,5 metros) ((Execução, incluindo escavação , fornecimento, assentamento e transporte de todos os materiais)</t>
  </si>
  <si>
    <t>RO-43543</t>
  </si>
  <si>
    <t>Cerca de arame farpado com 5 fios e mourão de madeira</t>
  </si>
  <si>
    <t>RO-44937</t>
  </si>
  <si>
    <t>Remanejamento de cerca com aproveitamento de 70% do material (Execução, incluindo fornecimento, assentamento e transporte de todos os materiais)</t>
  </si>
  <si>
    <t>RO-44949</t>
  </si>
  <si>
    <t>Reposição de camada vegetal para  áreas a serem  terraplenadas</t>
  </si>
  <si>
    <t>RO-41396</t>
  </si>
  <si>
    <t>Conformação das caixas de empréstimos e jazidas (Execução, incluindo regularização, fornecimento e transporte de todos os materiais)</t>
  </si>
  <si>
    <t>RO-41401</t>
  </si>
  <si>
    <t>Reposição de camada vegetal em caixa de empréstimo e jazidas</t>
  </si>
  <si>
    <t>RO-44395</t>
  </si>
  <si>
    <t>Transporte da camada vegetal DMT = 0 a 5 km</t>
  </si>
  <si>
    <t>RO-41404</t>
  </si>
  <si>
    <t>Revestimento vegetal com semeadura manual (Execução, incluindo fornecimento e transporte de todos os materiais)</t>
  </si>
  <si>
    <t>RO-41781</t>
  </si>
  <si>
    <t>Arborização com o fornecimento e transporte da muda ((Execução, incluindo escavação, fornecimento e transporte da muda)</t>
  </si>
  <si>
    <t>RO-41400</t>
  </si>
  <si>
    <t>Estocagem da camada vegetal de caixas de emprestimo e jazidas</t>
  </si>
  <si>
    <t>RO-42284</t>
  </si>
  <si>
    <t>Revestimento de taludes com manta vegetal (Execução, incluindo fornecimento e transporte de todos os materiais)</t>
  </si>
  <si>
    <t>RO-42686</t>
  </si>
  <si>
    <t>Reconformação de erosão</t>
  </si>
  <si>
    <t>RO-41409</t>
  </si>
  <si>
    <t>Revestimento vegetal com hidrossemeadura com coveamento (Execução, incluindo fornecimento e transporte de todos os materiais)</t>
  </si>
  <si>
    <t>RO-46986</t>
  </si>
  <si>
    <t>Aplicação de  biomanta de fibra de côco, gramatura de 300g/m² (Execução, incluindo o fornecimento, transporte, colocação e irrigação)</t>
  </si>
  <si>
    <t>RO-41291</t>
  </si>
  <si>
    <t>Remoção de cercas</t>
  </si>
  <si>
    <t>RO-46715</t>
  </si>
  <si>
    <t xml:space="preserve">Cerca de arame liso com 5 fios e mourão de madeira (espaçamento de 2,50 metros) (Execução, incluindo fornecimento, assentamento e transporte de todos os materiais) </t>
  </si>
  <si>
    <t>RO-41030</t>
  </si>
  <si>
    <t>Passagem de gado, tipo OC.PG-01 - corpo (Execução, incluindo guardad-corpo, fornecimento e transporte de todos os materiais, exclusive escavação, compactação e fundação para a passagem de gado)</t>
  </si>
  <si>
    <t>RO-41031</t>
  </si>
  <si>
    <t>Passagem de gado, tipo OC.PG-01 - boca (Execução, incluindo guardad-corpo, fornecimento e transporte de todos os materiais, exclusive escavação, compactação e fundação para a passagem de gado)</t>
  </si>
  <si>
    <t>Sinalização Horizontal</t>
  </si>
  <si>
    <t>RO-42790</t>
  </si>
  <si>
    <t>Linhas de resina acrilica, emulsionada em água,com espessura úmida de 0,5 mm, Largura = 0,15 (Execução, incluindo pré-marcação, fornecimento e transporte de todos os materiais)</t>
  </si>
  <si>
    <t>RO-42791</t>
  </si>
  <si>
    <t>Linhas de resina acrilica, emulsionada em água,com espessura úmida de 0,5 mm, Largura = 0,30 (Execução, incluindo pré-marcação, fornecimento e transporte de todos os materiais)</t>
  </si>
  <si>
    <t>RO-42792</t>
  </si>
  <si>
    <t>Linhas de resina acrilica, emulsionada em água,com espessura úmida de 0,5 mm, Largura &gt; 0,30 (Execução, incluindo pré-marcação, fornecimento e transporte de todos os materiais)</t>
  </si>
  <si>
    <t>RO-43077</t>
  </si>
  <si>
    <t>Setas, símbolos e dizeres de resina acrilica, emulsionada em água,com espessura úmida de 0,5 mm (Execução, incluindo pré-marcação, fornecimento e transporte de todos os materiais)</t>
  </si>
  <si>
    <t>RO-41228</t>
  </si>
  <si>
    <t>Tachão refletivo  tipo SHTRG, com catadióptrico nas duas faces (Execução, incluindo fornecimento, colocação e transporte de todos os materiais)</t>
  </si>
  <si>
    <t>RO-41229</t>
  </si>
  <si>
    <t>Tachão refletivo tipo SHTRG, com catadióptrico em apenas uma face (Execução, incluindo fornecimento, colocação e transporte de todos os materiais)</t>
  </si>
  <si>
    <t>RO-41230</t>
  </si>
  <si>
    <t>Tacha refletiva tipo SHTRP, com catadióptrico nas duas faces (Execução, incluindo fornecimento, colocação e transporte de todos os materiais)</t>
  </si>
  <si>
    <t>RO-41231</t>
  </si>
  <si>
    <t>Tacha refletiva tipo SHTRP, com catadióptrico em apenas uma face (Execução, incluindo fornecimento, colocação e transporte de todos os materiais)</t>
  </si>
  <si>
    <t>Sinalização Vertical</t>
  </si>
  <si>
    <t>RO-43216</t>
  </si>
  <si>
    <t>Defensa metálica simples (Execução, incluindo fornecimento e transporte de todos os materiais e implantação)</t>
  </si>
  <si>
    <t>RO-42977</t>
  </si>
  <si>
    <t>Placa de aço carbono com película refletiva alta intensidade prismática tipo III da ABNT - Placa circular (execução, incluindo fornecimento e transporte de todos os materiais, inclusive postes de sustentação)</t>
  </si>
  <si>
    <t>RO-42978</t>
  </si>
  <si>
    <t>Placa de aço carbono com película refletiva alta intensidade prismática tipo III da ABNT - Placa octogonal (execução, incluindo fornecimento e transporte de todos os materiais, inclusive postes de sustentação)</t>
  </si>
  <si>
    <t>RO-42979</t>
  </si>
  <si>
    <t>Placa de aço carbono com película refletiva alta intensidade prismática tipo III da ABNT - Placa triangular (execução, incluindo fornecimento e transporte de todos os materiais, inclusive postes de sustentação)</t>
  </si>
  <si>
    <t>RO-42980</t>
  </si>
  <si>
    <t>Placa de aço carbono com película refletiva alta intensidade prismática tipo III da ABNT - Placa quadrada (Execução, incluindo fornecimento e transporte de todos os materiais, inclusive postes de sustentação)</t>
  </si>
  <si>
    <t>RO-42981</t>
  </si>
  <si>
    <t>Placa de aço carbono com película refletiva alta intensidade prismática tipo III da ABNT - Placa retangular (Execução, incluindo fornecimento e transporte de todos os materiais, inclusive postes de sustentação)</t>
  </si>
  <si>
    <t>RO-42983</t>
  </si>
  <si>
    <t>Placa de aço carbono com película refletiva alta intensidade prismática tipo III da ABNT - Escudo (Execução, incluindo fornecimento e transporte de todos os materiais, inclusive postes de sustentação)</t>
  </si>
  <si>
    <t>RO-44777</t>
  </si>
  <si>
    <t>Placa de aço carbono com película refletiva alta intensidade prismática tipo III da ABNT  - Marcador de Alinhamento (Execução, incluindo fornecimento e transporte de todos os materiais, inclusive postes de sustentação)</t>
  </si>
  <si>
    <t>RO-44585</t>
  </si>
  <si>
    <t>Placa de aço carbono com película refletiva alta intensidade prismática tipo III da ABNT - Marcador de perigo 0,30x0,90 m (Execução, incluindo fornecimento e transporte de todos os materiais, inclusive poste de sustentação)</t>
  </si>
  <si>
    <t>RO-44586</t>
  </si>
  <si>
    <t>Placa de aço carbono com película refletiva alta intensidade prismática tipo III da ABNT - Marco quilométrico (Execução, incluindo fornecimento e transporte de todos os materiais, inclusive postes de sustentação)</t>
  </si>
  <si>
    <t>RO-45484</t>
  </si>
  <si>
    <t>Cilindro delineador em polietileno injetado (Execução, incluindo fornecimento e transporte de todos os materiais)</t>
  </si>
  <si>
    <t>VALOR TOTAL DO CONTRATO</t>
  </si>
  <si>
    <t>1.0</t>
  </si>
  <si>
    <t>1.1</t>
  </si>
  <si>
    <t>2.0</t>
  </si>
  <si>
    <t>3.0</t>
  </si>
  <si>
    <t>4.0</t>
  </si>
  <si>
    <t>5.0</t>
  </si>
  <si>
    <t>6.0</t>
  </si>
  <si>
    <t>7.0</t>
  </si>
  <si>
    <t>8.0</t>
  </si>
  <si>
    <t>9.0</t>
  </si>
  <si>
    <t>9.1</t>
  </si>
  <si>
    <t>10.0</t>
  </si>
  <si>
    <t>11.0</t>
  </si>
  <si>
    <t>12.0</t>
  </si>
  <si>
    <t>2.1</t>
  </si>
  <si>
    <t>3.1</t>
  </si>
  <si>
    <t>3.2</t>
  </si>
  <si>
    <t>4.1</t>
  </si>
  <si>
    <t>4.2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</si>
  <si>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</si>
  <si>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</si>
  <si>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</si>
  <si>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</si>
  <si>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</si>
  <si>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</si>
  <si>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</si>
  <si>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</si>
  <si>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</si>
  <si>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</si>
  <si>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</si>
  <si>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</si>
  <si>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</si>
  <si>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</si>
  <si>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</si>
  <si>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</si>
  <si>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</si>
  <si>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</si>
  <si>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</si>
  <si>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</si>
  <si>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</si>
  <si>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</si>
  <si>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</si>
  <si>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</si>
  <si>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</si>
  <si>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</si>
  <si>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</si>
  <si>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</si>
  <si>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</si>
  <si>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</si>
  <si>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</si>
  <si>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</si>
  <si>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</si>
  <si>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</si>
  <si>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</si>
  <si>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</si>
  <si>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</si>
  <si>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</si>
  <si>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</si>
  <si>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</si>
  <si>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</si>
  <si>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</si>
  <si>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</si>
  <si>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</si>
  <si>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</si>
  <si>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</si>
  <si>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</si>
  <si>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</si>
  <si>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</si>
  <si>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</si>
  <si>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</si>
  <si>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</si>
  <si>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</si>
  <si>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</si>
  <si>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</si>
  <si>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</si>
  <si>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</si>
  <si>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</si>
  <si>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</si>
  <si>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</si>
  <si>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</si>
  <si>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</si>
  <si>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</si>
  <si>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</si>
  <si>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</si>
  <si>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6.42</t>
  </si>
  <si>
    <t>6.43</t>
  </si>
  <si>
    <t>6.44</t>
  </si>
  <si>
    <t>6.45</t>
  </si>
  <si>
    <t>6.46</t>
  </si>
  <si>
    <t>6.47</t>
  </si>
  <si>
    <t>6.48</t>
  </si>
  <si>
    <t>6.49</t>
  </si>
  <si>
    <t>6.50</t>
  </si>
  <si>
    <t>6.51</t>
  </si>
  <si>
    <t>6.52</t>
  </si>
  <si>
    <t>6.53</t>
  </si>
  <si>
    <t>6.54</t>
  </si>
  <si>
    <t>6.55</t>
  </si>
  <si>
    <t>6.56</t>
  </si>
  <si>
    <t>6.57</t>
  </si>
  <si>
    <t>6.58</t>
  </si>
  <si>
    <t>6.59</t>
  </si>
  <si>
    <t>6.60</t>
  </si>
  <si>
    <t>6.61</t>
  </si>
  <si>
    <t>6.62</t>
  </si>
  <si>
    <t>6.63</t>
  </si>
  <si>
    <t>6.64</t>
  </si>
  <si>
    <t>6.65</t>
  </si>
  <si>
    <t>6.66</t>
  </si>
  <si>
    <t>6.67</t>
  </si>
  <si>
    <t>6.68</t>
  </si>
  <si>
    <t>6.69</t>
  </si>
  <si>
    <t>6.70</t>
  </si>
  <si>
    <t>6.71</t>
  </si>
  <si>
    <t>6.72</t>
  </si>
  <si>
    <t>6.73</t>
  </si>
  <si>
    <t>6.74</t>
  </si>
  <si>
    <t>6.75</t>
  </si>
  <si>
    <t>6.76</t>
  </si>
  <si>
    <t>6.77</t>
  </si>
  <si>
    <t>6.78</t>
  </si>
  <si>
    <t>6.79</t>
  </si>
  <si>
    <t>6.80</t>
  </si>
  <si>
    <t>6.81</t>
  </si>
  <si>
    <t>6.82</t>
  </si>
  <si>
    <t>6.83</t>
  </si>
  <si>
    <t>6.84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</si>
  <si>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</si>
  <si>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</si>
  <si>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</si>
  <si>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</si>
  <si>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</si>
  <si>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</si>
  <si>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</si>
  <si>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</si>
  <si>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</si>
  <si>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</si>
  <si>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</si>
  <si>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</si>
  <si>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</si>
  <si>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</si>
  <si>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</si>
  <si>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</si>
  <si>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</si>
  <si>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</si>
  <si>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</si>
  <si>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</si>
  <si>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</si>
  <si>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</si>
  <si>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</si>
  <si>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</si>
  <si>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</si>
  <si>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</si>
  <si>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</si>
  <si>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</si>
  <si>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</si>
  <si>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7.30</t>
  </si>
  <si>
    <t>7.31</t>
  </si>
  <si>
    <t>8.1</t>
  </si>
  <si>
    <t>8.2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</si>
  <si>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</si>
  <si>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</si>
  <si>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</si>
  <si>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</si>
  <si>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</si>
  <si>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</si>
  <si>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</si>
  <si>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</si>
  <si>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</si>
  <si>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</si>
  <si>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</si>
  <si>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</si>
  <si>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</si>
  <si>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</si>
  <si>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</si>
  <si>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</si>
  <si>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</si>
  <si>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</si>
  <si>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11.1</t>
  </si>
  <si>
    <t>11.2</t>
  </si>
  <si>
    <t>11.3</t>
  </si>
  <si>
    <t>11.4</t>
  </si>
  <si>
    <t>11.5</t>
  </si>
  <si>
    <t>11.6</t>
  </si>
  <si>
    <t>11.7</t>
  </si>
  <si>
    <t>11.8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</si>
  <si>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</si>
  <si>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</si>
  <si>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</si>
  <si>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</si>
  <si>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</si>
  <si>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</si>
  <si>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</si>
  <si>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</si>
  <si>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</si>
  <si>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</si>
  <si>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</si>
  <si>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13.0</t>
  </si>
  <si>
    <t>13.1</t>
  </si>
  <si>
    <t>13.2</t>
  </si>
  <si>
    <t>13.3</t>
  </si>
  <si>
    <t>13.4</t>
  </si>
  <si>
    <t>RO-43917</t>
  </si>
  <si>
    <t>RO-43918</t>
  </si>
  <si>
    <t>RO-29079</t>
  </si>
  <si>
    <t>RO-43916</t>
  </si>
  <si>
    <t>Fornecimento de material betuminoso</t>
  </si>
  <si>
    <t>Transporte de material betuminoso</t>
  </si>
  <si>
    <t>Remanejamento de serviços públicos</t>
  </si>
  <si>
    <t>Indenização de Jazida</t>
  </si>
  <si>
    <t>SI</t>
  </si>
  <si>
    <t>U</t>
  </si>
  <si>
    <t>1º Aditivo</t>
  </si>
  <si>
    <t>2º Aditivo</t>
  </si>
  <si>
    <t>Genérico geogrelha de poliéster com resistência à tração característica de 600 kn/m e deformação máxima de 10%.</t>
  </si>
  <si>
    <t>3º Aditivo</t>
  </si>
  <si>
    <t>Sarjeta de concreto em corte tipo DR.SCC-x/y. Largura = 80 cm tipo 70/15 (Execução, incluindo escavação, fornecimento e transporte de todos os materiais)</t>
  </si>
  <si>
    <t>RO-40657</t>
  </si>
  <si>
    <t>Descida d'água de concreto em aterro em degraus, tipo DR.DSA- 03A, com largura = 3,70m</t>
  </si>
  <si>
    <t>Sarjeta para passagem de veículos ( SPV - Da RT-01.47c) - SPV-01</t>
  </si>
  <si>
    <t>RO-46147</t>
  </si>
  <si>
    <t>RO-46453</t>
  </si>
  <si>
    <t>RO-40295</t>
  </si>
  <si>
    <t>RO-42870</t>
  </si>
  <si>
    <t>RO-45346</t>
  </si>
  <si>
    <t>RO-46148</t>
  </si>
  <si>
    <t>RO-46168</t>
  </si>
  <si>
    <t>RO-47065</t>
  </si>
  <si>
    <t>RO-40310</t>
  </si>
  <si>
    <t>Caixa Coletora de Sarjeta em Concreto (CCC - Da - RT-01.47c) - Tipo CCC-01, para Ø=80 cm,  com  2,50 m &lt; H &lt;= 3,00 m (Execução, incluindo o fornecimento e transporte dos materiais)</t>
  </si>
  <si>
    <t>Bueiro duplo tubular de concreto, classe CA-1. BDTC Ø 1,20 m - corpo (Execução, incluindo fornecimento e transporte de todos os materiais e berço, exclusive escavação e compactação)</t>
  </si>
  <si>
    <t>Dissipador de energia para saídas de bueiros tubulares e descidas d'água de aterros, padrão DNIT, para BDTC ø 1,20 m, tipo DEB-09, conforme álbum DNIT-2006 - IPR-725 (Execução, incluindo fornecimento e transporte de todos os materiais, inclusive escavação)</t>
  </si>
  <si>
    <t>Tampa de concreto armado para caixa coletora simples, tipo DR. CX-01</t>
  </si>
  <si>
    <t>Dispersor para descida d'água, tipo DR.DSA-03, com largura = 3,70m</t>
  </si>
  <si>
    <t>Sarjeta de Concreto em Canteiro Central (SCT - Da RT-01.47c) - SCT-03 (Execução, incluindo o fornecimento e transporte dos materiais)</t>
  </si>
  <si>
    <t>Bueiro duplo tubular de concreto, BDTC Ø 1,20 m - boca (Execução, incluindo fornecimento e transporte de todos os materiais, exclusive escavação e compactação)</t>
  </si>
  <si>
    <t>6.85</t>
  </si>
  <si>
    <t>6.86</t>
  </si>
  <si>
    <t>6.87</t>
  </si>
  <si>
    <t>6.88</t>
  </si>
  <si>
    <t>6.89</t>
  </si>
  <si>
    <t>6.90</t>
  </si>
  <si>
    <t>6.91</t>
  </si>
  <si>
    <t>6.92</t>
  </si>
  <si>
    <t>6.93</t>
  </si>
  <si>
    <t>6.94</t>
  </si>
  <si>
    <t>RO-43119</t>
  </si>
  <si>
    <t>RO-43120</t>
  </si>
  <si>
    <t>Passagem de gado, tipo OC.PG-02 - corpo</t>
  </si>
  <si>
    <t>Passagem de gado, tipo OC.PG-02 - boca</t>
  </si>
  <si>
    <t>Serviços Indenizáveis (SI)</t>
  </si>
  <si>
    <t>10.19</t>
  </si>
  <si>
    <t>10.20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</si>
</sst>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#,##0.000"/>
    <numFmt numFmtId="168" formatCode="_-* #,##0.000_-;\-* #,##0.000_-;_-* &quot;-&quot;??_-;_-@_-"/>
    <numFmt numFmtId="169" formatCode="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1" fillId="0" borderId="0"/>
    <xf numFmtId="0" fontId="5" fillId="0" borderId="0"/>
    <xf numFmtId="0" fontId="1" fillId="0" borderId="0"/>
    <xf numFmtId="44" fontId="6" fillId="0" borderId="0" applyFont="0" applyFill="0" applyBorder="0" applyAlignment="0" applyProtection="0"/>
    <xf numFmtId="0" fontId="11" fillId="0" borderId="0"/>
    <xf numFmtId="9" fontId="6" fillId="0" borderId="0" applyFont="0" applyFill="0" applyBorder="0" applyAlignment="0" applyProtection="0"/>
    <xf numFmtId="0" fontId="1" fillId="0" borderId="0"/>
    <xf numFmtId="44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8" fillId="0" borderId="0" xfId="3" applyNumberFormat="1" applyFont="1" applyFill="1" applyBorder="1" applyAlignment="1">
      <alignment vertical="center"/>
    </xf>
    <xf numFmtId="168" fontId="7" fillId="2" borderId="6" xfId="2" applyNumberFormat="1" applyFont="1" applyFill="1" applyBorder="1" applyAlignment="1">
      <alignment horizontal="center" vertical="center"/>
    </xf>
    <xf numFmtId="44" fontId="7" fillId="2" borderId="6" xfId="1" applyFont="1" applyFill="1" applyBorder="1" applyAlignment="1">
      <alignment horizontal="center" vertical="center"/>
    </xf>
    <xf numFmtId="0" fontId="3" fillId="3" borderId="6" xfId="3" quotePrefix="1" applyNumberFormat="1" applyFont="1" applyFill="1" applyBorder="1" applyAlignment="1">
      <alignment horizontal="center" vertical="center"/>
    </xf>
    <xf numFmtId="0" fontId="3" fillId="3" borderId="7" xfId="4" applyFont="1" applyFill="1" applyBorder="1" applyAlignment="1">
      <alignment horizontal="center" vertical="center"/>
    </xf>
    <xf numFmtId="0" fontId="7" fillId="3" borderId="6" xfId="3" applyNumberFormat="1" applyFont="1" applyFill="1" applyBorder="1" applyAlignment="1">
      <alignment vertical="center" wrapText="1"/>
    </xf>
    <xf numFmtId="0" fontId="7" fillId="3" borderId="6" xfId="3" applyNumberFormat="1" applyFont="1" applyFill="1" applyBorder="1" applyAlignment="1">
      <alignment horizontal="center" vertical="center"/>
    </xf>
    <xf numFmtId="44" fontId="7" fillId="3" borderId="6" xfId="1" applyFont="1" applyFill="1" applyBorder="1" applyAlignment="1">
      <alignment vertical="center"/>
    </xf>
    <xf numFmtId="165" fontId="7" fillId="3" borderId="6" xfId="2" applyNumberFormat="1" applyFont="1" applyFill="1" applyBorder="1" applyAlignment="1">
      <alignment vertical="center"/>
    </xf>
    <xf numFmtId="168" fontId="7" fillId="3" borderId="6" xfId="2" applyNumberFormat="1" applyFont="1" applyFill="1" applyBorder="1" applyAlignment="1">
      <alignment vertical="center"/>
    </xf>
    <xf numFmtId="0" fontId="3" fillId="3" borderId="0" xfId="3" applyNumberFormat="1" applyFont="1" applyFill="1" applyBorder="1" applyAlignment="1">
      <alignment vertical="center"/>
    </xf>
    <xf numFmtId="0" fontId="8" fillId="0" borderId="6" xfId="3" quotePrefix="1" applyNumberFormat="1" applyFont="1" applyFill="1" applyBorder="1" applyAlignment="1">
      <alignment horizontal="center" vertical="center"/>
    </xf>
    <xf numFmtId="169" fontId="9" fillId="4" borderId="6" xfId="3" applyNumberFormat="1" applyFont="1" applyFill="1" applyBorder="1" applyAlignment="1">
      <alignment horizontal="center" vertical="center"/>
    </xf>
    <xf numFmtId="0" fontId="9" fillId="4" borderId="6" xfId="3" applyNumberFormat="1" applyFont="1" applyFill="1" applyBorder="1" applyAlignment="1">
      <alignment vertical="center" wrapText="1"/>
    </xf>
    <xf numFmtId="0" fontId="9" fillId="4" borderId="6" xfId="3" applyNumberFormat="1" applyFont="1" applyFill="1" applyBorder="1" applyAlignment="1">
      <alignment horizontal="center" vertical="center" wrapText="1"/>
    </xf>
    <xf numFmtId="44" fontId="9" fillId="4" borderId="6" xfId="3" applyNumberFormat="1" applyFont="1" applyFill="1" applyBorder="1" applyAlignment="1">
      <alignment vertical="center" wrapText="1"/>
    </xf>
    <xf numFmtId="4" fontId="9" fillId="4" borderId="6" xfId="3" applyNumberFormat="1" applyFont="1" applyFill="1" applyBorder="1" applyAlignment="1">
      <alignment vertical="center" wrapText="1"/>
    </xf>
    <xf numFmtId="165" fontId="9" fillId="4" borderId="6" xfId="3" applyNumberFormat="1" applyFont="1" applyFill="1" applyBorder="1" applyAlignment="1">
      <alignment vertical="center" wrapText="1"/>
    </xf>
    <xf numFmtId="44" fontId="9" fillId="4" borderId="6" xfId="1" applyFont="1" applyFill="1" applyBorder="1" applyAlignment="1">
      <alignment vertical="center"/>
    </xf>
    <xf numFmtId="169" fontId="7" fillId="3" borderId="6" xfId="3" applyNumberFormat="1" applyFont="1" applyFill="1" applyBorder="1" applyAlignment="1">
      <alignment horizontal="center" vertical="center"/>
    </xf>
    <xf numFmtId="169" fontId="7" fillId="3" borderId="6" xfId="3" applyNumberFormat="1" applyFont="1" applyFill="1" applyBorder="1" applyAlignment="1">
      <alignment horizontal="left" vertical="center"/>
    </xf>
    <xf numFmtId="0" fontId="7" fillId="3" borderId="6" xfId="3" applyNumberFormat="1" applyFont="1" applyFill="1" applyBorder="1" applyAlignment="1">
      <alignment horizontal="center" vertical="center" wrapText="1"/>
    </xf>
    <xf numFmtId="44" fontId="7" fillId="3" borderId="6" xfId="3" applyNumberFormat="1" applyFont="1" applyFill="1" applyBorder="1" applyAlignment="1">
      <alignment vertical="center" wrapText="1"/>
    </xf>
    <xf numFmtId="165" fontId="7" fillId="3" borderId="6" xfId="3" applyNumberFormat="1" applyFont="1" applyFill="1" applyBorder="1" applyAlignment="1">
      <alignment vertical="center" wrapText="1"/>
    </xf>
    <xf numFmtId="0" fontId="8" fillId="0" borderId="6" xfId="3" applyNumberFormat="1" applyFont="1" applyFill="1" applyBorder="1" applyAlignment="1">
      <alignment horizontal="center" vertical="center"/>
    </xf>
    <xf numFmtId="0" fontId="9" fillId="4" borderId="6" xfId="3" applyNumberFormat="1" applyFont="1" applyFill="1" applyBorder="1" applyAlignment="1">
      <alignment horizontal="center" vertical="center"/>
    </xf>
    <xf numFmtId="169" fontId="9" fillId="4" borderId="6" xfId="3" applyNumberFormat="1" applyFont="1" applyFill="1" applyBorder="1" applyAlignment="1">
      <alignment horizontal="left" vertical="center"/>
    </xf>
    <xf numFmtId="165" fontId="9" fillId="4" borderId="6" xfId="2" applyNumberFormat="1" applyFont="1" applyFill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8" fillId="0" borderId="4" xfId="3" quotePrefix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44" fontId="2" fillId="0" borderId="6" xfId="0" applyNumberFormat="1" applyFont="1" applyBorder="1" applyAlignment="1">
      <alignment vertical="center" wrapText="1"/>
    </xf>
    <xf numFmtId="165" fontId="2" fillId="0" borderId="6" xfId="0" applyNumberFormat="1" applyFont="1" applyBorder="1" applyAlignment="1">
      <alignment vertical="center" wrapText="1"/>
    </xf>
    <xf numFmtId="0" fontId="3" fillId="3" borderId="7" xfId="4" applyFont="1" applyFill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7" fillId="3" borderId="6" xfId="3" applyNumberFormat="1" applyFont="1" applyFill="1" applyBorder="1" applyAlignment="1">
      <alignment horizontal="left" vertical="center"/>
    </xf>
    <xf numFmtId="0" fontId="3" fillId="0" borderId="6" xfId="3" quotePrefix="1" applyNumberFormat="1" applyFont="1" applyFill="1" applyBorder="1" applyAlignment="1">
      <alignment horizontal="center" vertical="center"/>
    </xf>
    <xf numFmtId="169" fontId="7" fillId="4" borderId="6" xfId="3" applyNumberFormat="1" applyFont="1" applyFill="1" applyBorder="1" applyAlignment="1">
      <alignment horizontal="center" vertical="center"/>
    </xf>
    <xf numFmtId="0" fontId="7" fillId="4" borderId="1" xfId="3" applyNumberFormat="1" applyFont="1" applyFill="1" applyBorder="1" applyAlignment="1">
      <alignment vertical="center" wrapText="1"/>
    </xf>
    <xf numFmtId="0" fontId="7" fillId="4" borderId="2" xfId="3" applyNumberFormat="1" applyFont="1" applyFill="1" applyBorder="1" applyAlignment="1">
      <alignment vertical="center" wrapText="1"/>
    </xf>
    <xf numFmtId="0" fontId="9" fillId="4" borderId="2" xfId="3" applyNumberFormat="1" applyFont="1" applyFill="1" applyBorder="1" applyAlignment="1">
      <alignment vertical="center" wrapText="1"/>
    </xf>
    <xf numFmtId="44" fontId="9" fillId="4" borderId="2" xfId="1" applyFont="1" applyFill="1" applyBorder="1" applyAlignment="1">
      <alignment vertical="center"/>
    </xf>
    <xf numFmtId="44" fontId="9" fillId="4" borderId="3" xfId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8" fillId="0" borderId="0" xfId="3" applyNumberFormat="1" applyFont="1" applyFill="1" applyBorder="1" applyAlignment="1">
      <alignment vertical="center" wrapText="1"/>
    </xf>
    <xf numFmtId="44" fontId="8" fillId="0" borderId="0" xfId="1" applyFont="1" applyFill="1" applyBorder="1" applyAlignment="1">
      <alignment vertical="center"/>
    </xf>
    <xf numFmtId="168" fontId="8" fillId="0" borderId="0" xfId="2" applyNumberFormat="1" applyFont="1" applyFill="1" applyBorder="1" applyAlignment="1">
      <alignment vertical="center"/>
    </xf>
    <xf numFmtId="14" fontId="7" fillId="2" borderId="6" xfId="2" applyNumberFormat="1" applyFont="1" applyFill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169" fontId="8" fillId="4" borderId="6" xfId="5" applyNumberFormat="1" applyFont="1" applyFill="1" applyBorder="1" applyAlignment="1">
      <alignment horizontal="center" vertical="center"/>
    </xf>
    <xf numFmtId="0" fontId="8" fillId="4" borderId="6" xfId="5" applyNumberFormat="1" applyFont="1" applyFill="1" applyBorder="1" applyAlignment="1">
      <alignment horizontal="center" vertical="center"/>
    </xf>
    <xf numFmtId="168" fontId="7" fillId="2" borderId="4" xfId="2" applyNumberFormat="1" applyFont="1" applyFill="1" applyBorder="1" applyAlignment="1">
      <alignment horizontal="center" vertical="center"/>
    </xf>
    <xf numFmtId="168" fontId="7" fillId="2" borderId="5" xfId="2" applyNumberFormat="1" applyFont="1" applyFill="1" applyBorder="1" applyAlignment="1">
      <alignment horizontal="center" vertical="center"/>
    </xf>
    <xf numFmtId="44" fontId="7" fillId="2" borderId="4" xfId="1" applyFont="1" applyFill="1" applyBorder="1" applyAlignment="1">
      <alignment horizontal="center" vertical="center"/>
    </xf>
    <xf numFmtId="44" fontId="7" fillId="2" borderId="5" xfId="1" applyFont="1" applyFill="1" applyBorder="1" applyAlignment="1">
      <alignment horizontal="center" vertical="center"/>
    </xf>
    <xf numFmtId="0" fontId="3" fillId="3" borderId="1" xfId="3" applyNumberFormat="1" applyFont="1" applyFill="1" applyBorder="1" applyAlignment="1">
      <alignment horizontal="right" vertical="center"/>
    </xf>
    <xf numFmtId="0" fontId="3" fillId="3" borderId="2" xfId="3" applyNumberFormat="1" applyFont="1" applyFill="1" applyBorder="1" applyAlignment="1">
      <alignment horizontal="right" vertical="center"/>
    </xf>
    <xf numFmtId="0" fontId="3" fillId="3" borderId="3" xfId="3" applyNumberFormat="1" applyFont="1" applyFill="1" applyBorder="1" applyAlignment="1">
      <alignment horizontal="right" vertical="center"/>
    </xf>
    <xf numFmtId="0" fontId="7" fillId="2" borderId="1" xfId="3" applyNumberFormat="1" applyFont="1" applyFill="1" applyBorder="1" applyAlignment="1">
      <alignment horizontal="center" vertical="center"/>
    </xf>
    <xf numFmtId="0" fontId="7" fillId="2" borderId="2" xfId="3" applyNumberFormat="1" applyFont="1" applyFill="1" applyBorder="1" applyAlignment="1">
      <alignment horizontal="center" vertical="center"/>
    </xf>
    <xf numFmtId="0" fontId="7" fillId="2" borderId="3" xfId="3" applyNumberFormat="1" applyFont="1" applyFill="1" applyBorder="1" applyAlignment="1">
      <alignment horizontal="center" vertical="center"/>
    </xf>
    <xf numFmtId="0" fontId="7" fillId="2" borderId="4" xfId="3" applyNumberFormat="1" applyFont="1" applyFill="1" applyBorder="1" applyAlignment="1">
      <alignment horizontal="center" vertical="center"/>
    </xf>
    <xf numFmtId="0" fontId="7" fillId="2" borderId="8" xfId="3" applyNumberFormat="1" applyFont="1" applyFill="1" applyBorder="1" applyAlignment="1">
      <alignment horizontal="center" vertical="center"/>
    </xf>
    <xf numFmtId="0" fontId="7" fillId="2" borderId="5" xfId="3" applyNumberFormat="1" applyFont="1" applyFill="1" applyBorder="1" applyAlignment="1">
      <alignment horizontal="center" vertical="center"/>
    </xf>
    <xf numFmtId="0" fontId="7" fillId="2" borderId="4" xfId="3" applyNumberFormat="1" applyFont="1" applyFill="1" applyBorder="1" applyAlignment="1">
      <alignment horizontal="center" vertical="center" wrapText="1"/>
    </xf>
    <xf numFmtId="0" fontId="7" fillId="2" borderId="8" xfId="3" applyNumberFormat="1" applyFont="1" applyFill="1" applyBorder="1" applyAlignment="1">
      <alignment horizontal="center" vertical="center" wrapText="1"/>
    </xf>
    <xf numFmtId="0" fontId="7" fillId="2" borderId="5" xfId="3" applyNumberFormat="1" applyFont="1" applyFill="1" applyBorder="1" applyAlignment="1">
      <alignment horizontal="center" vertical="center" wrapText="1"/>
    </xf>
    <xf numFmtId="44" fontId="7" fillId="2" borderId="8" xfId="1" applyFont="1" applyFill="1" applyBorder="1" applyAlignment="1">
      <alignment horizontal="center" vertical="center"/>
    </xf>
    <xf numFmtId="168" fontId="7" fillId="2" borderId="1" xfId="2" applyNumberFormat="1" applyFont="1" applyFill="1" applyBorder="1" applyAlignment="1">
      <alignment horizontal="center" vertical="center"/>
    </xf>
    <xf numFmtId="168" fontId="7" fillId="2" borderId="2" xfId="2" applyNumberFormat="1" applyFont="1" applyFill="1" applyBorder="1" applyAlignment="1">
      <alignment horizontal="center" vertical="center"/>
    </xf>
    <xf numFmtId="168" fontId="7" fillId="2" borderId="3" xfId="2" applyNumberFormat="1" applyFont="1" applyFill="1" applyBorder="1" applyAlignment="1">
      <alignment horizontal="center" vertical="center"/>
    </xf>
    <xf numFmtId="44" fontId="7" fillId="2" borderId="1" xfId="1" applyFont="1" applyFill="1" applyBorder="1" applyAlignment="1">
      <alignment horizontal="center" vertical="center"/>
    </xf>
    <xf numFmtId="44" fontId="7" fillId="2" borderId="2" xfId="1" applyFont="1" applyFill="1" applyBorder="1" applyAlignment="1">
      <alignment horizontal="center" vertical="center"/>
    </xf>
    <xf numFmtId="44" fontId="7" fillId="2" borderId="3" xfId="1" applyFont="1" applyFill="1" applyBorder="1" applyAlignment="1">
      <alignment horizontal="center" vertical="center"/>
    </xf>
  </cellXfs>
  <cellStyles count="26">
    <cellStyle name="Hiperlink" xfId="5" builtinId="8"/>
    <cellStyle name="Moeda" xfId="1" builtinId="4"/>
    <cellStyle name="Moeda 2" xfId="13" xr:uid="{A878E37E-1E48-4784-BE10-A1B7E712BC51}"/>
    <cellStyle name="Moeda 2 2" xfId="23" xr:uid="{CE8EADA7-96A0-4A8B-98B6-0F1908C6290F}"/>
    <cellStyle name="Moeda 3" xfId="16" xr:uid="{EFCF2385-E107-4207-8830-B0663E7A4919}"/>
    <cellStyle name="Moeda 4" xfId="9" xr:uid="{47BDE994-AF3F-483C-B965-AD3C94E4A47D}"/>
    <cellStyle name="Normal" xfId="0" builtinId="0"/>
    <cellStyle name="Normal 2" xfId="7" xr:uid="{041DE5D4-DB2D-4CFF-A9C5-3D1439A0C164}"/>
    <cellStyle name="Normal 2 2" xfId="18" xr:uid="{E564E162-004C-41CA-A6B4-DCBE482849DE}"/>
    <cellStyle name="Normal 2 3" xfId="4" xr:uid="{EB8A4EC2-6174-49C8-87CA-2ADA4E2F3448}"/>
    <cellStyle name="Normal 3" xfId="8" xr:uid="{B4C618DB-C418-4D07-BB3E-0E9F31A7D46D}"/>
    <cellStyle name="Normal 4" xfId="10" xr:uid="{3C50ED32-8394-4B46-AC01-D1901E1F22B3}"/>
    <cellStyle name="Normal 5" xfId="12" xr:uid="{98B5A0A5-B4ED-40E2-9520-831750853770}"/>
    <cellStyle name="Normal 6" xfId="6" xr:uid="{E9E7D319-2231-47F3-9D3F-61212DC5824D}"/>
    <cellStyle name="Normal 7" xfId="3" xr:uid="{66AFC556-0946-481E-A039-D70D3A09142E}"/>
    <cellStyle name="Normal 7 2" xfId="17" xr:uid="{8CD58FA6-B7D7-41E9-B63E-710EEEFB289E}"/>
    <cellStyle name="Normal 7 3" xfId="20" xr:uid="{5993E933-2FD7-485D-AD48-F9CBB4D7C0AF}"/>
    <cellStyle name="Normal 7 4" xfId="24" xr:uid="{48C7EE8E-65E6-4FD0-97E8-DC34E7B5B968}"/>
    <cellStyle name="Normal 7 5" xfId="14" xr:uid="{34C1BB4A-2DEA-4EC5-A7E3-FD4F6D2442A8}"/>
    <cellStyle name="Normal 8" xfId="21" xr:uid="{3069D75D-B42A-4F9E-B9AA-C49D4325F433}"/>
    <cellStyle name="Porcentagem 2" xfId="15" xr:uid="{ADF9D0CF-5E87-4738-9419-F3F376687CF4}"/>
    <cellStyle name="Porcentagem 2 2" xfId="19" xr:uid="{B897298A-3649-46DB-9F58-6BCF319CCFC1}"/>
    <cellStyle name="Porcentagem 2 3" xfId="25" xr:uid="{66E9D49C-0163-49E1-9C08-BE91AA9FEE04}"/>
    <cellStyle name="Porcentagem 3" xfId="11" xr:uid="{12AF3A88-B66C-4950-BF9E-940CBA87EFC6}"/>
    <cellStyle name="Vírgula" xfId="2" builtinId="3"/>
    <cellStyle name="Vírgula 2" xfId="22" xr:uid="{51D06CD4-00A9-4072-811E-90910626C6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A36E-77BE-48B8-B223-6FCB4BED23FE}">
  <sheetPr codeName="Planilha71"/>
  <dimension ref="A1:O220"/>
  <sheetViews>
    <sheetView tabSelected="1" workbookViewId="0">
      <selection activeCell="C117" sqref="C117"/>
    </sheetView>
  </sheetViews>
  <sheetFormatPr defaultColWidth="8.85546875" defaultRowHeight="19.899999999999999" customHeight="1" outlineLevelRow="1" x14ac:dyDescent="0.25"/>
  <cols>
    <col min="1" max="1" width="11.7109375" style="44" bestFit="1" customWidth="1"/>
    <col min="2" max="2" width="10" style="44" bestFit="1" customWidth="1"/>
    <col min="3" max="3" width="66.28515625" style="45" customWidth="1"/>
    <col min="4" max="4" width="6.42578125" style="44" bestFit="1" customWidth="1"/>
    <col min="5" max="5" width="16.7109375" style="46" bestFit="1" customWidth="1"/>
    <col min="6" max="10" width="15.7109375" style="47" customWidth="1"/>
    <col min="11" max="11" width="20.7109375" style="46" customWidth="1"/>
    <col min="12" max="14" width="15.7109375" style="46" customWidth="1"/>
    <col min="15" max="15" width="20.7109375" style="46" customWidth="1"/>
    <col min="16" max="16384" width="8.85546875" style="1"/>
  </cols>
  <sheetData>
    <row r="1" spans="1:15" ht="19.899999999999999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1"/>
    </row>
    <row r="2" spans="1:15" ht="19.899999999999999" customHeight="1" x14ac:dyDescent="0.25">
      <c r="A2" s="62" t="s">
        <v>1</v>
      </c>
      <c r="B2" s="62" t="s">
        <v>2</v>
      </c>
      <c r="C2" s="65" t="s">
        <v>3</v>
      </c>
      <c r="D2" s="62" t="s">
        <v>4</v>
      </c>
      <c r="E2" s="54" t="s">
        <v>5</v>
      </c>
      <c r="F2" s="69" t="s">
        <v>6</v>
      </c>
      <c r="G2" s="70"/>
      <c r="H2" s="70"/>
      <c r="I2" s="70"/>
      <c r="J2" s="71"/>
      <c r="K2" s="72" t="s">
        <v>7</v>
      </c>
      <c r="L2" s="73"/>
      <c r="M2" s="73"/>
      <c r="N2" s="73"/>
      <c r="O2" s="74"/>
    </row>
    <row r="3" spans="1:15" ht="19.899999999999999" customHeight="1" x14ac:dyDescent="0.25">
      <c r="A3" s="63"/>
      <c r="B3" s="63"/>
      <c r="C3" s="66"/>
      <c r="D3" s="63"/>
      <c r="E3" s="68"/>
      <c r="F3" s="52" t="s">
        <v>8</v>
      </c>
      <c r="G3" s="2" t="s">
        <v>613</v>
      </c>
      <c r="H3" s="2" t="s">
        <v>614</v>
      </c>
      <c r="I3" s="2" t="s">
        <v>616</v>
      </c>
      <c r="J3" s="2" t="s">
        <v>9</v>
      </c>
      <c r="K3" s="54" t="s">
        <v>8</v>
      </c>
      <c r="L3" s="2" t="s">
        <v>613</v>
      </c>
      <c r="M3" s="2" t="s">
        <v>614</v>
      </c>
      <c r="N3" s="2" t="s">
        <v>616</v>
      </c>
      <c r="O3" s="3" t="s">
        <v>9</v>
      </c>
    </row>
    <row r="4" spans="1:15" ht="19.899999999999999" customHeight="1" x14ac:dyDescent="0.25">
      <c r="A4" s="64"/>
      <c r="B4" s="64"/>
      <c r="C4" s="67"/>
      <c r="D4" s="64"/>
      <c r="E4" s="55"/>
      <c r="F4" s="53"/>
      <c r="G4" s="48">
        <v>45189</v>
      </c>
      <c r="H4" s="48">
        <v>45401</v>
      </c>
      <c r="I4" s="48">
        <v>45463</v>
      </c>
      <c r="J4" s="2" t="s">
        <v>9</v>
      </c>
      <c r="K4" s="55"/>
      <c r="L4" s="48">
        <v>45189</v>
      </c>
      <c r="M4" s="48">
        <v>45401</v>
      </c>
      <c r="N4" s="48">
        <v>45463</v>
      </c>
      <c r="O4" s="3" t="s">
        <v>9</v>
      </c>
    </row>
    <row r="5" spans="1:15" s="11" customFormat="1" ht="19.899999999999999" customHeight="1" x14ac:dyDescent="0.25">
      <c r="A5" s="4" t="s">
        <v>401</v>
      </c>
      <c r="B5" s="5">
        <v>169</v>
      </c>
      <c r="C5" s="6" t="s">
        <v>10</v>
      </c>
      <c r="D5" s="7"/>
      <c r="E5" s="8"/>
      <c r="F5" s="9"/>
      <c r="G5" s="9"/>
      <c r="H5" s="9"/>
      <c r="I5" s="9"/>
      <c r="J5" s="10"/>
      <c r="K5" s="8">
        <f>SUM(K6)</f>
        <v>2114130.36</v>
      </c>
      <c r="L5" s="8">
        <f t="shared" ref="L5:O5" si="0">SUM(L6)</f>
        <v>0</v>
      </c>
      <c r="M5" s="8">
        <f t="shared" si="0"/>
        <v>0</v>
      </c>
      <c r="N5" s="8">
        <f t="shared" si="0"/>
        <v>0</v>
      </c>
      <c r="O5" s="8">
        <f t="shared" si="0"/>
        <v>2114130.36</v>
      </c>
    </row>
    <row r="6" spans="1:15" ht="19.899999999999999" customHeight="1" outlineLevel="1" x14ac:dyDescent="0.25">
      <c r="A6" s="12" t="s">
        <v>402</v>
      </c>
      <c r="B6" s="13" t="s">
        <v>11</v>
      </c>
      <c r="C6" s="14" t="s">
        <v>12</v>
      </c>
      <c r="D6" s="15" t="s">
        <v>13</v>
      </c>
      <c r="E6" s="16">
        <v>2114130.36</v>
      </c>
      <c r="F6" s="18">
        <v>1</v>
      </c>
      <c r="G6" s="18"/>
      <c r="H6" s="18"/>
      <c r="I6" s="18"/>
      <c r="J6" s="17">
        <f>SUM(F6:I6)</f>
        <v>1</v>
      </c>
      <c r="K6" s="19">
        <f>TRUNC(F6*$E6,2)</f>
        <v>2114130.36</v>
      </c>
      <c r="L6" s="19">
        <f t="shared" ref="L6:O6" si="1">TRUNC(G6*$E6,2)</f>
        <v>0</v>
      </c>
      <c r="M6" s="19">
        <f t="shared" si="1"/>
        <v>0</v>
      </c>
      <c r="N6" s="19">
        <f t="shared" si="1"/>
        <v>0</v>
      </c>
      <c r="O6" s="19">
        <f t="shared" si="1"/>
        <v>2114130.36</v>
      </c>
    </row>
    <row r="7" spans="1:15" s="11" customFormat="1" ht="19.899999999999999" customHeight="1" x14ac:dyDescent="0.25">
      <c r="A7" s="4" t="s">
        <v>403</v>
      </c>
      <c r="B7" s="20">
        <v>171</v>
      </c>
      <c r="C7" s="21" t="s">
        <v>14</v>
      </c>
      <c r="D7" s="22"/>
      <c r="E7" s="23"/>
      <c r="F7" s="24"/>
      <c r="G7" s="24"/>
      <c r="H7" s="24"/>
      <c r="I7" s="24"/>
      <c r="J7" s="6"/>
      <c r="K7" s="8">
        <f>SUM(K8)</f>
        <v>103175.93</v>
      </c>
      <c r="L7" s="8">
        <f t="shared" ref="L7:O7" si="2">SUM(L8)</f>
        <v>0</v>
      </c>
      <c r="M7" s="8">
        <f t="shared" si="2"/>
        <v>0</v>
      </c>
      <c r="N7" s="8">
        <f t="shared" si="2"/>
        <v>0</v>
      </c>
      <c r="O7" s="8">
        <f t="shared" si="2"/>
        <v>103175.93</v>
      </c>
    </row>
    <row r="8" spans="1:15" ht="19.899999999999999" customHeight="1" outlineLevel="1" x14ac:dyDescent="0.25">
      <c r="A8" s="25" t="s">
        <v>415</v>
      </c>
      <c r="B8" s="26" t="s">
        <v>15</v>
      </c>
      <c r="C8" s="27" t="s">
        <v>16</v>
      </c>
      <c r="D8" s="26" t="s">
        <v>13</v>
      </c>
      <c r="E8" s="19">
        <v>103175.93</v>
      </c>
      <c r="F8" s="28">
        <v>1</v>
      </c>
      <c r="G8" s="28"/>
      <c r="H8" s="28"/>
      <c r="I8" s="28"/>
      <c r="J8" s="17">
        <f>SUM(F8:I8)</f>
        <v>1</v>
      </c>
      <c r="K8" s="19">
        <f>TRUNC(F8*$E8,2)</f>
        <v>103175.93</v>
      </c>
      <c r="L8" s="19">
        <f t="shared" ref="L8:O8" si="3">TRUNC(G8*$E8,2)</f>
        <v>0</v>
      </c>
      <c r="M8" s="19">
        <f t="shared" si="3"/>
        <v>0</v>
      </c>
      <c r="N8" s="19">
        <f t="shared" si="3"/>
        <v>0</v>
      </c>
      <c r="O8" s="19">
        <f t="shared" si="3"/>
        <v>103175.93</v>
      </c>
    </row>
    <row r="9" spans="1:15" s="11" customFormat="1" ht="19.899999999999999" customHeight="1" x14ac:dyDescent="0.25">
      <c r="A9" s="4" t="s">
        <v>404</v>
      </c>
      <c r="B9" s="20">
        <v>173</v>
      </c>
      <c r="C9" s="21" t="s">
        <v>17</v>
      </c>
      <c r="D9" s="22"/>
      <c r="E9" s="23"/>
      <c r="F9" s="24"/>
      <c r="G9" s="24"/>
      <c r="H9" s="24"/>
      <c r="I9" s="24"/>
      <c r="J9" s="6"/>
      <c r="K9" s="8">
        <f>SUM(K10:K11)</f>
        <v>743259.17999999993</v>
      </c>
      <c r="L9" s="8">
        <f t="shared" ref="L9:O9" si="4">SUM(L10:L11)</f>
        <v>0</v>
      </c>
      <c r="M9" s="8">
        <f t="shared" si="4"/>
        <v>0</v>
      </c>
      <c r="N9" s="8">
        <f t="shared" si="4"/>
        <v>0</v>
      </c>
      <c r="O9" s="8">
        <f t="shared" si="4"/>
        <v>743259.17999999993</v>
      </c>
    </row>
    <row r="10" spans="1:15" ht="19.899999999999999" customHeight="1" outlineLevel="1" x14ac:dyDescent="0.25">
      <c r="A10" s="25" t="s">
        <v>416</v>
      </c>
      <c r="B10" s="29" t="s">
        <v>18</v>
      </c>
      <c r="C10" s="14" t="s">
        <v>19</v>
      </c>
      <c r="D10" s="26" t="s">
        <v>20</v>
      </c>
      <c r="E10" s="19">
        <v>500313.88</v>
      </c>
      <c r="F10" s="28">
        <v>1</v>
      </c>
      <c r="G10" s="28"/>
      <c r="H10" s="28"/>
      <c r="I10" s="28"/>
      <c r="J10" s="17">
        <f t="shared" ref="J10:J73" si="5">SUM(F10:I10)</f>
        <v>1</v>
      </c>
      <c r="K10" s="19">
        <f>TRUNC(F10*$E10,2)</f>
        <v>500313.88</v>
      </c>
      <c r="L10" s="19">
        <f t="shared" ref="L10:O11" si="6">TRUNC(G10*$E10,2)</f>
        <v>0</v>
      </c>
      <c r="M10" s="19">
        <f t="shared" si="6"/>
        <v>0</v>
      </c>
      <c r="N10" s="19">
        <f t="shared" si="6"/>
        <v>0</v>
      </c>
      <c r="O10" s="19">
        <f t="shared" si="6"/>
        <v>500313.88</v>
      </c>
    </row>
    <row r="11" spans="1:15" ht="19.899999999999999" customHeight="1" outlineLevel="1" x14ac:dyDescent="0.25">
      <c r="A11" s="12" t="s">
        <v>417</v>
      </c>
      <c r="B11" s="13" t="s">
        <v>21</v>
      </c>
      <c r="C11" s="14" t="s">
        <v>22</v>
      </c>
      <c r="D11" s="15" t="s">
        <v>20</v>
      </c>
      <c r="E11" s="16">
        <v>7145.45</v>
      </c>
      <c r="F11" s="18">
        <v>34</v>
      </c>
      <c r="G11" s="18"/>
      <c r="H11" s="18"/>
      <c r="I11" s="18"/>
      <c r="J11" s="17">
        <f t="shared" si="5"/>
        <v>34</v>
      </c>
      <c r="K11" s="19">
        <f>TRUNC(F11*$E11,2)</f>
        <v>242945.3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242945.3</v>
      </c>
    </row>
    <row r="12" spans="1:15" s="11" customFormat="1" ht="19.899999999999999" customHeight="1" x14ac:dyDescent="0.25">
      <c r="A12" s="4" t="s">
        <v>405</v>
      </c>
      <c r="B12" s="20">
        <v>153</v>
      </c>
      <c r="C12" s="21" t="s">
        <v>23</v>
      </c>
      <c r="D12" s="22"/>
      <c r="E12" s="23"/>
      <c r="F12" s="24"/>
      <c r="G12" s="24"/>
      <c r="H12" s="24"/>
      <c r="I12" s="24"/>
      <c r="J12" s="6"/>
      <c r="K12" s="8">
        <f>SUM(K13:K14)</f>
        <v>168324.3</v>
      </c>
      <c r="L12" s="8">
        <f t="shared" ref="L12:O12" si="7">SUM(L13:L14)</f>
        <v>0</v>
      </c>
      <c r="M12" s="8">
        <f t="shared" si="7"/>
        <v>0</v>
      </c>
      <c r="N12" s="8">
        <f t="shared" si="7"/>
        <v>0</v>
      </c>
      <c r="O12" s="8">
        <f t="shared" si="7"/>
        <v>168324.3</v>
      </c>
    </row>
    <row r="13" spans="1:15" ht="19.899999999999999" customHeight="1" outlineLevel="1" x14ac:dyDescent="0.25">
      <c r="A13" s="25" t="s">
        <v>418</v>
      </c>
      <c r="B13" s="26" t="s">
        <v>24</v>
      </c>
      <c r="C13" s="14" t="s">
        <v>25</v>
      </c>
      <c r="D13" s="26" t="s">
        <v>26</v>
      </c>
      <c r="E13" s="19">
        <v>5232.09</v>
      </c>
      <c r="F13" s="28">
        <v>18</v>
      </c>
      <c r="G13" s="28"/>
      <c r="H13" s="28"/>
      <c r="I13" s="28"/>
      <c r="J13" s="17">
        <f t="shared" si="5"/>
        <v>18</v>
      </c>
      <c r="K13" s="19">
        <f>TRUNC(F13*$E13,2)</f>
        <v>94177.62</v>
      </c>
      <c r="L13" s="19">
        <f t="shared" ref="L13:O14" si="8">TRUNC(G13*$E13,2)</f>
        <v>0</v>
      </c>
      <c r="M13" s="19">
        <f t="shared" si="8"/>
        <v>0</v>
      </c>
      <c r="N13" s="19">
        <f t="shared" si="8"/>
        <v>0</v>
      </c>
      <c r="O13" s="19">
        <f t="shared" si="8"/>
        <v>94177.62</v>
      </c>
    </row>
    <row r="14" spans="1:15" ht="19.899999999999999" customHeight="1" outlineLevel="1" x14ac:dyDescent="0.25">
      <c r="A14" s="30" t="s">
        <v>419</v>
      </c>
      <c r="B14" s="13" t="s">
        <v>27</v>
      </c>
      <c r="C14" s="14" t="s">
        <v>28</v>
      </c>
      <c r="D14" s="31" t="s">
        <v>26</v>
      </c>
      <c r="E14" s="32">
        <v>4119.26</v>
      </c>
      <c r="F14" s="33">
        <v>18</v>
      </c>
      <c r="G14" s="33"/>
      <c r="H14" s="33"/>
      <c r="I14" s="33"/>
      <c r="J14" s="17">
        <f t="shared" si="5"/>
        <v>18</v>
      </c>
      <c r="K14" s="19">
        <f>TRUNC(F14*$E14,2)</f>
        <v>74146.679999999993</v>
      </c>
      <c r="L14" s="19">
        <f t="shared" si="8"/>
        <v>0</v>
      </c>
      <c r="M14" s="19">
        <f t="shared" si="8"/>
        <v>0</v>
      </c>
      <c r="N14" s="19">
        <f t="shared" si="8"/>
        <v>0</v>
      </c>
      <c r="O14" s="19">
        <f t="shared" si="8"/>
        <v>74146.679999999993</v>
      </c>
    </row>
    <row r="15" spans="1:15" s="11" customFormat="1" ht="19.899999999999999" customHeight="1" x14ac:dyDescent="0.25">
      <c r="A15" s="4" t="s">
        <v>406</v>
      </c>
      <c r="B15" s="5">
        <v>154</v>
      </c>
      <c r="C15" s="34" t="s">
        <v>29</v>
      </c>
      <c r="D15" s="7"/>
      <c r="E15" s="8"/>
      <c r="F15" s="9"/>
      <c r="G15" s="9"/>
      <c r="H15" s="9"/>
      <c r="I15" s="9"/>
      <c r="J15" s="10"/>
      <c r="K15" s="8">
        <f>SUM(K16:K39)</f>
        <v>20468933.45999999</v>
      </c>
      <c r="L15" s="8">
        <f t="shared" ref="L15:O15" si="9">SUM(L16:L39)</f>
        <v>1355.9000000000233</v>
      </c>
      <c r="M15" s="8">
        <f t="shared" si="9"/>
        <v>-673735.34999999986</v>
      </c>
      <c r="N15" s="8">
        <f t="shared" si="9"/>
        <v>3102655.6300000004</v>
      </c>
      <c r="O15" s="8">
        <f t="shared" si="9"/>
        <v>22899209.639999993</v>
      </c>
    </row>
    <row r="16" spans="1:15" ht="19.899999999999999" customHeight="1" outlineLevel="1" x14ac:dyDescent="0.25">
      <c r="A16" s="12" t="s">
        <v>420</v>
      </c>
      <c r="B16" s="13" t="s">
        <v>30</v>
      </c>
      <c r="C16" s="14" t="s">
        <v>31</v>
      </c>
      <c r="D16" s="15" t="s">
        <v>32</v>
      </c>
      <c r="E16" s="16">
        <v>0.4</v>
      </c>
      <c r="F16" s="18">
        <v>1086871</v>
      </c>
      <c r="G16" s="18"/>
      <c r="H16" s="18"/>
      <c r="I16" s="18"/>
      <c r="J16" s="17">
        <f t="shared" si="5"/>
        <v>1086871</v>
      </c>
      <c r="K16" s="19">
        <f t="shared" ref="K16:K37" si="10">TRUNC(F16*$E16,2)</f>
        <v>434748.4</v>
      </c>
      <c r="L16" s="19">
        <f t="shared" ref="L16:O31" si="11">TRUNC(G16*$E16,2)</f>
        <v>0</v>
      </c>
      <c r="M16" s="19">
        <f t="shared" si="11"/>
        <v>0</v>
      </c>
      <c r="N16" s="19">
        <f t="shared" si="11"/>
        <v>0</v>
      </c>
      <c r="O16" s="19">
        <f t="shared" si="11"/>
        <v>434748.4</v>
      </c>
    </row>
    <row r="17" spans="1:15" ht="19.899999999999999" customHeight="1" outlineLevel="1" x14ac:dyDescent="0.25">
      <c r="A17" s="12" t="s">
        <v>421</v>
      </c>
      <c r="B17" s="26" t="s">
        <v>33</v>
      </c>
      <c r="C17" s="14" t="s">
        <v>34</v>
      </c>
      <c r="D17" s="26" t="s">
        <v>20</v>
      </c>
      <c r="E17" s="19">
        <v>25.17</v>
      </c>
      <c r="F17" s="28">
        <v>10766</v>
      </c>
      <c r="G17" s="28">
        <v>719</v>
      </c>
      <c r="H17" s="28"/>
      <c r="I17" s="28">
        <v>8043</v>
      </c>
      <c r="J17" s="17">
        <f t="shared" si="5"/>
        <v>19528</v>
      </c>
      <c r="K17" s="19">
        <f t="shared" si="10"/>
        <v>270980.21999999997</v>
      </c>
      <c r="L17" s="19">
        <f t="shared" si="11"/>
        <v>18097.23</v>
      </c>
      <c r="M17" s="19">
        <f t="shared" si="11"/>
        <v>0</v>
      </c>
      <c r="N17" s="19">
        <f t="shared" si="11"/>
        <v>202442.31</v>
      </c>
      <c r="O17" s="19">
        <f t="shared" si="11"/>
        <v>491519.76</v>
      </c>
    </row>
    <row r="18" spans="1:15" ht="19.899999999999999" customHeight="1" outlineLevel="1" x14ac:dyDescent="0.25">
      <c r="A18" s="12" t="s">
        <v>422</v>
      </c>
      <c r="B18" s="13" t="s">
        <v>35</v>
      </c>
      <c r="C18" s="14" t="s">
        <v>36</v>
      </c>
      <c r="D18" s="15" t="s">
        <v>20</v>
      </c>
      <c r="E18" s="16">
        <v>35.97</v>
      </c>
      <c r="F18" s="18">
        <v>3373</v>
      </c>
      <c r="G18" s="18">
        <v>355</v>
      </c>
      <c r="H18" s="18"/>
      <c r="I18" s="18">
        <v>1723</v>
      </c>
      <c r="J18" s="17">
        <f t="shared" si="5"/>
        <v>5451</v>
      </c>
      <c r="K18" s="19">
        <f t="shared" si="10"/>
        <v>121326.81</v>
      </c>
      <c r="L18" s="19">
        <f t="shared" si="11"/>
        <v>12769.35</v>
      </c>
      <c r="M18" s="19">
        <f t="shared" si="11"/>
        <v>0</v>
      </c>
      <c r="N18" s="19">
        <f t="shared" si="11"/>
        <v>61976.31</v>
      </c>
      <c r="O18" s="19">
        <f t="shared" si="11"/>
        <v>196072.47</v>
      </c>
    </row>
    <row r="19" spans="1:15" ht="19.899999999999999" customHeight="1" outlineLevel="1" x14ac:dyDescent="0.25">
      <c r="A19" s="12" t="s">
        <v>423</v>
      </c>
      <c r="B19" s="26" t="s">
        <v>37</v>
      </c>
      <c r="C19" s="14" t="s">
        <v>38</v>
      </c>
      <c r="D19" s="26" t="s">
        <v>20</v>
      </c>
      <c r="E19" s="19">
        <v>21.43</v>
      </c>
      <c r="F19" s="28">
        <v>6951</v>
      </c>
      <c r="G19" s="28">
        <v>435</v>
      </c>
      <c r="H19" s="28"/>
      <c r="I19" s="28">
        <v>5273</v>
      </c>
      <c r="J19" s="17">
        <f t="shared" si="5"/>
        <v>12659</v>
      </c>
      <c r="K19" s="19">
        <f t="shared" si="10"/>
        <v>148959.93</v>
      </c>
      <c r="L19" s="19">
        <f t="shared" si="11"/>
        <v>9322.0499999999993</v>
      </c>
      <c r="M19" s="19">
        <f t="shared" si="11"/>
        <v>0</v>
      </c>
      <c r="N19" s="19">
        <f t="shared" si="11"/>
        <v>113000.39</v>
      </c>
      <c r="O19" s="19">
        <f t="shared" si="11"/>
        <v>271282.37</v>
      </c>
    </row>
    <row r="20" spans="1:15" ht="19.899999999999999" customHeight="1" outlineLevel="1" x14ac:dyDescent="0.25">
      <c r="A20" s="12" t="s">
        <v>424</v>
      </c>
      <c r="B20" s="13" t="s">
        <v>39</v>
      </c>
      <c r="C20" s="14" t="s">
        <v>40</v>
      </c>
      <c r="D20" s="35" t="s">
        <v>20</v>
      </c>
      <c r="E20" s="32">
        <v>30.63</v>
      </c>
      <c r="F20" s="33">
        <v>1738</v>
      </c>
      <c r="G20" s="33">
        <v>355</v>
      </c>
      <c r="H20" s="33"/>
      <c r="I20" s="33">
        <v>1723</v>
      </c>
      <c r="J20" s="17">
        <f t="shared" si="5"/>
        <v>3816</v>
      </c>
      <c r="K20" s="19">
        <f t="shared" si="10"/>
        <v>53234.94</v>
      </c>
      <c r="L20" s="19">
        <f t="shared" si="11"/>
        <v>10873.65</v>
      </c>
      <c r="M20" s="19">
        <f t="shared" si="11"/>
        <v>0</v>
      </c>
      <c r="N20" s="19">
        <f t="shared" si="11"/>
        <v>52775.49</v>
      </c>
      <c r="O20" s="19">
        <f t="shared" si="11"/>
        <v>116884.08</v>
      </c>
    </row>
    <row r="21" spans="1:15" ht="19.899999999999999" customHeight="1" outlineLevel="1" x14ac:dyDescent="0.25">
      <c r="A21" s="12" t="s">
        <v>425</v>
      </c>
      <c r="B21" s="13" t="s">
        <v>41</v>
      </c>
      <c r="C21" s="14" t="s">
        <v>42</v>
      </c>
      <c r="D21" s="15" t="s">
        <v>20</v>
      </c>
      <c r="E21" s="16">
        <v>15.02</v>
      </c>
      <c r="F21" s="18">
        <v>3815</v>
      </c>
      <c r="G21" s="18">
        <v>284</v>
      </c>
      <c r="H21" s="18"/>
      <c r="I21" s="18">
        <v>2770</v>
      </c>
      <c r="J21" s="17">
        <f t="shared" si="5"/>
        <v>6869</v>
      </c>
      <c r="K21" s="19">
        <f t="shared" si="10"/>
        <v>57301.3</v>
      </c>
      <c r="L21" s="19">
        <f t="shared" si="11"/>
        <v>4265.68</v>
      </c>
      <c r="M21" s="19">
        <f t="shared" si="11"/>
        <v>0</v>
      </c>
      <c r="N21" s="19">
        <f t="shared" si="11"/>
        <v>41605.4</v>
      </c>
      <c r="O21" s="19">
        <f t="shared" si="11"/>
        <v>103172.38</v>
      </c>
    </row>
    <row r="22" spans="1:15" ht="19.899999999999999" customHeight="1" outlineLevel="1" x14ac:dyDescent="0.25">
      <c r="A22" s="12" t="s">
        <v>426</v>
      </c>
      <c r="B22" s="29" t="s">
        <v>43</v>
      </c>
      <c r="C22" s="14" t="s">
        <v>44</v>
      </c>
      <c r="D22" s="26" t="s">
        <v>20</v>
      </c>
      <c r="E22" s="19">
        <v>20.02</v>
      </c>
      <c r="F22" s="28">
        <v>1635</v>
      </c>
      <c r="G22" s="28"/>
      <c r="H22" s="28"/>
      <c r="I22" s="28"/>
      <c r="J22" s="17">
        <f t="shared" si="5"/>
        <v>1635</v>
      </c>
      <c r="K22" s="19">
        <f t="shared" si="10"/>
        <v>32732.7</v>
      </c>
      <c r="L22" s="19">
        <f t="shared" si="11"/>
        <v>0</v>
      </c>
      <c r="M22" s="19">
        <f t="shared" si="11"/>
        <v>0</v>
      </c>
      <c r="N22" s="19">
        <f t="shared" si="11"/>
        <v>0</v>
      </c>
      <c r="O22" s="19">
        <f t="shared" si="11"/>
        <v>32732.7</v>
      </c>
    </row>
    <row r="23" spans="1:15" ht="19.899999999999999" customHeight="1" outlineLevel="1" x14ac:dyDescent="0.25">
      <c r="A23" s="12" t="s">
        <v>427</v>
      </c>
      <c r="B23" s="13" t="s">
        <v>45</v>
      </c>
      <c r="C23" s="14" t="s">
        <v>46</v>
      </c>
      <c r="D23" s="15" t="s">
        <v>47</v>
      </c>
      <c r="E23" s="16">
        <v>6.41</v>
      </c>
      <c r="F23" s="18">
        <v>304323.88</v>
      </c>
      <c r="G23" s="18"/>
      <c r="H23" s="18"/>
      <c r="I23" s="18"/>
      <c r="J23" s="17">
        <f t="shared" si="5"/>
        <v>304323.88</v>
      </c>
      <c r="K23" s="19">
        <f t="shared" si="10"/>
        <v>1950716.07</v>
      </c>
      <c r="L23" s="19">
        <f t="shared" si="11"/>
        <v>0</v>
      </c>
      <c r="M23" s="19">
        <f t="shared" si="11"/>
        <v>0</v>
      </c>
      <c r="N23" s="19">
        <f t="shared" si="11"/>
        <v>0</v>
      </c>
      <c r="O23" s="19">
        <f t="shared" si="11"/>
        <v>1950716.07</v>
      </c>
    </row>
    <row r="24" spans="1:15" ht="19.899999999999999" customHeight="1" outlineLevel="1" x14ac:dyDescent="0.25">
      <c r="A24" s="12" t="s">
        <v>428</v>
      </c>
      <c r="B24" s="26" t="s">
        <v>48</v>
      </c>
      <c r="C24" s="14" t="s">
        <v>49</v>
      </c>
      <c r="D24" s="26" t="s">
        <v>47</v>
      </c>
      <c r="E24" s="19">
        <v>10.31</v>
      </c>
      <c r="F24" s="28">
        <v>456485.82</v>
      </c>
      <c r="G24" s="28"/>
      <c r="H24" s="28"/>
      <c r="I24" s="28"/>
      <c r="J24" s="17">
        <f t="shared" si="5"/>
        <v>456485.82</v>
      </c>
      <c r="K24" s="19">
        <f t="shared" si="10"/>
        <v>4706368.8</v>
      </c>
      <c r="L24" s="19">
        <f t="shared" si="11"/>
        <v>0</v>
      </c>
      <c r="M24" s="19">
        <f t="shared" si="11"/>
        <v>0</v>
      </c>
      <c r="N24" s="19">
        <f t="shared" si="11"/>
        <v>0</v>
      </c>
      <c r="O24" s="19">
        <f t="shared" si="11"/>
        <v>4706368.8</v>
      </c>
    </row>
    <row r="25" spans="1:15" ht="19.899999999999999" customHeight="1" outlineLevel="1" x14ac:dyDescent="0.25">
      <c r="A25" s="12" t="s">
        <v>429</v>
      </c>
      <c r="B25" s="13" t="s">
        <v>50</v>
      </c>
      <c r="C25" s="14" t="s">
        <v>51</v>
      </c>
      <c r="D25" s="15" t="s">
        <v>47</v>
      </c>
      <c r="E25" s="16">
        <v>8.73</v>
      </c>
      <c r="F25" s="18">
        <v>525995</v>
      </c>
      <c r="G25" s="18"/>
      <c r="H25" s="18">
        <v>188898.50599999999</v>
      </c>
      <c r="I25" s="18">
        <v>229027.89</v>
      </c>
      <c r="J25" s="17">
        <f t="shared" si="5"/>
        <v>943921.39600000007</v>
      </c>
      <c r="K25" s="19">
        <f t="shared" si="10"/>
        <v>4591936.3499999996</v>
      </c>
      <c r="L25" s="19">
        <f t="shared" si="11"/>
        <v>0</v>
      </c>
      <c r="M25" s="19">
        <f t="shared" si="11"/>
        <v>1649083.95</v>
      </c>
      <c r="N25" s="19">
        <f t="shared" si="11"/>
        <v>1999413.47</v>
      </c>
      <c r="O25" s="19">
        <f t="shared" si="11"/>
        <v>8240433.7800000003</v>
      </c>
    </row>
    <row r="26" spans="1:15" ht="19.899999999999999" customHeight="1" outlineLevel="1" x14ac:dyDescent="0.25">
      <c r="A26" s="12" t="s">
        <v>430</v>
      </c>
      <c r="B26" s="26" t="s">
        <v>52</v>
      </c>
      <c r="C26" s="14" t="s">
        <v>53</v>
      </c>
      <c r="D26" s="26" t="s">
        <v>47</v>
      </c>
      <c r="E26" s="19">
        <v>17.2</v>
      </c>
      <c r="F26" s="28">
        <v>260750.66</v>
      </c>
      <c r="G26" s="18">
        <v>-44735.067000000003</v>
      </c>
      <c r="H26" s="18">
        <v>-188898.50599999999</v>
      </c>
      <c r="I26" s="18"/>
      <c r="J26" s="17">
        <f t="shared" si="5"/>
        <v>27117.087</v>
      </c>
      <c r="K26" s="19">
        <f t="shared" si="10"/>
        <v>4484911.3499999996</v>
      </c>
      <c r="L26" s="19">
        <f t="shared" si="11"/>
        <v>-769443.15</v>
      </c>
      <c r="M26" s="19">
        <f t="shared" si="11"/>
        <v>-3249054.3</v>
      </c>
      <c r="N26" s="19">
        <f t="shared" si="11"/>
        <v>0</v>
      </c>
      <c r="O26" s="19">
        <f t="shared" si="11"/>
        <v>466413.89</v>
      </c>
    </row>
    <row r="27" spans="1:15" ht="19.899999999999999" customHeight="1" outlineLevel="1" x14ac:dyDescent="0.25">
      <c r="A27" s="12" t="s">
        <v>431</v>
      </c>
      <c r="B27" s="13" t="s">
        <v>54</v>
      </c>
      <c r="C27" s="14" t="s">
        <v>55</v>
      </c>
      <c r="D27" s="31" t="s">
        <v>47</v>
      </c>
      <c r="E27" s="32">
        <v>45.35</v>
      </c>
      <c r="F27" s="33">
        <v>10645</v>
      </c>
      <c r="G27" s="33">
        <v>2741.52</v>
      </c>
      <c r="H27" s="33"/>
      <c r="I27" s="33"/>
      <c r="J27" s="17">
        <f t="shared" si="5"/>
        <v>13386.52</v>
      </c>
      <c r="K27" s="19">
        <f t="shared" si="10"/>
        <v>482750.75</v>
      </c>
      <c r="L27" s="19">
        <f t="shared" si="11"/>
        <v>124327.93</v>
      </c>
      <c r="M27" s="19">
        <f t="shared" si="11"/>
        <v>0</v>
      </c>
      <c r="N27" s="19">
        <f t="shared" si="11"/>
        <v>0</v>
      </c>
      <c r="O27" s="19">
        <f t="shared" si="11"/>
        <v>607078.68000000005</v>
      </c>
    </row>
    <row r="28" spans="1:15" ht="19.899999999999999" customHeight="1" outlineLevel="1" x14ac:dyDescent="0.25">
      <c r="A28" s="12" t="s">
        <v>432</v>
      </c>
      <c r="B28" s="13" t="s">
        <v>56</v>
      </c>
      <c r="C28" s="14" t="s">
        <v>57</v>
      </c>
      <c r="D28" s="15" t="s">
        <v>47</v>
      </c>
      <c r="E28" s="16">
        <v>4.16</v>
      </c>
      <c r="F28" s="18">
        <v>204745</v>
      </c>
      <c r="G28" s="18"/>
      <c r="H28" s="18"/>
      <c r="I28" s="18">
        <v>6839.21</v>
      </c>
      <c r="J28" s="17">
        <f t="shared" si="5"/>
        <v>211584.21</v>
      </c>
      <c r="K28" s="19">
        <f t="shared" si="10"/>
        <v>851739.2</v>
      </c>
      <c r="L28" s="19">
        <f t="shared" si="11"/>
        <v>0</v>
      </c>
      <c r="M28" s="19">
        <f t="shared" si="11"/>
        <v>0</v>
      </c>
      <c r="N28" s="19">
        <f t="shared" si="11"/>
        <v>28451.11</v>
      </c>
      <c r="O28" s="19">
        <f t="shared" si="11"/>
        <v>880190.31</v>
      </c>
    </row>
    <row r="29" spans="1:15" ht="19.899999999999999" customHeight="1" outlineLevel="1" x14ac:dyDescent="0.25">
      <c r="A29" s="12" t="s">
        <v>433</v>
      </c>
      <c r="B29" s="29" t="s">
        <v>58</v>
      </c>
      <c r="C29" s="14" t="s">
        <v>59</v>
      </c>
      <c r="D29" s="26" t="s">
        <v>47</v>
      </c>
      <c r="E29" s="19">
        <v>3.32</v>
      </c>
      <c r="F29" s="28">
        <v>10984.5</v>
      </c>
      <c r="G29" s="28"/>
      <c r="H29" s="28"/>
      <c r="I29" s="28"/>
      <c r="J29" s="17">
        <f t="shared" si="5"/>
        <v>10984.5</v>
      </c>
      <c r="K29" s="19">
        <f t="shared" si="10"/>
        <v>36468.54</v>
      </c>
      <c r="L29" s="19">
        <f t="shared" si="11"/>
        <v>0</v>
      </c>
      <c r="M29" s="19">
        <f t="shared" si="11"/>
        <v>0</v>
      </c>
      <c r="N29" s="19">
        <f t="shared" si="11"/>
        <v>0</v>
      </c>
      <c r="O29" s="19">
        <f t="shared" si="11"/>
        <v>36468.54</v>
      </c>
    </row>
    <row r="30" spans="1:15" ht="19.899999999999999" customHeight="1" outlineLevel="1" x14ac:dyDescent="0.25">
      <c r="A30" s="12" t="s">
        <v>434</v>
      </c>
      <c r="B30" s="13" t="s">
        <v>60</v>
      </c>
      <c r="C30" s="14" t="s">
        <v>61</v>
      </c>
      <c r="D30" s="15" t="s">
        <v>47</v>
      </c>
      <c r="E30" s="16">
        <v>3.32</v>
      </c>
      <c r="F30" s="18">
        <v>397445</v>
      </c>
      <c r="G30" s="18"/>
      <c r="H30" s="18"/>
      <c r="I30" s="18">
        <v>172088.83</v>
      </c>
      <c r="J30" s="17">
        <f t="shared" si="5"/>
        <v>569533.82999999996</v>
      </c>
      <c r="K30" s="19">
        <f t="shared" si="10"/>
        <v>1319517.3999999999</v>
      </c>
      <c r="L30" s="19">
        <f t="shared" si="11"/>
        <v>0</v>
      </c>
      <c r="M30" s="19">
        <f t="shared" si="11"/>
        <v>0</v>
      </c>
      <c r="N30" s="19">
        <f t="shared" si="11"/>
        <v>571334.91</v>
      </c>
      <c r="O30" s="19">
        <f t="shared" si="11"/>
        <v>1890852.31</v>
      </c>
    </row>
    <row r="31" spans="1:15" ht="19.899999999999999" customHeight="1" outlineLevel="1" x14ac:dyDescent="0.25">
      <c r="A31" s="12" t="s">
        <v>435</v>
      </c>
      <c r="B31" s="26" t="s">
        <v>62</v>
      </c>
      <c r="C31" s="14" t="s">
        <v>63</v>
      </c>
      <c r="D31" s="26" t="s">
        <v>47</v>
      </c>
      <c r="E31" s="19">
        <v>8.8000000000000007</v>
      </c>
      <c r="F31" s="28">
        <v>23080</v>
      </c>
      <c r="G31" s="28"/>
      <c r="H31" s="28"/>
      <c r="I31" s="28"/>
      <c r="J31" s="17">
        <f t="shared" si="5"/>
        <v>23080</v>
      </c>
      <c r="K31" s="19">
        <f t="shared" si="10"/>
        <v>203104</v>
      </c>
      <c r="L31" s="19">
        <f t="shared" si="11"/>
        <v>0</v>
      </c>
      <c r="M31" s="19">
        <f t="shared" si="11"/>
        <v>0</v>
      </c>
      <c r="N31" s="19">
        <f t="shared" si="11"/>
        <v>0</v>
      </c>
      <c r="O31" s="19">
        <f t="shared" si="11"/>
        <v>203104</v>
      </c>
    </row>
    <row r="32" spans="1:15" ht="19.899999999999999" customHeight="1" outlineLevel="1" x14ac:dyDescent="0.25">
      <c r="A32" s="12" t="s">
        <v>436</v>
      </c>
      <c r="B32" s="13" t="s">
        <v>64</v>
      </c>
      <c r="C32" s="14" t="s">
        <v>65</v>
      </c>
      <c r="D32" s="15" t="s">
        <v>47</v>
      </c>
      <c r="E32" s="16">
        <v>494.75</v>
      </c>
      <c r="F32" s="18">
        <v>133.19999999999999</v>
      </c>
      <c r="G32" s="18"/>
      <c r="H32" s="18"/>
      <c r="I32" s="18"/>
      <c r="J32" s="17">
        <f t="shared" si="5"/>
        <v>133.19999999999999</v>
      </c>
      <c r="K32" s="19">
        <f t="shared" si="10"/>
        <v>65900.7</v>
      </c>
      <c r="L32" s="19">
        <f t="shared" ref="L32:O39" si="12">TRUNC(G32*$E32,2)</f>
        <v>0</v>
      </c>
      <c r="M32" s="19">
        <f t="shared" si="12"/>
        <v>0</v>
      </c>
      <c r="N32" s="19">
        <f t="shared" si="12"/>
        <v>0</v>
      </c>
      <c r="O32" s="19">
        <f t="shared" si="12"/>
        <v>65900.7</v>
      </c>
    </row>
    <row r="33" spans="1:15" ht="19.899999999999999" customHeight="1" outlineLevel="1" x14ac:dyDescent="0.25">
      <c r="A33" s="12" t="s">
        <v>437</v>
      </c>
      <c r="B33" s="26" t="s">
        <v>66</v>
      </c>
      <c r="C33" s="14" t="s">
        <v>67</v>
      </c>
      <c r="D33" s="26" t="s">
        <v>47</v>
      </c>
      <c r="E33" s="19">
        <v>0.22</v>
      </c>
      <c r="F33" s="28">
        <v>3898</v>
      </c>
      <c r="G33" s="28">
        <v>128981.92</v>
      </c>
      <c r="H33" s="28"/>
      <c r="I33" s="28">
        <v>143892</v>
      </c>
      <c r="J33" s="17">
        <f t="shared" si="5"/>
        <v>276771.92</v>
      </c>
      <c r="K33" s="19">
        <f t="shared" si="10"/>
        <v>857.56</v>
      </c>
      <c r="L33" s="19">
        <f t="shared" si="12"/>
        <v>28376.02</v>
      </c>
      <c r="M33" s="19">
        <f t="shared" si="12"/>
        <v>0</v>
      </c>
      <c r="N33" s="19">
        <f t="shared" si="12"/>
        <v>31656.240000000002</v>
      </c>
      <c r="O33" s="19">
        <f t="shared" si="12"/>
        <v>60889.82</v>
      </c>
    </row>
    <row r="34" spans="1:15" ht="19.899999999999999" customHeight="1" outlineLevel="1" x14ac:dyDescent="0.25">
      <c r="A34" s="12" t="s">
        <v>438</v>
      </c>
      <c r="B34" s="13" t="s">
        <v>68</v>
      </c>
      <c r="C34" s="14" t="s">
        <v>69</v>
      </c>
      <c r="D34" s="31" t="s">
        <v>47</v>
      </c>
      <c r="E34" s="32">
        <v>21.97</v>
      </c>
      <c r="F34" s="33">
        <v>21003</v>
      </c>
      <c r="G34" s="33"/>
      <c r="H34" s="33"/>
      <c r="I34" s="33"/>
      <c r="J34" s="17">
        <f t="shared" si="5"/>
        <v>21003</v>
      </c>
      <c r="K34" s="19">
        <f t="shared" si="10"/>
        <v>461435.91</v>
      </c>
      <c r="L34" s="19">
        <f t="shared" si="12"/>
        <v>0</v>
      </c>
      <c r="M34" s="19">
        <f t="shared" si="12"/>
        <v>0</v>
      </c>
      <c r="N34" s="19">
        <f t="shared" si="12"/>
        <v>0</v>
      </c>
      <c r="O34" s="19">
        <f t="shared" si="12"/>
        <v>461435.91</v>
      </c>
    </row>
    <row r="35" spans="1:15" ht="19.899999999999999" customHeight="1" outlineLevel="1" x14ac:dyDescent="0.25">
      <c r="A35" s="12" t="s">
        <v>439</v>
      </c>
      <c r="B35" s="13" t="s">
        <v>70</v>
      </c>
      <c r="C35" s="14" t="s">
        <v>71</v>
      </c>
      <c r="D35" s="15" t="s">
        <v>32</v>
      </c>
      <c r="E35" s="16">
        <v>3.45</v>
      </c>
      <c r="F35" s="18">
        <v>4102</v>
      </c>
      <c r="G35" s="18"/>
      <c r="H35" s="18"/>
      <c r="I35" s="18"/>
      <c r="J35" s="17">
        <f t="shared" si="5"/>
        <v>4102</v>
      </c>
      <c r="K35" s="19">
        <f t="shared" si="10"/>
        <v>14151.9</v>
      </c>
      <c r="L35" s="19">
        <f t="shared" si="12"/>
        <v>0</v>
      </c>
      <c r="M35" s="19">
        <f t="shared" si="12"/>
        <v>0</v>
      </c>
      <c r="N35" s="19">
        <f t="shared" si="12"/>
        <v>0</v>
      </c>
      <c r="O35" s="19">
        <f t="shared" si="12"/>
        <v>14151.9</v>
      </c>
    </row>
    <row r="36" spans="1:15" ht="19.899999999999999" customHeight="1" outlineLevel="1" x14ac:dyDescent="0.25">
      <c r="A36" s="12" t="s">
        <v>440</v>
      </c>
      <c r="B36" s="29" t="s">
        <v>72</v>
      </c>
      <c r="C36" s="14" t="s">
        <v>73</v>
      </c>
      <c r="D36" s="26" t="s">
        <v>47</v>
      </c>
      <c r="E36" s="19">
        <v>19.59</v>
      </c>
      <c r="F36" s="28">
        <v>9001</v>
      </c>
      <c r="G36" s="28"/>
      <c r="H36" s="28"/>
      <c r="I36" s="28"/>
      <c r="J36" s="17">
        <f t="shared" si="5"/>
        <v>9001</v>
      </c>
      <c r="K36" s="19">
        <f t="shared" si="10"/>
        <v>176329.59</v>
      </c>
      <c r="L36" s="19">
        <f t="shared" si="12"/>
        <v>0</v>
      </c>
      <c r="M36" s="19">
        <f t="shared" si="12"/>
        <v>0</v>
      </c>
      <c r="N36" s="19">
        <f t="shared" si="12"/>
        <v>0</v>
      </c>
      <c r="O36" s="19">
        <f t="shared" si="12"/>
        <v>176329.59</v>
      </c>
    </row>
    <row r="37" spans="1:15" ht="19.899999999999999" customHeight="1" outlineLevel="1" x14ac:dyDescent="0.25">
      <c r="A37" s="12" t="s">
        <v>441</v>
      </c>
      <c r="B37" s="13" t="s">
        <v>74</v>
      </c>
      <c r="C37" s="14" t="s">
        <v>75</v>
      </c>
      <c r="D37" s="15" t="s">
        <v>76</v>
      </c>
      <c r="E37" s="16">
        <v>1.1399999999999999</v>
      </c>
      <c r="F37" s="18">
        <v>3036</v>
      </c>
      <c r="G37" s="18"/>
      <c r="H37" s="18"/>
      <c r="I37" s="18"/>
      <c r="J37" s="17">
        <f t="shared" si="5"/>
        <v>3036</v>
      </c>
      <c r="K37" s="19">
        <f t="shared" si="10"/>
        <v>3461.04</v>
      </c>
      <c r="L37" s="19">
        <f t="shared" si="12"/>
        <v>0</v>
      </c>
      <c r="M37" s="19">
        <f t="shared" si="12"/>
        <v>0</v>
      </c>
      <c r="N37" s="19">
        <f t="shared" si="12"/>
        <v>0</v>
      </c>
      <c r="O37" s="19">
        <f t="shared" si="12"/>
        <v>3461.04</v>
      </c>
    </row>
    <row r="38" spans="1:15" ht="19.899999999999999" customHeight="1" outlineLevel="1" x14ac:dyDescent="0.25">
      <c r="A38" s="12" t="s">
        <v>442</v>
      </c>
      <c r="B38" s="26" t="s">
        <v>77</v>
      </c>
      <c r="C38" s="14" t="s">
        <v>78</v>
      </c>
      <c r="D38" s="26" t="s">
        <v>47</v>
      </c>
      <c r="E38" s="19">
        <v>12.58</v>
      </c>
      <c r="F38" s="28"/>
      <c r="G38" s="28">
        <v>44735.067000000003</v>
      </c>
      <c r="H38" s="28"/>
      <c r="I38" s="28"/>
      <c r="J38" s="17">
        <f t="shared" si="5"/>
        <v>44735.067000000003</v>
      </c>
      <c r="K38" s="19">
        <f t="shared" ref="K38:K39" si="13">TRUNC(F38*$E38,2)</f>
        <v>0</v>
      </c>
      <c r="L38" s="19">
        <f t="shared" si="12"/>
        <v>562767.14</v>
      </c>
      <c r="M38" s="19">
        <f t="shared" si="12"/>
        <v>0</v>
      </c>
      <c r="N38" s="19">
        <f t="shared" si="12"/>
        <v>0</v>
      </c>
      <c r="O38" s="19">
        <f t="shared" si="12"/>
        <v>562767.14</v>
      </c>
    </row>
    <row r="39" spans="1:15" ht="19.899999999999999" customHeight="1" outlineLevel="1" x14ac:dyDescent="0.25">
      <c r="A39" s="12" t="s">
        <v>443</v>
      </c>
      <c r="B39" s="26" t="s">
        <v>79</v>
      </c>
      <c r="C39" s="14" t="s">
        <v>615</v>
      </c>
      <c r="D39" s="15" t="s">
        <v>32</v>
      </c>
      <c r="E39" s="19">
        <v>68.61</v>
      </c>
      <c r="F39" s="28"/>
      <c r="G39" s="28"/>
      <c r="H39" s="28">
        <v>13500</v>
      </c>
      <c r="I39" s="28"/>
      <c r="J39" s="17">
        <f t="shared" si="5"/>
        <v>13500</v>
      </c>
      <c r="K39" s="19">
        <f t="shared" si="13"/>
        <v>0</v>
      </c>
      <c r="L39" s="19">
        <f t="shared" si="12"/>
        <v>0</v>
      </c>
      <c r="M39" s="19">
        <f t="shared" si="12"/>
        <v>926235</v>
      </c>
      <c r="N39" s="19">
        <f t="shared" si="12"/>
        <v>0</v>
      </c>
      <c r="O39" s="19">
        <f t="shared" si="12"/>
        <v>926235</v>
      </c>
    </row>
    <row r="40" spans="1:15" s="11" customFormat="1" ht="19.899999999999999" customHeight="1" x14ac:dyDescent="0.25">
      <c r="A40" s="4" t="s">
        <v>407</v>
      </c>
      <c r="B40" s="7">
        <v>155</v>
      </c>
      <c r="C40" s="36" t="s">
        <v>80</v>
      </c>
      <c r="D40" s="7"/>
      <c r="E40" s="8"/>
      <c r="F40" s="9"/>
      <c r="G40" s="9"/>
      <c r="H40" s="9"/>
      <c r="I40" s="9"/>
      <c r="J40" s="10"/>
      <c r="K40" s="8">
        <f>SUM(K41:K134)</f>
        <v>7569279.5200000005</v>
      </c>
      <c r="L40" s="8">
        <f t="shared" ref="L40:O40" si="14">SUM(L41:L134)</f>
        <v>910992.97</v>
      </c>
      <c r="M40" s="8">
        <f t="shared" si="14"/>
        <v>0</v>
      </c>
      <c r="N40" s="8">
        <f t="shared" si="14"/>
        <v>645353.93000000005</v>
      </c>
      <c r="O40" s="8">
        <f t="shared" si="14"/>
        <v>9125626.4200000055</v>
      </c>
    </row>
    <row r="41" spans="1:15" ht="19.899999999999999" customHeight="1" outlineLevel="1" x14ac:dyDescent="0.25">
      <c r="A41" s="30" t="s">
        <v>444</v>
      </c>
      <c r="B41" s="13" t="s">
        <v>81</v>
      </c>
      <c r="C41" s="14" t="s">
        <v>82</v>
      </c>
      <c r="D41" s="31" t="s">
        <v>83</v>
      </c>
      <c r="E41" s="32">
        <v>382.71</v>
      </c>
      <c r="F41" s="33">
        <v>1260</v>
      </c>
      <c r="G41" s="33">
        <v>65</v>
      </c>
      <c r="H41" s="33"/>
      <c r="I41" s="33"/>
      <c r="J41" s="17">
        <f t="shared" si="5"/>
        <v>1325</v>
      </c>
      <c r="K41" s="19">
        <f t="shared" ref="K41:K72" si="15">TRUNC(F41*$E41,2)</f>
        <v>482214.6</v>
      </c>
      <c r="L41" s="19">
        <f t="shared" ref="L41:O56" si="16">TRUNC(G41*$E41,2)</f>
        <v>24876.15</v>
      </c>
      <c r="M41" s="19">
        <f t="shared" si="16"/>
        <v>0</v>
      </c>
      <c r="N41" s="19">
        <f t="shared" si="16"/>
        <v>0</v>
      </c>
      <c r="O41" s="19">
        <f t="shared" si="16"/>
        <v>507090.75</v>
      </c>
    </row>
    <row r="42" spans="1:15" ht="19.899999999999999" customHeight="1" outlineLevel="1" x14ac:dyDescent="0.25">
      <c r="A42" s="30" t="s">
        <v>445</v>
      </c>
      <c r="B42" s="13" t="s">
        <v>84</v>
      </c>
      <c r="C42" s="14" t="s">
        <v>85</v>
      </c>
      <c r="D42" s="15" t="s">
        <v>83</v>
      </c>
      <c r="E42" s="16">
        <v>480.79</v>
      </c>
      <c r="F42" s="18">
        <v>28</v>
      </c>
      <c r="G42" s="18"/>
      <c r="H42" s="18"/>
      <c r="I42" s="18">
        <v>175</v>
      </c>
      <c r="J42" s="17">
        <f t="shared" si="5"/>
        <v>203</v>
      </c>
      <c r="K42" s="19">
        <f t="shared" si="15"/>
        <v>13462.12</v>
      </c>
      <c r="L42" s="19">
        <f t="shared" si="16"/>
        <v>0</v>
      </c>
      <c r="M42" s="19">
        <f t="shared" si="16"/>
        <v>0</v>
      </c>
      <c r="N42" s="19">
        <f t="shared" si="16"/>
        <v>84138.25</v>
      </c>
      <c r="O42" s="19">
        <f t="shared" si="16"/>
        <v>97600.37</v>
      </c>
    </row>
    <row r="43" spans="1:15" ht="19.899999999999999" customHeight="1" outlineLevel="1" x14ac:dyDescent="0.25">
      <c r="A43" s="30" t="s">
        <v>446</v>
      </c>
      <c r="B43" s="29" t="s">
        <v>86</v>
      </c>
      <c r="C43" s="14" t="s">
        <v>87</v>
      </c>
      <c r="D43" s="26" t="s">
        <v>88</v>
      </c>
      <c r="E43" s="19">
        <v>982.71</v>
      </c>
      <c r="F43" s="28">
        <v>96</v>
      </c>
      <c r="G43" s="28">
        <v>8</v>
      </c>
      <c r="H43" s="28"/>
      <c r="I43" s="28">
        <v>13</v>
      </c>
      <c r="J43" s="17">
        <f t="shared" si="5"/>
        <v>117</v>
      </c>
      <c r="K43" s="19">
        <f t="shared" si="15"/>
        <v>94340.160000000003</v>
      </c>
      <c r="L43" s="19">
        <f t="shared" si="16"/>
        <v>7861.68</v>
      </c>
      <c r="M43" s="19">
        <f t="shared" si="16"/>
        <v>0</v>
      </c>
      <c r="N43" s="19">
        <f t="shared" si="16"/>
        <v>12775.23</v>
      </c>
      <c r="O43" s="19">
        <f t="shared" si="16"/>
        <v>114977.07</v>
      </c>
    </row>
    <row r="44" spans="1:15" ht="19.899999999999999" customHeight="1" outlineLevel="1" x14ac:dyDescent="0.25">
      <c r="A44" s="30" t="s">
        <v>447</v>
      </c>
      <c r="B44" s="13" t="s">
        <v>89</v>
      </c>
      <c r="C44" s="14" t="s">
        <v>90</v>
      </c>
      <c r="D44" s="15" t="s">
        <v>83</v>
      </c>
      <c r="E44" s="16">
        <v>620.86</v>
      </c>
      <c r="F44" s="18">
        <v>16</v>
      </c>
      <c r="G44" s="18">
        <v>30</v>
      </c>
      <c r="H44" s="18"/>
      <c r="I44" s="18">
        <v>53</v>
      </c>
      <c r="J44" s="17">
        <f t="shared" si="5"/>
        <v>99</v>
      </c>
      <c r="K44" s="19">
        <f t="shared" si="15"/>
        <v>9933.76</v>
      </c>
      <c r="L44" s="19">
        <f t="shared" si="16"/>
        <v>18625.8</v>
      </c>
      <c r="M44" s="19">
        <f t="shared" si="16"/>
        <v>0</v>
      </c>
      <c r="N44" s="19">
        <f t="shared" si="16"/>
        <v>32905.58</v>
      </c>
      <c r="O44" s="19">
        <f t="shared" si="16"/>
        <v>61465.14</v>
      </c>
    </row>
    <row r="45" spans="1:15" ht="19.899999999999999" customHeight="1" outlineLevel="1" x14ac:dyDescent="0.25">
      <c r="A45" s="30" t="s">
        <v>448</v>
      </c>
      <c r="B45" s="26" t="s">
        <v>91</v>
      </c>
      <c r="C45" s="14" t="s">
        <v>92</v>
      </c>
      <c r="D45" s="26" t="s">
        <v>83</v>
      </c>
      <c r="E45" s="19">
        <v>859.87</v>
      </c>
      <c r="F45" s="28">
        <v>28</v>
      </c>
      <c r="G45" s="28"/>
      <c r="H45" s="28"/>
      <c r="I45" s="28"/>
      <c r="J45" s="17">
        <f t="shared" si="5"/>
        <v>28</v>
      </c>
      <c r="K45" s="19">
        <f t="shared" si="15"/>
        <v>24076.36</v>
      </c>
      <c r="L45" s="19">
        <f t="shared" si="16"/>
        <v>0</v>
      </c>
      <c r="M45" s="19">
        <f t="shared" si="16"/>
        <v>0</v>
      </c>
      <c r="N45" s="19">
        <f t="shared" si="16"/>
        <v>0</v>
      </c>
      <c r="O45" s="19">
        <f t="shared" si="16"/>
        <v>24076.36</v>
      </c>
    </row>
    <row r="46" spans="1:15" ht="19.899999999999999" customHeight="1" outlineLevel="1" x14ac:dyDescent="0.25">
      <c r="A46" s="30" t="s">
        <v>449</v>
      </c>
      <c r="B46" s="13" t="s">
        <v>93</v>
      </c>
      <c r="C46" s="14" t="s">
        <v>94</v>
      </c>
      <c r="D46" s="15" t="s">
        <v>88</v>
      </c>
      <c r="E46" s="16">
        <v>1663.61</v>
      </c>
      <c r="F46" s="18">
        <v>2</v>
      </c>
      <c r="G46" s="18">
        <v>1</v>
      </c>
      <c r="H46" s="18"/>
      <c r="I46" s="18">
        <v>3</v>
      </c>
      <c r="J46" s="17">
        <f t="shared" si="5"/>
        <v>6</v>
      </c>
      <c r="K46" s="19">
        <f t="shared" si="15"/>
        <v>3327.22</v>
      </c>
      <c r="L46" s="19">
        <f t="shared" si="16"/>
        <v>1663.61</v>
      </c>
      <c r="M46" s="19">
        <f t="shared" si="16"/>
        <v>0</v>
      </c>
      <c r="N46" s="19">
        <f t="shared" si="16"/>
        <v>4990.83</v>
      </c>
      <c r="O46" s="19">
        <f t="shared" si="16"/>
        <v>9981.66</v>
      </c>
    </row>
    <row r="47" spans="1:15" ht="19.899999999999999" customHeight="1" outlineLevel="1" x14ac:dyDescent="0.25">
      <c r="A47" s="30" t="s">
        <v>450</v>
      </c>
      <c r="B47" s="26" t="s">
        <v>95</v>
      </c>
      <c r="C47" s="14" t="s">
        <v>96</v>
      </c>
      <c r="D47" s="26" t="s">
        <v>88</v>
      </c>
      <c r="E47" s="19">
        <v>2595.63</v>
      </c>
      <c r="F47" s="28">
        <v>2</v>
      </c>
      <c r="G47" s="28"/>
      <c r="H47" s="28"/>
      <c r="I47" s="28"/>
      <c r="J47" s="17">
        <f t="shared" si="5"/>
        <v>2</v>
      </c>
      <c r="K47" s="19">
        <f t="shared" si="15"/>
        <v>5191.26</v>
      </c>
      <c r="L47" s="19">
        <f t="shared" si="16"/>
        <v>0</v>
      </c>
      <c r="M47" s="19">
        <f t="shared" si="16"/>
        <v>0</v>
      </c>
      <c r="N47" s="19">
        <f t="shared" si="16"/>
        <v>0</v>
      </c>
      <c r="O47" s="19">
        <f t="shared" si="16"/>
        <v>5191.26</v>
      </c>
    </row>
    <row r="48" spans="1:15" ht="19.899999999999999" customHeight="1" outlineLevel="1" x14ac:dyDescent="0.25">
      <c r="A48" s="30" t="s">
        <v>451</v>
      </c>
      <c r="B48" s="13" t="s">
        <v>97</v>
      </c>
      <c r="C48" s="14" t="s">
        <v>98</v>
      </c>
      <c r="D48" s="31" t="s">
        <v>83</v>
      </c>
      <c r="E48" s="32">
        <v>1353.2</v>
      </c>
      <c r="F48" s="33">
        <v>53</v>
      </c>
      <c r="G48" s="33"/>
      <c r="H48" s="33"/>
      <c r="I48" s="33"/>
      <c r="J48" s="17">
        <f t="shared" si="5"/>
        <v>53</v>
      </c>
      <c r="K48" s="19">
        <f t="shared" si="15"/>
        <v>71719.600000000006</v>
      </c>
      <c r="L48" s="19">
        <f t="shared" si="16"/>
        <v>0</v>
      </c>
      <c r="M48" s="19">
        <f t="shared" si="16"/>
        <v>0</v>
      </c>
      <c r="N48" s="19">
        <f t="shared" si="16"/>
        <v>0</v>
      </c>
      <c r="O48" s="19">
        <f t="shared" si="16"/>
        <v>71719.600000000006</v>
      </c>
    </row>
    <row r="49" spans="1:15" ht="19.899999999999999" customHeight="1" outlineLevel="1" x14ac:dyDescent="0.25">
      <c r="A49" s="30" t="s">
        <v>452</v>
      </c>
      <c r="B49" s="13" t="s">
        <v>99</v>
      </c>
      <c r="C49" s="14" t="s">
        <v>100</v>
      </c>
      <c r="D49" s="15" t="s">
        <v>88</v>
      </c>
      <c r="E49" s="16">
        <v>3792.19</v>
      </c>
      <c r="F49" s="18">
        <v>1</v>
      </c>
      <c r="G49" s="18"/>
      <c r="H49" s="18"/>
      <c r="I49" s="18"/>
      <c r="J49" s="17">
        <f t="shared" si="5"/>
        <v>1</v>
      </c>
      <c r="K49" s="19">
        <f t="shared" si="15"/>
        <v>3792.19</v>
      </c>
      <c r="L49" s="19">
        <f t="shared" si="16"/>
        <v>0</v>
      </c>
      <c r="M49" s="19">
        <f t="shared" si="16"/>
        <v>0</v>
      </c>
      <c r="N49" s="19">
        <f t="shared" si="16"/>
        <v>0</v>
      </c>
      <c r="O49" s="19">
        <f t="shared" si="16"/>
        <v>3792.19</v>
      </c>
    </row>
    <row r="50" spans="1:15" ht="19.899999999999999" customHeight="1" outlineLevel="1" x14ac:dyDescent="0.25">
      <c r="A50" s="30" t="s">
        <v>453</v>
      </c>
      <c r="B50" s="29" t="s">
        <v>101</v>
      </c>
      <c r="C50" s="14" t="s">
        <v>102</v>
      </c>
      <c r="D50" s="26" t="s">
        <v>83</v>
      </c>
      <c r="E50" s="19">
        <v>1653.39</v>
      </c>
      <c r="F50" s="28">
        <v>20</v>
      </c>
      <c r="G50" s="28"/>
      <c r="H50" s="28"/>
      <c r="I50" s="28">
        <v>62</v>
      </c>
      <c r="J50" s="17">
        <f t="shared" si="5"/>
        <v>82</v>
      </c>
      <c r="K50" s="19">
        <f t="shared" si="15"/>
        <v>33067.800000000003</v>
      </c>
      <c r="L50" s="19">
        <f t="shared" si="16"/>
        <v>0</v>
      </c>
      <c r="M50" s="19">
        <f t="shared" si="16"/>
        <v>0</v>
      </c>
      <c r="N50" s="19">
        <f t="shared" si="16"/>
        <v>102510.18</v>
      </c>
      <c r="O50" s="19">
        <f t="shared" si="16"/>
        <v>135577.98000000001</v>
      </c>
    </row>
    <row r="51" spans="1:15" ht="19.899999999999999" customHeight="1" outlineLevel="1" x14ac:dyDescent="0.25">
      <c r="A51" s="30" t="s">
        <v>454</v>
      </c>
      <c r="B51" s="13" t="s">
        <v>103</v>
      </c>
      <c r="C51" s="14" t="s">
        <v>104</v>
      </c>
      <c r="D51" s="15" t="s">
        <v>88</v>
      </c>
      <c r="E51" s="16">
        <v>3633.16</v>
      </c>
      <c r="F51" s="18">
        <v>1</v>
      </c>
      <c r="G51" s="18"/>
      <c r="H51" s="18"/>
      <c r="I51" s="18">
        <v>4</v>
      </c>
      <c r="J51" s="17">
        <f t="shared" si="5"/>
        <v>5</v>
      </c>
      <c r="K51" s="19">
        <f t="shared" si="15"/>
        <v>3633.16</v>
      </c>
      <c r="L51" s="19">
        <f t="shared" si="16"/>
        <v>0</v>
      </c>
      <c r="M51" s="19">
        <f t="shared" si="16"/>
        <v>0</v>
      </c>
      <c r="N51" s="19">
        <f t="shared" si="16"/>
        <v>14532.64</v>
      </c>
      <c r="O51" s="19">
        <f t="shared" si="16"/>
        <v>18165.8</v>
      </c>
    </row>
    <row r="52" spans="1:15" ht="19.899999999999999" customHeight="1" outlineLevel="1" x14ac:dyDescent="0.25">
      <c r="A52" s="30" t="s">
        <v>455</v>
      </c>
      <c r="B52" s="26" t="s">
        <v>105</v>
      </c>
      <c r="C52" s="14" t="s">
        <v>106</v>
      </c>
      <c r="D52" s="26" t="s">
        <v>83</v>
      </c>
      <c r="E52" s="19">
        <v>2447.21</v>
      </c>
      <c r="F52" s="28">
        <v>23</v>
      </c>
      <c r="G52" s="28"/>
      <c r="H52" s="28"/>
      <c r="I52" s="28"/>
      <c r="J52" s="17">
        <f t="shared" si="5"/>
        <v>23</v>
      </c>
      <c r="K52" s="19">
        <f t="shared" si="15"/>
        <v>56285.83</v>
      </c>
      <c r="L52" s="19">
        <f t="shared" si="16"/>
        <v>0</v>
      </c>
      <c r="M52" s="19">
        <f t="shared" si="16"/>
        <v>0</v>
      </c>
      <c r="N52" s="19">
        <f t="shared" si="16"/>
        <v>0</v>
      </c>
      <c r="O52" s="19">
        <f t="shared" si="16"/>
        <v>56285.83</v>
      </c>
    </row>
    <row r="53" spans="1:15" ht="19.899999999999999" customHeight="1" outlineLevel="1" x14ac:dyDescent="0.25">
      <c r="A53" s="30" t="s">
        <v>456</v>
      </c>
      <c r="B53" s="13" t="s">
        <v>107</v>
      </c>
      <c r="C53" s="14" t="s">
        <v>108</v>
      </c>
      <c r="D53" s="15" t="s">
        <v>88</v>
      </c>
      <c r="E53" s="16">
        <v>4670.7</v>
      </c>
      <c r="F53" s="18">
        <v>2</v>
      </c>
      <c r="G53" s="18"/>
      <c r="H53" s="18"/>
      <c r="I53" s="18"/>
      <c r="J53" s="17">
        <f t="shared" si="5"/>
        <v>2</v>
      </c>
      <c r="K53" s="19">
        <f t="shared" si="15"/>
        <v>9341.4</v>
      </c>
      <c r="L53" s="19">
        <f t="shared" si="16"/>
        <v>0</v>
      </c>
      <c r="M53" s="19">
        <f t="shared" si="16"/>
        <v>0</v>
      </c>
      <c r="N53" s="19">
        <f t="shared" si="16"/>
        <v>0</v>
      </c>
      <c r="O53" s="19">
        <f t="shared" si="16"/>
        <v>9341.4</v>
      </c>
    </row>
    <row r="54" spans="1:15" ht="19.899999999999999" customHeight="1" outlineLevel="1" x14ac:dyDescent="0.25">
      <c r="A54" s="30" t="s">
        <v>457</v>
      </c>
      <c r="B54" s="26" t="s">
        <v>109</v>
      </c>
      <c r="C54" s="14" t="s">
        <v>110</v>
      </c>
      <c r="D54" s="26" t="s">
        <v>83</v>
      </c>
      <c r="E54" s="19">
        <v>1855.47</v>
      </c>
      <c r="F54" s="28">
        <v>32</v>
      </c>
      <c r="G54" s="28"/>
      <c r="H54" s="28"/>
      <c r="I54" s="28"/>
      <c r="J54" s="17">
        <f t="shared" si="5"/>
        <v>32</v>
      </c>
      <c r="K54" s="19">
        <f t="shared" si="15"/>
        <v>59375.040000000001</v>
      </c>
      <c r="L54" s="19">
        <f t="shared" si="16"/>
        <v>0</v>
      </c>
      <c r="M54" s="19">
        <f t="shared" si="16"/>
        <v>0</v>
      </c>
      <c r="N54" s="19">
        <f t="shared" si="16"/>
        <v>0</v>
      </c>
      <c r="O54" s="19">
        <f t="shared" si="16"/>
        <v>59375.040000000001</v>
      </c>
    </row>
    <row r="55" spans="1:15" ht="19.899999999999999" customHeight="1" outlineLevel="1" x14ac:dyDescent="0.25">
      <c r="A55" s="30" t="s">
        <v>458</v>
      </c>
      <c r="B55" s="13" t="s">
        <v>111</v>
      </c>
      <c r="C55" s="14" t="s">
        <v>112</v>
      </c>
      <c r="D55" s="31" t="s">
        <v>88</v>
      </c>
      <c r="E55" s="32">
        <v>12833.57</v>
      </c>
      <c r="F55" s="33">
        <v>2</v>
      </c>
      <c r="G55" s="33"/>
      <c r="H55" s="33"/>
      <c r="I55" s="33"/>
      <c r="J55" s="17">
        <f t="shared" si="5"/>
        <v>2</v>
      </c>
      <c r="K55" s="19">
        <f t="shared" si="15"/>
        <v>25667.14</v>
      </c>
      <c r="L55" s="19">
        <f t="shared" si="16"/>
        <v>0</v>
      </c>
      <c r="M55" s="19">
        <f t="shared" si="16"/>
        <v>0</v>
      </c>
      <c r="N55" s="19">
        <f t="shared" si="16"/>
        <v>0</v>
      </c>
      <c r="O55" s="19">
        <f t="shared" si="16"/>
        <v>25667.14</v>
      </c>
    </row>
    <row r="56" spans="1:15" ht="19.899999999999999" customHeight="1" outlineLevel="1" x14ac:dyDescent="0.25">
      <c r="A56" s="30" t="s">
        <v>459</v>
      </c>
      <c r="B56" s="13" t="s">
        <v>113</v>
      </c>
      <c r="C56" s="14" t="s">
        <v>114</v>
      </c>
      <c r="D56" s="15" t="s">
        <v>83</v>
      </c>
      <c r="E56" s="16">
        <v>42.85</v>
      </c>
      <c r="F56" s="18">
        <v>26.77</v>
      </c>
      <c r="G56" s="18"/>
      <c r="H56" s="18"/>
      <c r="I56" s="18"/>
      <c r="J56" s="17">
        <f t="shared" si="5"/>
        <v>26.77</v>
      </c>
      <c r="K56" s="19">
        <f t="shared" si="15"/>
        <v>1147.0899999999999</v>
      </c>
      <c r="L56" s="19">
        <f t="shared" si="16"/>
        <v>0</v>
      </c>
      <c r="M56" s="19">
        <f t="shared" si="16"/>
        <v>0</v>
      </c>
      <c r="N56" s="19">
        <f t="shared" si="16"/>
        <v>0</v>
      </c>
      <c r="O56" s="19">
        <f t="shared" si="16"/>
        <v>1147.0899999999999</v>
      </c>
    </row>
    <row r="57" spans="1:15" ht="19.899999999999999" customHeight="1" outlineLevel="1" x14ac:dyDescent="0.25">
      <c r="A57" s="30" t="s">
        <v>460</v>
      </c>
      <c r="B57" s="29" t="s">
        <v>115</v>
      </c>
      <c r="C57" s="14" t="s">
        <v>116</v>
      </c>
      <c r="D57" s="26" t="s">
        <v>83</v>
      </c>
      <c r="E57" s="19">
        <v>95.32</v>
      </c>
      <c r="F57" s="28">
        <v>48.59</v>
      </c>
      <c r="G57" s="28"/>
      <c r="H57" s="28"/>
      <c r="I57" s="28"/>
      <c r="J57" s="17">
        <f t="shared" si="5"/>
        <v>48.59</v>
      </c>
      <c r="K57" s="19">
        <f t="shared" si="15"/>
        <v>4631.59</v>
      </c>
      <c r="L57" s="19">
        <f t="shared" ref="L57:O72" si="17">TRUNC(G57*$E57,2)</f>
        <v>0</v>
      </c>
      <c r="M57" s="19">
        <f t="shared" si="17"/>
        <v>0</v>
      </c>
      <c r="N57" s="19">
        <f t="shared" si="17"/>
        <v>0</v>
      </c>
      <c r="O57" s="19">
        <f t="shared" si="17"/>
        <v>4631.59</v>
      </c>
    </row>
    <row r="58" spans="1:15" ht="19.899999999999999" customHeight="1" outlineLevel="1" x14ac:dyDescent="0.25">
      <c r="A58" s="30" t="s">
        <v>461</v>
      </c>
      <c r="B58" s="13" t="s">
        <v>117</v>
      </c>
      <c r="C58" s="14" t="s">
        <v>118</v>
      </c>
      <c r="D58" s="15" t="s">
        <v>47</v>
      </c>
      <c r="E58" s="16">
        <v>112.26</v>
      </c>
      <c r="F58" s="18">
        <v>2710</v>
      </c>
      <c r="G58" s="18"/>
      <c r="H58" s="18"/>
      <c r="I58" s="18"/>
      <c r="J58" s="17">
        <f t="shared" si="5"/>
        <v>2710</v>
      </c>
      <c r="K58" s="19">
        <f t="shared" si="15"/>
        <v>304224.59999999998</v>
      </c>
      <c r="L58" s="19">
        <f t="shared" si="17"/>
        <v>0</v>
      </c>
      <c r="M58" s="19">
        <f t="shared" si="17"/>
        <v>0</v>
      </c>
      <c r="N58" s="19">
        <f t="shared" si="17"/>
        <v>0</v>
      </c>
      <c r="O58" s="19">
        <f t="shared" si="17"/>
        <v>304224.59999999998</v>
      </c>
    </row>
    <row r="59" spans="1:15" ht="19.899999999999999" customHeight="1" outlineLevel="1" x14ac:dyDescent="0.25">
      <c r="A59" s="30" t="s">
        <v>462</v>
      </c>
      <c r="B59" s="26" t="s">
        <v>119</v>
      </c>
      <c r="C59" s="14" t="s">
        <v>120</v>
      </c>
      <c r="D59" s="26" t="s">
        <v>83</v>
      </c>
      <c r="E59" s="19">
        <v>28.56</v>
      </c>
      <c r="F59" s="28">
        <v>4481.8999999999996</v>
      </c>
      <c r="G59" s="28"/>
      <c r="H59" s="28"/>
      <c r="I59" s="28"/>
      <c r="J59" s="17">
        <f t="shared" si="5"/>
        <v>4481.8999999999996</v>
      </c>
      <c r="K59" s="19">
        <f t="shared" si="15"/>
        <v>128003.06</v>
      </c>
      <c r="L59" s="19">
        <f t="shared" si="17"/>
        <v>0</v>
      </c>
      <c r="M59" s="19">
        <f t="shared" si="17"/>
        <v>0</v>
      </c>
      <c r="N59" s="19">
        <f t="shared" si="17"/>
        <v>0</v>
      </c>
      <c r="O59" s="19">
        <f t="shared" si="17"/>
        <v>128003.06</v>
      </c>
    </row>
    <row r="60" spans="1:15" ht="19.899999999999999" customHeight="1" outlineLevel="1" x14ac:dyDescent="0.25">
      <c r="A60" s="30" t="s">
        <v>463</v>
      </c>
      <c r="B60" s="13" t="s">
        <v>121</v>
      </c>
      <c r="C60" s="14" t="s">
        <v>122</v>
      </c>
      <c r="D60" s="15" t="s">
        <v>83</v>
      </c>
      <c r="E60" s="16">
        <v>18.75</v>
      </c>
      <c r="F60" s="18">
        <v>5265</v>
      </c>
      <c r="G60" s="18"/>
      <c r="H60" s="18"/>
      <c r="I60" s="18"/>
      <c r="J60" s="17">
        <f t="shared" si="5"/>
        <v>5265</v>
      </c>
      <c r="K60" s="19">
        <f t="shared" si="15"/>
        <v>98718.75</v>
      </c>
      <c r="L60" s="19">
        <f t="shared" si="17"/>
        <v>0</v>
      </c>
      <c r="M60" s="19">
        <f t="shared" si="17"/>
        <v>0</v>
      </c>
      <c r="N60" s="19">
        <f t="shared" si="17"/>
        <v>0</v>
      </c>
      <c r="O60" s="19">
        <f t="shared" si="17"/>
        <v>98718.75</v>
      </c>
    </row>
    <row r="61" spans="1:15" ht="19.899999999999999" customHeight="1" outlineLevel="1" x14ac:dyDescent="0.25">
      <c r="A61" s="30" t="s">
        <v>464</v>
      </c>
      <c r="B61" s="26" t="s">
        <v>123</v>
      </c>
      <c r="C61" s="14" t="s">
        <v>124</v>
      </c>
      <c r="D61" s="26" t="s">
        <v>83</v>
      </c>
      <c r="E61" s="19">
        <v>92.06</v>
      </c>
      <c r="F61" s="28">
        <v>589.29999999999995</v>
      </c>
      <c r="G61" s="28"/>
      <c r="H61" s="28"/>
      <c r="I61" s="28">
        <v>694</v>
      </c>
      <c r="J61" s="17">
        <f t="shared" si="5"/>
        <v>1283.3</v>
      </c>
      <c r="K61" s="19">
        <f t="shared" si="15"/>
        <v>54250.95</v>
      </c>
      <c r="L61" s="19">
        <f t="shared" si="17"/>
        <v>0</v>
      </c>
      <c r="M61" s="19">
        <f t="shared" si="17"/>
        <v>0</v>
      </c>
      <c r="N61" s="19">
        <f t="shared" si="17"/>
        <v>63889.64</v>
      </c>
      <c r="O61" s="19">
        <f t="shared" si="17"/>
        <v>118140.59</v>
      </c>
    </row>
    <row r="62" spans="1:15" ht="19.899999999999999" customHeight="1" outlineLevel="1" x14ac:dyDescent="0.25">
      <c r="A62" s="30" t="s">
        <v>465</v>
      </c>
      <c r="B62" s="13" t="s">
        <v>125</v>
      </c>
      <c r="C62" s="14" t="s">
        <v>126</v>
      </c>
      <c r="D62" s="31" t="s">
        <v>83</v>
      </c>
      <c r="E62" s="32">
        <v>43.67</v>
      </c>
      <c r="F62" s="33">
        <v>1518</v>
      </c>
      <c r="G62" s="33"/>
      <c r="H62" s="33"/>
      <c r="I62" s="33"/>
      <c r="J62" s="17">
        <f t="shared" si="5"/>
        <v>1518</v>
      </c>
      <c r="K62" s="19">
        <f t="shared" si="15"/>
        <v>66291.06</v>
      </c>
      <c r="L62" s="19">
        <f t="shared" si="17"/>
        <v>0</v>
      </c>
      <c r="M62" s="19">
        <f t="shared" si="17"/>
        <v>0</v>
      </c>
      <c r="N62" s="19">
        <f t="shared" si="17"/>
        <v>0</v>
      </c>
      <c r="O62" s="19">
        <f t="shared" si="17"/>
        <v>66291.06</v>
      </c>
    </row>
    <row r="63" spans="1:15" ht="19.899999999999999" customHeight="1" outlineLevel="1" x14ac:dyDescent="0.25">
      <c r="A63" s="30" t="s">
        <v>466</v>
      </c>
      <c r="B63" s="13" t="s">
        <v>127</v>
      </c>
      <c r="C63" s="14" t="s">
        <v>128</v>
      </c>
      <c r="D63" s="15" t="s">
        <v>83</v>
      </c>
      <c r="E63" s="16">
        <v>49.03</v>
      </c>
      <c r="F63" s="18">
        <v>1086</v>
      </c>
      <c r="G63" s="18"/>
      <c r="H63" s="18"/>
      <c r="I63" s="18"/>
      <c r="J63" s="17">
        <f t="shared" si="5"/>
        <v>1086</v>
      </c>
      <c r="K63" s="19">
        <f t="shared" si="15"/>
        <v>53246.58</v>
      </c>
      <c r="L63" s="19">
        <f t="shared" si="17"/>
        <v>0</v>
      </c>
      <c r="M63" s="19">
        <f t="shared" si="17"/>
        <v>0</v>
      </c>
      <c r="N63" s="19">
        <f t="shared" si="17"/>
        <v>0</v>
      </c>
      <c r="O63" s="19">
        <f t="shared" si="17"/>
        <v>53246.58</v>
      </c>
    </row>
    <row r="64" spans="1:15" ht="19.899999999999999" customHeight="1" outlineLevel="1" x14ac:dyDescent="0.25">
      <c r="A64" s="30" t="s">
        <v>467</v>
      </c>
      <c r="B64" s="29" t="s">
        <v>129</v>
      </c>
      <c r="C64" s="14" t="s">
        <v>130</v>
      </c>
      <c r="D64" s="26" t="s">
        <v>83</v>
      </c>
      <c r="E64" s="19">
        <v>54.84</v>
      </c>
      <c r="F64" s="28">
        <v>4435.3999999999996</v>
      </c>
      <c r="G64" s="28"/>
      <c r="H64" s="28"/>
      <c r="I64" s="28"/>
      <c r="J64" s="17">
        <f t="shared" si="5"/>
        <v>4435.3999999999996</v>
      </c>
      <c r="K64" s="19">
        <f t="shared" si="15"/>
        <v>243237.33</v>
      </c>
      <c r="L64" s="19">
        <f t="shared" si="17"/>
        <v>0</v>
      </c>
      <c r="M64" s="19">
        <f t="shared" si="17"/>
        <v>0</v>
      </c>
      <c r="N64" s="19">
        <f t="shared" si="17"/>
        <v>0</v>
      </c>
      <c r="O64" s="19">
        <f t="shared" si="17"/>
        <v>243237.33</v>
      </c>
    </row>
    <row r="65" spans="1:15" ht="19.899999999999999" customHeight="1" outlineLevel="1" x14ac:dyDescent="0.25">
      <c r="A65" s="30" t="s">
        <v>468</v>
      </c>
      <c r="B65" s="13" t="s">
        <v>131</v>
      </c>
      <c r="C65" s="14" t="s">
        <v>132</v>
      </c>
      <c r="D65" s="15" t="s">
        <v>83</v>
      </c>
      <c r="E65" s="16">
        <v>49.45</v>
      </c>
      <c r="F65" s="18">
        <v>3403</v>
      </c>
      <c r="G65" s="18"/>
      <c r="H65" s="18"/>
      <c r="I65" s="18"/>
      <c r="J65" s="17">
        <f t="shared" si="5"/>
        <v>3403</v>
      </c>
      <c r="K65" s="19">
        <f t="shared" si="15"/>
        <v>168278.35</v>
      </c>
      <c r="L65" s="19">
        <f t="shared" si="17"/>
        <v>0</v>
      </c>
      <c r="M65" s="19">
        <f t="shared" si="17"/>
        <v>0</v>
      </c>
      <c r="N65" s="19">
        <f t="shared" si="17"/>
        <v>0</v>
      </c>
      <c r="O65" s="19">
        <f t="shared" si="17"/>
        <v>168278.35</v>
      </c>
    </row>
    <row r="66" spans="1:15" ht="19.899999999999999" customHeight="1" outlineLevel="1" x14ac:dyDescent="0.25">
      <c r="A66" s="30" t="s">
        <v>469</v>
      </c>
      <c r="B66" s="26" t="s">
        <v>133</v>
      </c>
      <c r="C66" s="14" t="s">
        <v>134</v>
      </c>
      <c r="D66" s="26" t="s">
        <v>83</v>
      </c>
      <c r="E66" s="19">
        <v>55.16</v>
      </c>
      <c r="F66" s="28">
        <v>5165</v>
      </c>
      <c r="G66" s="28"/>
      <c r="H66" s="28"/>
      <c r="I66" s="28"/>
      <c r="J66" s="17">
        <f t="shared" si="5"/>
        <v>5165</v>
      </c>
      <c r="K66" s="19">
        <f t="shared" si="15"/>
        <v>284901.40000000002</v>
      </c>
      <c r="L66" s="19">
        <f t="shared" si="17"/>
        <v>0</v>
      </c>
      <c r="M66" s="19">
        <f t="shared" si="17"/>
        <v>0</v>
      </c>
      <c r="N66" s="19">
        <f t="shared" si="17"/>
        <v>0</v>
      </c>
      <c r="O66" s="19">
        <f t="shared" si="17"/>
        <v>284901.40000000002</v>
      </c>
    </row>
    <row r="67" spans="1:15" ht="19.899999999999999" customHeight="1" outlineLevel="1" x14ac:dyDescent="0.25">
      <c r="A67" s="30" t="s">
        <v>470</v>
      </c>
      <c r="B67" s="13" t="s">
        <v>135</v>
      </c>
      <c r="C67" s="14" t="s">
        <v>136</v>
      </c>
      <c r="D67" s="15" t="s">
        <v>83</v>
      </c>
      <c r="E67" s="16">
        <v>62.94</v>
      </c>
      <c r="F67" s="18">
        <v>17554</v>
      </c>
      <c r="G67" s="18"/>
      <c r="H67" s="18"/>
      <c r="I67" s="18"/>
      <c r="J67" s="17">
        <f t="shared" si="5"/>
        <v>17554</v>
      </c>
      <c r="K67" s="19">
        <f t="shared" si="15"/>
        <v>1104848.76</v>
      </c>
      <c r="L67" s="19">
        <f t="shared" si="17"/>
        <v>0</v>
      </c>
      <c r="M67" s="19">
        <f t="shared" si="17"/>
        <v>0</v>
      </c>
      <c r="N67" s="19">
        <f t="shared" si="17"/>
        <v>0</v>
      </c>
      <c r="O67" s="19">
        <f t="shared" si="17"/>
        <v>1104848.76</v>
      </c>
    </row>
    <row r="68" spans="1:15" ht="19.899999999999999" customHeight="1" outlineLevel="1" x14ac:dyDescent="0.25">
      <c r="A68" s="30" t="s">
        <v>471</v>
      </c>
      <c r="B68" s="26" t="s">
        <v>137</v>
      </c>
      <c r="C68" s="14" t="s">
        <v>138</v>
      </c>
      <c r="D68" s="26" t="s">
        <v>83</v>
      </c>
      <c r="E68" s="19">
        <v>77.55</v>
      </c>
      <c r="F68" s="28">
        <v>500</v>
      </c>
      <c r="G68" s="28"/>
      <c r="H68" s="28"/>
      <c r="I68" s="28"/>
      <c r="J68" s="17">
        <f t="shared" si="5"/>
        <v>500</v>
      </c>
      <c r="K68" s="19">
        <f t="shared" si="15"/>
        <v>38775</v>
      </c>
      <c r="L68" s="19">
        <f t="shared" si="17"/>
        <v>0</v>
      </c>
      <c r="M68" s="19">
        <f t="shared" si="17"/>
        <v>0</v>
      </c>
      <c r="N68" s="19">
        <f t="shared" si="17"/>
        <v>0</v>
      </c>
      <c r="O68" s="19">
        <f t="shared" si="17"/>
        <v>38775</v>
      </c>
    </row>
    <row r="69" spans="1:15" ht="19.899999999999999" customHeight="1" outlineLevel="1" x14ac:dyDescent="0.25">
      <c r="A69" s="30" t="s">
        <v>472</v>
      </c>
      <c r="B69" s="13" t="s">
        <v>139</v>
      </c>
      <c r="C69" s="14" t="s">
        <v>140</v>
      </c>
      <c r="D69" s="31" t="s">
        <v>83</v>
      </c>
      <c r="E69" s="32">
        <v>31.74</v>
      </c>
      <c r="F69" s="33">
        <v>461.4</v>
      </c>
      <c r="G69" s="33"/>
      <c r="H69" s="33"/>
      <c r="I69" s="33">
        <v>394</v>
      </c>
      <c r="J69" s="17">
        <f t="shared" si="5"/>
        <v>855.4</v>
      </c>
      <c r="K69" s="19">
        <f t="shared" si="15"/>
        <v>14644.83</v>
      </c>
      <c r="L69" s="19">
        <f t="shared" si="17"/>
        <v>0</v>
      </c>
      <c r="M69" s="19">
        <f t="shared" si="17"/>
        <v>0</v>
      </c>
      <c r="N69" s="19">
        <f t="shared" si="17"/>
        <v>12505.56</v>
      </c>
      <c r="O69" s="19">
        <f t="shared" si="17"/>
        <v>27150.39</v>
      </c>
    </row>
    <row r="70" spans="1:15" ht="19.899999999999999" customHeight="1" outlineLevel="1" x14ac:dyDescent="0.25">
      <c r="A70" s="30" t="s">
        <v>473</v>
      </c>
      <c r="B70" s="13" t="s">
        <v>141</v>
      </c>
      <c r="C70" s="14" t="s">
        <v>142</v>
      </c>
      <c r="D70" s="15" t="s">
        <v>83</v>
      </c>
      <c r="E70" s="16">
        <v>9921.6</v>
      </c>
      <c r="F70" s="18">
        <v>19</v>
      </c>
      <c r="G70" s="18"/>
      <c r="H70" s="18"/>
      <c r="I70" s="18">
        <v>12</v>
      </c>
      <c r="J70" s="17">
        <f t="shared" si="5"/>
        <v>31</v>
      </c>
      <c r="K70" s="19">
        <f t="shared" si="15"/>
        <v>188510.4</v>
      </c>
      <c r="L70" s="19">
        <f t="shared" si="17"/>
        <v>0</v>
      </c>
      <c r="M70" s="19">
        <f t="shared" si="17"/>
        <v>0</v>
      </c>
      <c r="N70" s="19">
        <f t="shared" si="17"/>
        <v>119059.2</v>
      </c>
      <c r="O70" s="19">
        <f t="shared" si="17"/>
        <v>307569.59999999998</v>
      </c>
    </row>
    <row r="71" spans="1:15" ht="19.899999999999999" customHeight="1" outlineLevel="1" x14ac:dyDescent="0.25">
      <c r="A71" s="30" t="s">
        <v>474</v>
      </c>
      <c r="B71" s="29" t="s">
        <v>143</v>
      </c>
      <c r="C71" s="14" t="s">
        <v>144</v>
      </c>
      <c r="D71" s="26" t="s">
        <v>83</v>
      </c>
      <c r="E71" s="19">
        <v>12970.36</v>
      </c>
      <c r="F71" s="28">
        <v>14</v>
      </c>
      <c r="G71" s="28"/>
      <c r="H71" s="28"/>
      <c r="I71" s="28">
        <v>-14</v>
      </c>
      <c r="J71" s="17">
        <f t="shared" si="5"/>
        <v>0</v>
      </c>
      <c r="K71" s="19">
        <f t="shared" si="15"/>
        <v>181585.04</v>
      </c>
      <c r="L71" s="19">
        <f t="shared" si="17"/>
        <v>0</v>
      </c>
      <c r="M71" s="19">
        <f t="shared" si="17"/>
        <v>0</v>
      </c>
      <c r="N71" s="19">
        <f t="shared" si="17"/>
        <v>-181585.04</v>
      </c>
      <c r="O71" s="19">
        <f t="shared" si="17"/>
        <v>0</v>
      </c>
    </row>
    <row r="72" spans="1:15" ht="19.899999999999999" customHeight="1" outlineLevel="1" x14ac:dyDescent="0.25">
      <c r="A72" s="30" t="s">
        <v>475</v>
      </c>
      <c r="B72" s="13" t="s">
        <v>145</v>
      </c>
      <c r="C72" s="14" t="s">
        <v>146</v>
      </c>
      <c r="D72" s="15" t="s">
        <v>83</v>
      </c>
      <c r="E72" s="16">
        <v>45.73</v>
      </c>
      <c r="F72" s="18">
        <v>5885.4</v>
      </c>
      <c r="G72" s="18"/>
      <c r="H72" s="18"/>
      <c r="I72" s="18"/>
      <c r="J72" s="17">
        <f t="shared" si="5"/>
        <v>5885.4</v>
      </c>
      <c r="K72" s="19">
        <f t="shared" si="15"/>
        <v>269139.34000000003</v>
      </c>
      <c r="L72" s="19">
        <f t="shared" si="17"/>
        <v>0</v>
      </c>
      <c r="M72" s="19">
        <f t="shared" si="17"/>
        <v>0</v>
      </c>
      <c r="N72" s="19">
        <f t="shared" si="17"/>
        <v>0</v>
      </c>
      <c r="O72" s="19">
        <f t="shared" si="17"/>
        <v>269139.34000000003</v>
      </c>
    </row>
    <row r="73" spans="1:15" ht="19.899999999999999" customHeight="1" outlineLevel="1" x14ac:dyDescent="0.25">
      <c r="A73" s="30" t="s">
        <v>476</v>
      </c>
      <c r="B73" s="26" t="s">
        <v>147</v>
      </c>
      <c r="C73" s="14" t="s">
        <v>148</v>
      </c>
      <c r="D73" s="26" t="s">
        <v>88</v>
      </c>
      <c r="E73" s="19">
        <v>55450.49</v>
      </c>
      <c r="F73" s="28">
        <v>4</v>
      </c>
      <c r="G73" s="28"/>
      <c r="H73" s="28"/>
      <c r="I73" s="28"/>
      <c r="J73" s="17">
        <f t="shared" si="5"/>
        <v>4</v>
      </c>
      <c r="K73" s="19">
        <f t="shared" ref="K73:K104" si="18">TRUNC(F73*$E73,2)</f>
        <v>221801.96</v>
      </c>
      <c r="L73" s="19">
        <f t="shared" ref="L73:O88" si="19">TRUNC(G73*$E73,2)</f>
        <v>0</v>
      </c>
      <c r="M73" s="19">
        <f t="shared" si="19"/>
        <v>0</v>
      </c>
      <c r="N73" s="19">
        <f t="shared" si="19"/>
        <v>0</v>
      </c>
      <c r="O73" s="19">
        <f t="shared" si="19"/>
        <v>221801.96</v>
      </c>
    </row>
    <row r="74" spans="1:15" ht="19.899999999999999" customHeight="1" outlineLevel="1" x14ac:dyDescent="0.25">
      <c r="A74" s="30" t="s">
        <v>477</v>
      </c>
      <c r="B74" s="13" t="s">
        <v>149</v>
      </c>
      <c r="C74" s="14" t="s">
        <v>150</v>
      </c>
      <c r="D74" s="15" t="s">
        <v>83</v>
      </c>
      <c r="E74" s="16">
        <v>39.119999999999997</v>
      </c>
      <c r="F74" s="18">
        <v>461.4</v>
      </c>
      <c r="G74" s="18"/>
      <c r="H74" s="18"/>
      <c r="I74" s="18"/>
      <c r="J74" s="17">
        <f t="shared" ref="J74:J137" si="20">SUM(F74:I74)</f>
        <v>461.4</v>
      </c>
      <c r="K74" s="19">
        <f t="shared" si="18"/>
        <v>18049.96</v>
      </c>
      <c r="L74" s="19">
        <f t="shared" si="19"/>
        <v>0</v>
      </c>
      <c r="M74" s="19">
        <f t="shared" si="19"/>
        <v>0</v>
      </c>
      <c r="N74" s="19">
        <f t="shared" si="19"/>
        <v>0</v>
      </c>
      <c r="O74" s="19">
        <f t="shared" si="19"/>
        <v>18049.96</v>
      </c>
    </row>
    <row r="75" spans="1:15" ht="19.899999999999999" customHeight="1" outlineLevel="1" x14ac:dyDescent="0.25">
      <c r="A75" s="30" t="s">
        <v>478</v>
      </c>
      <c r="B75" s="26" t="s">
        <v>151</v>
      </c>
      <c r="C75" s="14" t="s">
        <v>152</v>
      </c>
      <c r="D75" s="26" t="s">
        <v>83</v>
      </c>
      <c r="E75" s="19">
        <v>6650.82</v>
      </c>
      <c r="F75" s="28">
        <v>49</v>
      </c>
      <c r="G75" s="28"/>
      <c r="H75" s="28"/>
      <c r="I75" s="28">
        <v>15</v>
      </c>
      <c r="J75" s="17">
        <f t="shared" si="20"/>
        <v>64</v>
      </c>
      <c r="K75" s="19">
        <f t="shared" si="18"/>
        <v>325890.18</v>
      </c>
      <c r="L75" s="19">
        <f t="shared" si="19"/>
        <v>0</v>
      </c>
      <c r="M75" s="19">
        <f t="shared" si="19"/>
        <v>0</v>
      </c>
      <c r="N75" s="19">
        <f t="shared" si="19"/>
        <v>99762.3</v>
      </c>
      <c r="O75" s="19">
        <f t="shared" si="19"/>
        <v>425652.47999999998</v>
      </c>
    </row>
    <row r="76" spans="1:15" ht="19.899999999999999" customHeight="1" outlineLevel="1" x14ac:dyDescent="0.25">
      <c r="A76" s="30" t="s">
        <v>479</v>
      </c>
      <c r="B76" s="13" t="s">
        <v>153</v>
      </c>
      <c r="C76" s="14" t="s">
        <v>154</v>
      </c>
      <c r="D76" s="31" t="s">
        <v>88</v>
      </c>
      <c r="E76" s="32">
        <v>20869.259999999998</v>
      </c>
      <c r="F76" s="33">
        <v>2</v>
      </c>
      <c r="G76" s="33"/>
      <c r="H76" s="33"/>
      <c r="I76" s="33"/>
      <c r="J76" s="17">
        <f t="shared" si="20"/>
        <v>2</v>
      </c>
      <c r="K76" s="19">
        <f t="shared" si="18"/>
        <v>41738.519999999997</v>
      </c>
      <c r="L76" s="19">
        <f t="shared" si="19"/>
        <v>0</v>
      </c>
      <c r="M76" s="19">
        <f t="shared" si="19"/>
        <v>0</v>
      </c>
      <c r="N76" s="19">
        <f t="shared" si="19"/>
        <v>0</v>
      </c>
      <c r="O76" s="19">
        <f t="shared" si="19"/>
        <v>41738.519999999997</v>
      </c>
    </row>
    <row r="77" spans="1:15" ht="19.899999999999999" customHeight="1" outlineLevel="1" x14ac:dyDescent="0.25">
      <c r="A77" s="30" t="s">
        <v>480</v>
      </c>
      <c r="B77" s="13" t="s">
        <v>155</v>
      </c>
      <c r="C77" s="14" t="s">
        <v>156</v>
      </c>
      <c r="D77" s="15" t="s">
        <v>88</v>
      </c>
      <c r="E77" s="16">
        <v>381.65</v>
      </c>
      <c r="F77" s="18">
        <v>119</v>
      </c>
      <c r="G77" s="18"/>
      <c r="H77" s="18"/>
      <c r="I77" s="18"/>
      <c r="J77" s="17">
        <f t="shared" si="20"/>
        <v>119</v>
      </c>
      <c r="K77" s="19">
        <f t="shared" si="18"/>
        <v>45416.35</v>
      </c>
      <c r="L77" s="19">
        <f t="shared" si="19"/>
        <v>0</v>
      </c>
      <c r="M77" s="19">
        <f t="shared" si="19"/>
        <v>0</v>
      </c>
      <c r="N77" s="19">
        <f t="shared" si="19"/>
        <v>0</v>
      </c>
      <c r="O77" s="19">
        <f t="shared" si="19"/>
        <v>45416.35</v>
      </c>
    </row>
    <row r="78" spans="1:15" ht="19.899999999999999" customHeight="1" outlineLevel="1" x14ac:dyDescent="0.25">
      <c r="A78" s="30" t="s">
        <v>481</v>
      </c>
      <c r="B78" s="29" t="s">
        <v>157</v>
      </c>
      <c r="C78" s="14" t="s">
        <v>158</v>
      </c>
      <c r="D78" s="26" t="s">
        <v>88</v>
      </c>
      <c r="E78" s="19">
        <v>1340.6</v>
      </c>
      <c r="F78" s="28">
        <v>57</v>
      </c>
      <c r="G78" s="28"/>
      <c r="H78" s="28"/>
      <c r="I78" s="28"/>
      <c r="J78" s="17">
        <f t="shared" si="20"/>
        <v>57</v>
      </c>
      <c r="K78" s="19">
        <f t="shared" si="18"/>
        <v>76414.2</v>
      </c>
      <c r="L78" s="19">
        <f t="shared" si="19"/>
        <v>0</v>
      </c>
      <c r="M78" s="19">
        <f t="shared" si="19"/>
        <v>0</v>
      </c>
      <c r="N78" s="19">
        <f t="shared" si="19"/>
        <v>0</v>
      </c>
      <c r="O78" s="19">
        <f t="shared" si="19"/>
        <v>76414.2</v>
      </c>
    </row>
    <row r="79" spans="1:15" ht="19.899999999999999" customHeight="1" outlineLevel="1" x14ac:dyDescent="0.25">
      <c r="A79" s="30" t="s">
        <v>482</v>
      </c>
      <c r="B79" s="13" t="s">
        <v>159</v>
      </c>
      <c r="C79" s="14" t="s">
        <v>160</v>
      </c>
      <c r="D79" s="15" t="s">
        <v>88</v>
      </c>
      <c r="E79" s="16">
        <v>1546.96</v>
      </c>
      <c r="F79" s="18">
        <v>28</v>
      </c>
      <c r="G79" s="18"/>
      <c r="H79" s="18"/>
      <c r="I79" s="18">
        <v>4</v>
      </c>
      <c r="J79" s="17">
        <f t="shared" si="20"/>
        <v>32</v>
      </c>
      <c r="K79" s="19">
        <f t="shared" si="18"/>
        <v>43314.879999999997</v>
      </c>
      <c r="L79" s="19">
        <f t="shared" si="19"/>
        <v>0</v>
      </c>
      <c r="M79" s="19">
        <f t="shared" si="19"/>
        <v>0</v>
      </c>
      <c r="N79" s="19">
        <f t="shared" si="19"/>
        <v>6187.84</v>
      </c>
      <c r="O79" s="19">
        <f t="shared" si="19"/>
        <v>49502.720000000001</v>
      </c>
    </row>
    <row r="80" spans="1:15" ht="19.899999999999999" customHeight="1" outlineLevel="1" x14ac:dyDescent="0.25">
      <c r="A80" s="30" t="s">
        <v>483</v>
      </c>
      <c r="B80" s="26" t="s">
        <v>161</v>
      </c>
      <c r="C80" s="14" t="s">
        <v>162</v>
      </c>
      <c r="D80" s="26" t="s">
        <v>83</v>
      </c>
      <c r="E80" s="19">
        <v>9048.6299999999992</v>
      </c>
      <c r="F80" s="28">
        <v>15</v>
      </c>
      <c r="G80" s="28"/>
      <c r="H80" s="28"/>
      <c r="I80" s="28"/>
      <c r="J80" s="17">
        <f t="shared" si="20"/>
        <v>15</v>
      </c>
      <c r="K80" s="19">
        <f t="shared" si="18"/>
        <v>135729.45000000001</v>
      </c>
      <c r="L80" s="19">
        <f t="shared" si="19"/>
        <v>0</v>
      </c>
      <c r="M80" s="19">
        <f t="shared" si="19"/>
        <v>0</v>
      </c>
      <c r="N80" s="19">
        <f t="shared" si="19"/>
        <v>0</v>
      </c>
      <c r="O80" s="19">
        <f t="shared" si="19"/>
        <v>135729.45000000001</v>
      </c>
    </row>
    <row r="81" spans="1:15" ht="19.899999999999999" customHeight="1" outlineLevel="1" x14ac:dyDescent="0.25">
      <c r="A81" s="30" t="s">
        <v>484</v>
      </c>
      <c r="B81" s="13" t="s">
        <v>163</v>
      </c>
      <c r="C81" s="14" t="s">
        <v>164</v>
      </c>
      <c r="D81" s="15" t="s">
        <v>88</v>
      </c>
      <c r="E81" s="16">
        <v>30084.86</v>
      </c>
      <c r="F81" s="18">
        <v>2</v>
      </c>
      <c r="G81" s="18"/>
      <c r="H81" s="18"/>
      <c r="I81" s="18"/>
      <c r="J81" s="17">
        <f t="shared" si="20"/>
        <v>2</v>
      </c>
      <c r="K81" s="19">
        <f t="shared" si="18"/>
        <v>60169.72</v>
      </c>
      <c r="L81" s="19">
        <f t="shared" si="19"/>
        <v>0</v>
      </c>
      <c r="M81" s="19">
        <f t="shared" si="19"/>
        <v>0</v>
      </c>
      <c r="N81" s="19">
        <f t="shared" si="19"/>
        <v>0</v>
      </c>
      <c r="O81" s="19">
        <f t="shared" si="19"/>
        <v>60169.72</v>
      </c>
    </row>
    <row r="82" spans="1:15" ht="19.899999999999999" customHeight="1" outlineLevel="1" x14ac:dyDescent="0.25">
      <c r="A82" s="30" t="s">
        <v>485</v>
      </c>
      <c r="B82" s="26" t="s">
        <v>165</v>
      </c>
      <c r="C82" s="14" t="s">
        <v>166</v>
      </c>
      <c r="D82" s="26" t="s">
        <v>88</v>
      </c>
      <c r="E82" s="19">
        <v>1535.89</v>
      </c>
      <c r="F82" s="28">
        <v>28</v>
      </c>
      <c r="G82" s="28"/>
      <c r="H82" s="28"/>
      <c r="I82" s="28">
        <v>2</v>
      </c>
      <c r="J82" s="17">
        <f t="shared" si="20"/>
        <v>30</v>
      </c>
      <c r="K82" s="19">
        <f t="shared" si="18"/>
        <v>43004.92</v>
      </c>
      <c r="L82" s="19">
        <f t="shared" si="19"/>
        <v>0</v>
      </c>
      <c r="M82" s="19">
        <f t="shared" si="19"/>
        <v>0</v>
      </c>
      <c r="N82" s="19">
        <f t="shared" si="19"/>
        <v>3071.78</v>
      </c>
      <c r="O82" s="19">
        <f t="shared" si="19"/>
        <v>46076.7</v>
      </c>
    </row>
    <row r="83" spans="1:15" ht="19.899999999999999" customHeight="1" outlineLevel="1" x14ac:dyDescent="0.25">
      <c r="A83" s="30" t="s">
        <v>486</v>
      </c>
      <c r="B83" s="13" t="s">
        <v>167</v>
      </c>
      <c r="C83" s="14" t="s">
        <v>168</v>
      </c>
      <c r="D83" s="31" t="s">
        <v>88</v>
      </c>
      <c r="E83" s="32">
        <v>1694.69</v>
      </c>
      <c r="F83" s="33">
        <v>3</v>
      </c>
      <c r="G83" s="33"/>
      <c r="H83" s="33"/>
      <c r="I83" s="33">
        <v>2</v>
      </c>
      <c r="J83" s="17">
        <f t="shared" si="20"/>
        <v>5</v>
      </c>
      <c r="K83" s="19">
        <f t="shared" si="18"/>
        <v>5084.07</v>
      </c>
      <c r="L83" s="19">
        <f t="shared" si="19"/>
        <v>0</v>
      </c>
      <c r="M83" s="19">
        <f t="shared" si="19"/>
        <v>0</v>
      </c>
      <c r="N83" s="19">
        <f t="shared" si="19"/>
        <v>3389.38</v>
      </c>
      <c r="O83" s="19">
        <f t="shared" si="19"/>
        <v>8473.4500000000007</v>
      </c>
    </row>
    <row r="84" spans="1:15" ht="19.899999999999999" customHeight="1" outlineLevel="1" x14ac:dyDescent="0.25">
      <c r="A84" s="30" t="s">
        <v>487</v>
      </c>
      <c r="B84" s="13" t="s">
        <v>169</v>
      </c>
      <c r="C84" s="14" t="s">
        <v>170</v>
      </c>
      <c r="D84" s="15" t="s">
        <v>88</v>
      </c>
      <c r="E84" s="16">
        <v>2012.71</v>
      </c>
      <c r="F84" s="18">
        <v>3</v>
      </c>
      <c r="G84" s="18"/>
      <c r="H84" s="18"/>
      <c r="I84" s="18"/>
      <c r="J84" s="17">
        <f t="shared" si="20"/>
        <v>3</v>
      </c>
      <c r="K84" s="19">
        <f t="shared" si="18"/>
        <v>6038.13</v>
      </c>
      <c r="L84" s="19">
        <f t="shared" si="19"/>
        <v>0</v>
      </c>
      <c r="M84" s="19">
        <f t="shared" si="19"/>
        <v>0</v>
      </c>
      <c r="N84" s="19">
        <f t="shared" si="19"/>
        <v>0</v>
      </c>
      <c r="O84" s="19">
        <f t="shared" si="19"/>
        <v>6038.13</v>
      </c>
    </row>
    <row r="85" spans="1:15" ht="19.899999999999999" customHeight="1" outlineLevel="1" x14ac:dyDescent="0.25">
      <c r="A85" s="30" t="s">
        <v>488</v>
      </c>
      <c r="B85" s="29" t="s">
        <v>171</v>
      </c>
      <c r="C85" s="14" t="s">
        <v>172</v>
      </c>
      <c r="D85" s="26" t="s">
        <v>88</v>
      </c>
      <c r="E85" s="19">
        <v>2329.8200000000002</v>
      </c>
      <c r="F85" s="28">
        <v>1</v>
      </c>
      <c r="G85" s="28"/>
      <c r="H85" s="28"/>
      <c r="I85" s="28"/>
      <c r="J85" s="17">
        <f t="shared" si="20"/>
        <v>1</v>
      </c>
      <c r="K85" s="19">
        <f t="shared" si="18"/>
        <v>2329.8200000000002</v>
      </c>
      <c r="L85" s="19">
        <f t="shared" si="19"/>
        <v>0</v>
      </c>
      <c r="M85" s="19">
        <f t="shared" si="19"/>
        <v>0</v>
      </c>
      <c r="N85" s="19">
        <f t="shared" si="19"/>
        <v>0</v>
      </c>
      <c r="O85" s="19">
        <f t="shared" si="19"/>
        <v>2329.8200000000002</v>
      </c>
    </row>
    <row r="86" spans="1:15" ht="19.899999999999999" customHeight="1" outlineLevel="1" x14ac:dyDescent="0.25">
      <c r="A86" s="30" t="s">
        <v>489</v>
      </c>
      <c r="B86" s="13" t="s">
        <v>173</v>
      </c>
      <c r="C86" s="14" t="s">
        <v>174</v>
      </c>
      <c r="D86" s="15" t="s">
        <v>88</v>
      </c>
      <c r="E86" s="16">
        <v>2647.86</v>
      </c>
      <c r="F86" s="18">
        <v>1</v>
      </c>
      <c r="G86" s="18"/>
      <c r="H86" s="18"/>
      <c r="I86" s="18"/>
      <c r="J86" s="17">
        <f t="shared" si="20"/>
        <v>1</v>
      </c>
      <c r="K86" s="19">
        <f t="shared" si="18"/>
        <v>2647.86</v>
      </c>
      <c r="L86" s="19">
        <f t="shared" si="19"/>
        <v>0</v>
      </c>
      <c r="M86" s="19">
        <f t="shared" si="19"/>
        <v>0</v>
      </c>
      <c r="N86" s="19">
        <f t="shared" si="19"/>
        <v>0</v>
      </c>
      <c r="O86" s="19">
        <f t="shared" si="19"/>
        <v>2647.86</v>
      </c>
    </row>
    <row r="87" spans="1:15" ht="19.899999999999999" customHeight="1" outlineLevel="1" x14ac:dyDescent="0.25">
      <c r="A87" s="30" t="s">
        <v>490</v>
      </c>
      <c r="B87" s="26" t="s">
        <v>175</v>
      </c>
      <c r="C87" s="14" t="s">
        <v>176</v>
      </c>
      <c r="D87" s="26" t="s">
        <v>88</v>
      </c>
      <c r="E87" s="19">
        <v>2873.07</v>
      </c>
      <c r="F87" s="28">
        <v>1</v>
      </c>
      <c r="G87" s="28"/>
      <c r="H87" s="28"/>
      <c r="I87" s="28"/>
      <c r="J87" s="17">
        <f t="shared" si="20"/>
        <v>1</v>
      </c>
      <c r="K87" s="19">
        <f t="shared" si="18"/>
        <v>2873.07</v>
      </c>
      <c r="L87" s="19">
        <f t="shared" si="19"/>
        <v>0</v>
      </c>
      <c r="M87" s="19">
        <f t="shared" si="19"/>
        <v>0</v>
      </c>
      <c r="N87" s="19">
        <f t="shared" si="19"/>
        <v>0</v>
      </c>
      <c r="O87" s="19">
        <f t="shared" si="19"/>
        <v>2873.07</v>
      </c>
    </row>
    <row r="88" spans="1:15" ht="19.899999999999999" customHeight="1" outlineLevel="1" x14ac:dyDescent="0.25">
      <c r="A88" s="30" t="s">
        <v>491</v>
      </c>
      <c r="B88" s="13" t="s">
        <v>177</v>
      </c>
      <c r="C88" s="14" t="s">
        <v>178</v>
      </c>
      <c r="D88" s="15" t="s">
        <v>88</v>
      </c>
      <c r="E88" s="16">
        <v>987.44</v>
      </c>
      <c r="F88" s="18">
        <v>9</v>
      </c>
      <c r="G88" s="18"/>
      <c r="H88" s="18"/>
      <c r="I88" s="18"/>
      <c r="J88" s="17">
        <f t="shared" si="20"/>
        <v>9</v>
      </c>
      <c r="K88" s="19">
        <f t="shared" si="18"/>
        <v>8886.9599999999991</v>
      </c>
      <c r="L88" s="19">
        <f t="shared" si="19"/>
        <v>0</v>
      </c>
      <c r="M88" s="19">
        <f t="shared" si="19"/>
        <v>0</v>
      </c>
      <c r="N88" s="19">
        <f t="shared" si="19"/>
        <v>0</v>
      </c>
      <c r="O88" s="19">
        <f t="shared" si="19"/>
        <v>8886.9599999999991</v>
      </c>
    </row>
    <row r="89" spans="1:15" ht="19.899999999999999" customHeight="1" outlineLevel="1" x14ac:dyDescent="0.25">
      <c r="A89" s="30" t="s">
        <v>492</v>
      </c>
      <c r="B89" s="26" t="s">
        <v>179</v>
      </c>
      <c r="C89" s="14" t="s">
        <v>180</v>
      </c>
      <c r="D89" s="26" t="s">
        <v>83</v>
      </c>
      <c r="E89" s="19">
        <v>16579.349999999999</v>
      </c>
      <c r="F89" s="28">
        <v>16</v>
      </c>
      <c r="G89" s="28"/>
      <c r="H89" s="28"/>
      <c r="I89" s="28"/>
      <c r="J89" s="17">
        <f t="shared" si="20"/>
        <v>16</v>
      </c>
      <c r="K89" s="19">
        <f t="shared" si="18"/>
        <v>265269.59999999998</v>
      </c>
      <c r="L89" s="19">
        <f t="shared" ref="L89:O104" si="21">TRUNC(G89*$E89,2)</f>
        <v>0</v>
      </c>
      <c r="M89" s="19">
        <f t="shared" si="21"/>
        <v>0</v>
      </c>
      <c r="N89" s="19">
        <f t="shared" si="21"/>
        <v>0</v>
      </c>
      <c r="O89" s="19">
        <f t="shared" si="21"/>
        <v>265269.59999999998</v>
      </c>
    </row>
    <row r="90" spans="1:15" ht="19.899999999999999" customHeight="1" outlineLevel="1" x14ac:dyDescent="0.25">
      <c r="A90" s="30" t="s">
        <v>493</v>
      </c>
      <c r="B90" s="13" t="s">
        <v>181</v>
      </c>
      <c r="C90" s="14" t="s">
        <v>182</v>
      </c>
      <c r="D90" s="31" t="s">
        <v>88</v>
      </c>
      <c r="E90" s="32">
        <v>36632.35</v>
      </c>
      <c r="F90" s="33">
        <v>2</v>
      </c>
      <c r="G90" s="33"/>
      <c r="H90" s="33"/>
      <c r="I90" s="33"/>
      <c r="J90" s="17">
        <f t="shared" si="20"/>
        <v>2</v>
      </c>
      <c r="K90" s="19">
        <f t="shared" si="18"/>
        <v>73264.7</v>
      </c>
      <c r="L90" s="19">
        <f t="shared" si="21"/>
        <v>0</v>
      </c>
      <c r="M90" s="19">
        <f t="shared" si="21"/>
        <v>0</v>
      </c>
      <c r="N90" s="19">
        <f t="shared" si="21"/>
        <v>0</v>
      </c>
      <c r="O90" s="19">
        <f t="shared" si="21"/>
        <v>73264.7</v>
      </c>
    </row>
    <row r="91" spans="1:15" ht="19.899999999999999" customHeight="1" outlineLevel="1" x14ac:dyDescent="0.25">
      <c r="A91" s="30" t="s">
        <v>494</v>
      </c>
      <c r="B91" s="13" t="s">
        <v>183</v>
      </c>
      <c r="C91" s="14" t="s">
        <v>184</v>
      </c>
      <c r="D91" s="15" t="s">
        <v>83</v>
      </c>
      <c r="E91" s="16">
        <v>65.8</v>
      </c>
      <c r="F91" s="18">
        <v>1285</v>
      </c>
      <c r="G91" s="18"/>
      <c r="H91" s="18"/>
      <c r="I91" s="18"/>
      <c r="J91" s="17">
        <f t="shared" si="20"/>
        <v>1285</v>
      </c>
      <c r="K91" s="19">
        <f t="shared" si="18"/>
        <v>84553</v>
      </c>
      <c r="L91" s="19">
        <f t="shared" si="21"/>
        <v>0</v>
      </c>
      <c r="M91" s="19">
        <f t="shared" si="21"/>
        <v>0</v>
      </c>
      <c r="N91" s="19">
        <f t="shared" si="21"/>
        <v>0</v>
      </c>
      <c r="O91" s="19">
        <f t="shared" si="21"/>
        <v>84553</v>
      </c>
    </row>
    <row r="92" spans="1:15" ht="19.899999999999999" customHeight="1" outlineLevel="1" x14ac:dyDescent="0.25">
      <c r="A92" s="30" t="s">
        <v>495</v>
      </c>
      <c r="B92" s="29" t="s">
        <v>185</v>
      </c>
      <c r="C92" s="14" t="s">
        <v>186</v>
      </c>
      <c r="D92" s="26" t="s">
        <v>83</v>
      </c>
      <c r="E92" s="19">
        <v>185.85</v>
      </c>
      <c r="F92" s="28">
        <v>16.98</v>
      </c>
      <c r="G92" s="28"/>
      <c r="H92" s="28"/>
      <c r="I92" s="28"/>
      <c r="J92" s="17">
        <f t="shared" si="20"/>
        <v>16.98</v>
      </c>
      <c r="K92" s="19">
        <f t="shared" si="18"/>
        <v>3155.73</v>
      </c>
      <c r="L92" s="19">
        <f t="shared" si="21"/>
        <v>0</v>
      </c>
      <c r="M92" s="19">
        <f t="shared" si="21"/>
        <v>0</v>
      </c>
      <c r="N92" s="19">
        <f t="shared" si="21"/>
        <v>0</v>
      </c>
      <c r="O92" s="19">
        <f t="shared" si="21"/>
        <v>3155.73</v>
      </c>
    </row>
    <row r="93" spans="1:15" ht="19.899999999999999" customHeight="1" outlineLevel="1" x14ac:dyDescent="0.25">
      <c r="A93" s="30" t="s">
        <v>496</v>
      </c>
      <c r="B93" s="13" t="s">
        <v>187</v>
      </c>
      <c r="C93" s="14" t="s">
        <v>188</v>
      </c>
      <c r="D93" s="15" t="s">
        <v>83</v>
      </c>
      <c r="E93" s="16">
        <v>110.22</v>
      </c>
      <c r="F93" s="18">
        <v>5720</v>
      </c>
      <c r="G93" s="18">
        <v>5800</v>
      </c>
      <c r="H93" s="18"/>
      <c r="I93" s="18"/>
      <c r="J93" s="17">
        <f t="shared" si="20"/>
        <v>11520</v>
      </c>
      <c r="K93" s="19">
        <f t="shared" si="18"/>
        <v>630458.4</v>
      </c>
      <c r="L93" s="19">
        <f t="shared" si="21"/>
        <v>639276</v>
      </c>
      <c r="M93" s="19">
        <f t="shared" si="21"/>
        <v>0</v>
      </c>
      <c r="N93" s="19">
        <f t="shared" si="21"/>
        <v>0</v>
      </c>
      <c r="O93" s="19">
        <f t="shared" si="21"/>
        <v>1269734.3999999999</v>
      </c>
    </row>
    <row r="94" spans="1:15" ht="19.899999999999999" customHeight="1" outlineLevel="1" x14ac:dyDescent="0.25">
      <c r="A94" s="30" t="s">
        <v>497</v>
      </c>
      <c r="B94" s="26" t="s">
        <v>189</v>
      </c>
      <c r="C94" s="14" t="s">
        <v>190</v>
      </c>
      <c r="D94" s="26" t="s">
        <v>83</v>
      </c>
      <c r="E94" s="19">
        <v>43.2</v>
      </c>
      <c r="F94" s="28">
        <v>600</v>
      </c>
      <c r="G94" s="28"/>
      <c r="H94" s="28"/>
      <c r="I94" s="28"/>
      <c r="J94" s="17">
        <f t="shared" si="20"/>
        <v>600</v>
      </c>
      <c r="K94" s="19">
        <f t="shared" si="18"/>
        <v>25920</v>
      </c>
      <c r="L94" s="19">
        <f t="shared" si="21"/>
        <v>0</v>
      </c>
      <c r="M94" s="19">
        <f t="shared" si="21"/>
        <v>0</v>
      </c>
      <c r="N94" s="19">
        <f t="shared" si="21"/>
        <v>0</v>
      </c>
      <c r="O94" s="19">
        <f t="shared" si="21"/>
        <v>25920</v>
      </c>
    </row>
    <row r="95" spans="1:15" ht="19.899999999999999" customHeight="1" outlineLevel="1" x14ac:dyDescent="0.25">
      <c r="A95" s="30" t="s">
        <v>498</v>
      </c>
      <c r="B95" s="13" t="s">
        <v>191</v>
      </c>
      <c r="C95" s="14" t="s">
        <v>192</v>
      </c>
      <c r="D95" s="15" t="s">
        <v>88</v>
      </c>
      <c r="E95" s="16">
        <v>93.42</v>
      </c>
      <c r="F95" s="18">
        <v>17</v>
      </c>
      <c r="G95" s="18"/>
      <c r="H95" s="18"/>
      <c r="I95" s="18"/>
      <c r="J95" s="17">
        <f t="shared" si="20"/>
        <v>17</v>
      </c>
      <c r="K95" s="19">
        <f t="shared" si="18"/>
        <v>1588.14</v>
      </c>
      <c r="L95" s="19">
        <f t="shared" si="21"/>
        <v>0</v>
      </c>
      <c r="M95" s="19">
        <f t="shared" si="21"/>
        <v>0</v>
      </c>
      <c r="N95" s="19">
        <f t="shared" si="21"/>
        <v>0</v>
      </c>
      <c r="O95" s="19">
        <f t="shared" si="21"/>
        <v>1588.14</v>
      </c>
    </row>
    <row r="96" spans="1:15" ht="19.899999999999999" customHeight="1" outlineLevel="1" x14ac:dyDescent="0.25">
      <c r="A96" s="30" t="s">
        <v>499</v>
      </c>
      <c r="B96" s="26" t="s">
        <v>193</v>
      </c>
      <c r="C96" s="14" t="s">
        <v>194</v>
      </c>
      <c r="D96" s="26" t="s">
        <v>88</v>
      </c>
      <c r="E96" s="19">
        <v>164.25</v>
      </c>
      <c r="F96" s="28">
        <v>4</v>
      </c>
      <c r="G96" s="28"/>
      <c r="H96" s="28"/>
      <c r="I96" s="28"/>
      <c r="J96" s="17">
        <f t="shared" si="20"/>
        <v>4</v>
      </c>
      <c r="K96" s="19">
        <f t="shared" si="18"/>
        <v>657</v>
      </c>
      <c r="L96" s="19">
        <f t="shared" si="21"/>
        <v>0</v>
      </c>
      <c r="M96" s="19">
        <f t="shared" si="21"/>
        <v>0</v>
      </c>
      <c r="N96" s="19">
        <f t="shared" si="21"/>
        <v>0</v>
      </c>
      <c r="O96" s="19">
        <f t="shared" si="21"/>
        <v>657</v>
      </c>
    </row>
    <row r="97" spans="1:15" ht="19.899999999999999" customHeight="1" outlineLevel="1" x14ac:dyDescent="0.25">
      <c r="A97" s="30" t="s">
        <v>500</v>
      </c>
      <c r="B97" s="13" t="s">
        <v>195</v>
      </c>
      <c r="C97" s="14" t="s">
        <v>196</v>
      </c>
      <c r="D97" s="31" t="s">
        <v>47</v>
      </c>
      <c r="E97" s="32">
        <v>95.04</v>
      </c>
      <c r="F97" s="33">
        <v>1439</v>
      </c>
      <c r="G97" s="33"/>
      <c r="H97" s="33"/>
      <c r="I97" s="33"/>
      <c r="J97" s="17">
        <f t="shared" si="20"/>
        <v>1439</v>
      </c>
      <c r="K97" s="19">
        <f t="shared" si="18"/>
        <v>136762.56</v>
      </c>
      <c r="L97" s="19">
        <f t="shared" si="21"/>
        <v>0</v>
      </c>
      <c r="M97" s="19">
        <f t="shared" si="21"/>
        <v>0</v>
      </c>
      <c r="N97" s="19">
        <f t="shared" si="21"/>
        <v>0</v>
      </c>
      <c r="O97" s="19">
        <f t="shared" si="21"/>
        <v>136762.56</v>
      </c>
    </row>
    <row r="98" spans="1:15" ht="19.899999999999999" customHeight="1" outlineLevel="1" x14ac:dyDescent="0.25">
      <c r="A98" s="30" t="s">
        <v>501</v>
      </c>
      <c r="B98" s="13" t="s">
        <v>197</v>
      </c>
      <c r="C98" s="14" t="s">
        <v>198</v>
      </c>
      <c r="D98" s="15" t="s">
        <v>88</v>
      </c>
      <c r="E98" s="16">
        <v>1769.4</v>
      </c>
      <c r="F98" s="18">
        <v>41</v>
      </c>
      <c r="G98" s="18"/>
      <c r="H98" s="18"/>
      <c r="I98" s="18">
        <v>-41</v>
      </c>
      <c r="J98" s="17">
        <f t="shared" si="20"/>
        <v>0</v>
      </c>
      <c r="K98" s="19">
        <f t="shared" si="18"/>
        <v>72545.399999999994</v>
      </c>
      <c r="L98" s="19">
        <f t="shared" si="21"/>
        <v>0</v>
      </c>
      <c r="M98" s="19">
        <f t="shared" si="21"/>
        <v>0</v>
      </c>
      <c r="N98" s="19">
        <f t="shared" si="21"/>
        <v>-72545.399999999994</v>
      </c>
      <c r="O98" s="19">
        <f t="shared" si="21"/>
        <v>0</v>
      </c>
    </row>
    <row r="99" spans="1:15" ht="19.899999999999999" customHeight="1" outlineLevel="1" x14ac:dyDescent="0.25">
      <c r="A99" s="30" t="s">
        <v>502</v>
      </c>
      <c r="B99" s="29" t="s">
        <v>199</v>
      </c>
      <c r="C99" s="14" t="s">
        <v>200</v>
      </c>
      <c r="D99" s="26" t="s">
        <v>83</v>
      </c>
      <c r="E99" s="19">
        <v>128.47999999999999</v>
      </c>
      <c r="F99" s="28">
        <v>934.3</v>
      </c>
      <c r="G99" s="28"/>
      <c r="H99" s="28"/>
      <c r="I99" s="28"/>
      <c r="J99" s="17">
        <f t="shared" si="20"/>
        <v>934.3</v>
      </c>
      <c r="K99" s="19">
        <f t="shared" si="18"/>
        <v>120038.86</v>
      </c>
      <c r="L99" s="19">
        <f t="shared" si="21"/>
        <v>0</v>
      </c>
      <c r="M99" s="19">
        <f t="shared" si="21"/>
        <v>0</v>
      </c>
      <c r="N99" s="19">
        <f t="shared" si="21"/>
        <v>0</v>
      </c>
      <c r="O99" s="19">
        <f t="shared" si="21"/>
        <v>120038.86</v>
      </c>
    </row>
    <row r="100" spans="1:15" ht="19.899999999999999" customHeight="1" outlineLevel="1" x14ac:dyDescent="0.25">
      <c r="A100" s="30" t="s">
        <v>503</v>
      </c>
      <c r="B100" s="13" t="s">
        <v>201</v>
      </c>
      <c r="C100" s="14" t="s">
        <v>202</v>
      </c>
      <c r="D100" s="15" t="s">
        <v>83</v>
      </c>
      <c r="E100" s="16">
        <v>310.89999999999998</v>
      </c>
      <c r="F100" s="18">
        <v>38.799999999999997</v>
      </c>
      <c r="G100" s="18"/>
      <c r="H100" s="18"/>
      <c r="I100" s="18">
        <v>8</v>
      </c>
      <c r="J100" s="17">
        <f t="shared" si="20"/>
        <v>46.8</v>
      </c>
      <c r="K100" s="19">
        <f t="shared" si="18"/>
        <v>12062.92</v>
      </c>
      <c r="L100" s="19">
        <f t="shared" si="21"/>
        <v>0</v>
      </c>
      <c r="M100" s="19">
        <f t="shared" si="21"/>
        <v>0</v>
      </c>
      <c r="N100" s="19">
        <f t="shared" si="21"/>
        <v>2487.1999999999998</v>
      </c>
      <c r="O100" s="19">
        <f t="shared" si="21"/>
        <v>14550.12</v>
      </c>
    </row>
    <row r="101" spans="1:15" ht="19.899999999999999" customHeight="1" outlineLevel="1" x14ac:dyDescent="0.25">
      <c r="A101" s="30" t="s">
        <v>504</v>
      </c>
      <c r="B101" s="26" t="s">
        <v>203</v>
      </c>
      <c r="C101" s="14" t="s">
        <v>204</v>
      </c>
      <c r="D101" s="26" t="s">
        <v>83</v>
      </c>
      <c r="E101" s="19">
        <v>260.12</v>
      </c>
      <c r="F101" s="28">
        <v>31</v>
      </c>
      <c r="G101" s="28"/>
      <c r="H101" s="28"/>
      <c r="I101" s="28">
        <v>10.5</v>
      </c>
      <c r="J101" s="17">
        <f t="shared" si="20"/>
        <v>41.5</v>
      </c>
      <c r="K101" s="19">
        <f t="shared" si="18"/>
        <v>8063.72</v>
      </c>
      <c r="L101" s="19">
        <f t="shared" si="21"/>
        <v>0</v>
      </c>
      <c r="M101" s="19">
        <f t="shared" si="21"/>
        <v>0</v>
      </c>
      <c r="N101" s="19">
        <f t="shared" si="21"/>
        <v>2731.26</v>
      </c>
      <c r="O101" s="19">
        <f t="shared" si="21"/>
        <v>10794.98</v>
      </c>
    </row>
    <row r="102" spans="1:15" ht="19.899999999999999" customHeight="1" outlineLevel="1" x14ac:dyDescent="0.25">
      <c r="A102" s="30" t="s">
        <v>505</v>
      </c>
      <c r="B102" s="13" t="s">
        <v>205</v>
      </c>
      <c r="C102" s="14" t="s">
        <v>206</v>
      </c>
      <c r="D102" s="15" t="s">
        <v>83</v>
      </c>
      <c r="E102" s="16">
        <v>407.47</v>
      </c>
      <c r="F102" s="18">
        <v>208.5</v>
      </c>
      <c r="G102" s="18"/>
      <c r="H102" s="18"/>
      <c r="I102" s="18"/>
      <c r="J102" s="17">
        <f t="shared" si="20"/>
        <v>208.5</v>
      </c>
      <c r="K102" s="19">
        <f t="shared" si="18"/>
        <v>84957.49</v>
      </c>
      <c r="L102" s="19">
        <f t="shared" si="21"/>
        <v>0</v>
      </c>
      <c r="M102" s="19">
        <f t="shared" si="21"/>
        <v>0</v>
      </c>
      <c r="N102" s="19">
        <f t="shared" si="21"/>
        <v>0</v>
      </c>
      <c r="O102" s="19">
        <f t="shared" si="21"/>
        <v>84957.49</v>
      </c>
    </row>
    <row r="103" spans="1:15" ht="19.899999999999999" customHeight="1" outlineLevel="1" x14ac:dyDescent="0.25">
      <c r="A103" s="30" t="s">
        <v>506</v>
      </c>
      <c r="B103" s="26" t="s">
        <v>207</v>
      </c>
      <c r="C103" s="14" t="s">
        <v>208</v>
      </c>
      <c r="D103" s="26" t="s">
        <v>83</v>
      </c>
      <c r="E103" s="19">
        <v>683.43</v>
      </c>
      <c r="F103" s="28">
        <v>24.05</v>
      </c>
      <c r="G103" s="28"/>
      <c r="H103" s="28"/>
      <c r="I103" s="28">
        <v>14</v>
      </c>
      <c r="J103" s="17">
        <f t="shared" si="20"/>
        <v>38.049999999999997</v>
      </c>
      <c r="K103" s="19">
        <f t="shared" si="18"/>
        <v>16436.490000000002</v>
      </c>
      <c r="L103" s="19">
        <f t="shared" si="21"/>
        <v>0</v>
      </c>
      <c r="M103" s="19">
        <f t="shared" si="21"/>
        <v>0</v>
      </c>
      <c r="N103" s="19">
        <f t="shared" si="21"/>
        <v>9568.02</v>
      </c>
      <c r="O103" s="19">
        <f t="shared" si="21"/>
        <v>26004.51</v>
      </c>
    </row>
    <row r="104" spans="1:15" ht="19.899999999999999" customHeight="1" outlineLevel="1" x14ac:dyDescent="0.25">
      <c r="A104" s="30" t="s">
        <v>507</v>
      </c>
      <c r="B104" s="13" t="s">
        <v>209</v>
      </c>
      <c r="C104" s="14" t="s">
        <v>210</v>
      </c>
      <c r="D104" s="31" t="s">
        <v>83</v>
      </c>
      <c r="E104" s="32">
        <v>838.11</v>
      </c>
      <c r="F104" s="33">
        <v>2.5</v>
      </c>
      <c r="G104" s="33"/>
      <c r="H104" s="33"/>
      <c r="I104" s="33"/>
      <c r="J104" s="17">
        <f t="shared" si="20"/>
        <v>2.5</v>
      </c>
      <c r="K104" s="19">
        <f t="shared" si="18"/>
        <v>2095.27</v>
      </c>
      <c r="L104" s="19">
        <f t="shared" si="21"/>
        <v>0</v>
      </c>
      <c r="M104" s="19">
        <f t="shared" si="21"/>
        <v>0</v>
      </c>
      <c r="N104" s="19">
        <f t="shared" si="21"/>
        <v>0</v>
      </c>
      <c r="O104" s="19">
        <f t="shared" si="21"/>
        <v>2095.27</v>
      </c>
    </row>
    <row r="105" spans="1:15" ht="19.899999999999999" customHeight="1" outlineLevel="1" x14ac:dyDescent="0.25">
      <c r="A105" s="30" t="s">
        <v>508</v>
      </c>
      <c r="B105" s="13" t="s">
        <v>211</v>
      </c>
      <c r="C105" s="14" t="s">
        <v>212</v>
      </c>
      <c r="D105" s="15" t="s">
        <v>88</v>
      </c>
      <c r="E105" s="16">
        <v>58.59</v>
      </c>
      <c r="F105" s="18">
        <v>40</v>
      </c>
      <c r="G105" s="18"/>
      <c r="H105" s="18"/>
      <c r="I105" s="18"/>
      <c r="J105" s="17">
        <f t="shared" si="20"/>
        <v>40</v>
      </c>
      <c r="K105" s="19">
        <f t="shared" ref="K105:K125" si="22">TRUNC(F105*$E105,2)</f>
        <v>2343.6</v>
      </c>
      <c r="L105" s="19">
        <f t="shared" ref="L105:O120" si="23">TRUNC(G105*$E105,2)</f>
        <v>0</v>
      </c>
      <c r="M105" s="19">
        <f t="shared" si="23"/>
        <v>0</v>
      </c>
      <c r="N105" s="19">
        <f t="shared" si="23"/>
        <v>0</v>
      </c>
      <c r="O105" s="19">
        <f t="shared" si="23"/>
        <v>2343.6</v>
      </c>
    </row>
    <row r="106" spans="1:15" ht="19.899999999999999" customHeight="1" outlineLevel="1" x14ac:dyDescent="0.25">
      <c r="A106" s="30" t="s">
        <v>509</v>
      </c>
      <c r="B106" s="29" t="s">
        <v>213</v>
      </c>
      <c r="C106" s="14" t="s">
        <v>214</v>
      </c>
      <c r="D106" s="26" t="s">
        <v>88</v>
      </c>
      <c r="E106" s="19">
        <v>68.03</v>
      </c>
      <c r="F106" s="28">
        <v>9</v>
      </c>
      <c r="G106" s="28"/>
      <c r="H106" s="28"/>
      <c r="I106" s="28"/>
      <c r="J106" s="17">
        <f t="shared" si="20"/>
        <v>9</v>
      </c>
      <c r="K106" s="19">
        <f t="shared" si="22"/>
        <v>612.27</v>
      </c>
      <c r="L106" s="19">
        <f t="shared" si="23"/>
        <v>0</v>
      </c>
      <c r="M106" s="19">
        <f t="shared" si="23"/>
        <v>0</v>
      </c>
      <c r="N106" s="19">
        <f t="shared" si="23"/>
        <v>0</v>
      </c>
      <c r="O106" s="19">
        <f t="shared" si="23"/>
        <v>612.27</v>
      </c>
    </row>
    <row r="107" spans="1:15" ht="19.899999999999999" customHeight="1" outlineLevel="1" x14ac:dyDescent="0.25">
      <c r="A107" s="30" t="s">
        <v>510</v>
      </c>
      <c r="B107" s="13" t="s">
        <v>215</v>
      </c>
      <c r="C107" s="14" t="s">
        <v>216</v>
      </c>
      <c r="D107" s="15" t="s">
        <v>88</v>
      </c>
      <c r="E107" s="16">
        <v>663.31</v>
      </c>
      <c r="F107" s="18">
        <v>20</v>
      </c>
      <c r="G107" s="18"/>
      <c r="H107" s="18"/>
      <c r="I107" s="18"/>
      <c r="J107" s="17">
        <f t="shared" si="20"/>
        <v>20</v>
      </c>
      <c r="K107" s="19">
        <f t="shared" si="22"/>
        <v>13266.2</v>
      </c>
      <c r="L107" s="19">
        <f t="shared" si="23"/>
        <v>0</v>
      </c>
      <c r="M107" s="19">
        <f t="shared" si="23"/>
        <v>0</v>
      </c>
      <c r="N107" s="19">
        <f t="shared" si="23"/>
        <v>0</v>
      </c>
      <c r="O107" s="19">
        <f t="shared" si="23"/>
        <v>13266.2</v>
      </c>
    </row>
    <row r="108" spans="1:15" ht="19.899999999999999" customHeight="1" outlineLevel="1" x14ac:dyDescent="0.25">
      <c r="A108" s="30" t="s">
        <v>511</v>
      </c>
      <c r="B108" s="26" t="s">
        <v>217</v>
      </c>
      <c r="C108" s="14" t="s">
        <v>218</v>
      </c>
      <c r="D108" s="26" t="s">
        <v>88</v>
      </c>
      <c r="E108" s="19">
        <v>885.83</v>
      </c>
      <c r="F108" s="28">
        <v>22</v>
      </c>
      <c r="G108" s="28"/>
      <c r="H108" s="28"/>
      <c r="I108" s="28"/>
      <c r="J108" s="17">
        <f t="shared" si="20"/>
        <v>22</v>
      </c>
      <c r="K108" s="19">
        <f t="shared" si="22"/>
        <v>19488.259999999998</v>
      </c>
      <c r="L108" s="19">
        <f t="shared" si="23"/>
        <v>0</v>
      </c>
      <c r="M108" s="19">
        <f t="shared" si="23"/>
        <v>0</v>
      </c>
      <c r="N108" s="19">
        <f t="shared" si="23"/>
        <v>0</v>
      </c>
      <c r="O108" s="19">
        <f t="shared" si="23"/>
        <v>19488.259999999998</v>
      </c>
    </row>
    <row r="109" spans="1:15" ht="19.899999999999999" customHeight="1" outlineLevel="1" x14ac:dyDescent="0.25">
      <c r="A109" s="30" t="s">
        <v>512</v>
      </c>
      <c r="B109" s="13" t="s">
        <v>219</v>
      </c>
      <c r="C109" s="14" t="s">
        <v>220</v>
      </c>
      <c r="D109" s="15" t="s">
        <v>88</v>
      </c>
      <c r="E109" s="16">
        <v>910.84</v>
      </c>
      <c r="F109" s="18">
        <v>12</v>
      </c>
      <c r="G109" s="18"/>
      <c r="H109" s="18"/>
      <c r="I109" s="18"/>
      <c r="J109" s="17">
        <f t="shared" si="20"/>
        <v>12</v>
      </c>
      <c r="K109" s="19">
        <f t="shared" si="22"/>
        <v>10930.08</v>
      </c>
      <c r="L109" s="19">
        <f t="shared" si="23"/>
        <v>0</v>
      </c>
      <c r="M109" s="19">
        <f t="shared" si="23"/>
        <v>0</v>
      </c>
      <c r="N109" s="19">
        <f t="shared" si="23"/>
        <v>0</v>
      </c>
      <c r="O109" s="19">
        <f t="shared" si="23"/>
        <v>10930.08</v>
      </c>
    </row>
    <row r="110" spans="1:15" ht="19.899999999999999" customHeight="1" outlineLevel="1" x14ac:dyDescent="0.25">
      <c r="A110" s="30" t="s">
        <v>513</v>
      </c>
      <c r="B110" s="26" t="s">
        <v>221</v>
      </c>
      <c r="C110" s="14" t="s">
        <v>222</v>
      </c>
      <c r="D110" s="26" t="s">
        <v>88</v>
      </c>
      <c r="E110" s="19">
        <v>1054.95</v>
      </c>
      <c r="F110" s="28">
        <v>1</v>
      </c>
      <c r="G110" s="28"/>
      <c r="H110" s="28"/>
      <c r="I110" s="28"/>
      <c r="J110" s="17">
        <f t="shared" si="20"/>
        <v>1</v>
      </c>
      <c r="K110" s="19">
        <f t="shared" si="22"/>
        <v>1054.95</v>
      </c>
      <c r="L110" s="19">
        <f t="shared" si="23"/>
        <v>0</v>
      </c>
      <c r="M110" s="19">
        <f t="shared" si="23"/>
        <v>0</v>
      </c>
      <c r="N110" s="19">
        <f t="shared" si="23"/>
        <v>0</v>
      </c>
      <c r="O110" s="19">
        <f t="shared" si="23"/>
        <v>1054.95</v>
      </c>
    </row>
    <row r="111" spans="1:15" ht="19.899999999999999" customHeight="1" outlineLevel="1" x14ac:dyDescent="0.25">
      <c r="A111" s="30" t="s">
        <v>514</v>
      </c>
      <c r="B111" s="13" t="s">
        <v>223</v>
      </c>
      <c r="C111" s="14" t="s">
        <v>224</v>
      </c>
      <c r="D111" s="31" t="s">
        <v>88</v>
      </c>
      <c r="E111" s="32">
        <v>592</v>
      </c>
      <c r="F111" s="33">
        <v>24</v>
      </c>
      <c r="G111" s="33"/>
      <c r="H111" s="33"/>
      <c r="I111" s="33"/>
      <c r="J111" s="17">
        <f t="shared" si="20"/>
        <v>24</v>
      </c>
      <c r="K111" s="19">
        <f t="shared" si="22"/>
        <v>14208</v>
      </c>
      <c r="L111" s="19">
        <f t="shared" si="23"/>
        <v>0</v>
      </c>
      <c r="M111" s="19">
        <f t="shared" si="23"/>
        <v>0</v>
      </c>
      <c r="N111" s="19">
        <f t="shared" si="23"/>
        <v>0</v>
      </c>
      <c r="O111" s="19">
        <f t="shared" si="23"/>
        <v>14208</v>
      </c>
    </row>
    <row r="112" spans="1:15" ht="19.899999999999999" customHeight="1" outlineLevel="1" x14ac:dyDescent="0.25">
      <c r="A112" s="30" t="s">
        <v>515</v>
      </c>
      <c r="B112" s="13" t="s">
        <v>225</v>
      </c>
      <c r="C112" s="14" t="s">
        <v>226</v>
      </c>
      <c r="D112" s="15" t="s">
        <v>88</v>
      </c>
      <c r="E112" s="16">
        <v>909.53</v>
      </c>
      <c r="F112" s="18">
        <v>1</v>
      </c>
      <c r="G112" s="18"/>
      <c r="H112" s="18"/>
      <c r="I112" s="18"/>
      <c r="J112" s="17">
        <f t="shared" si="20"/>
        <v>1</v>
      </c>
      <c r="K112" s="19">
        <f t="shared" si="22"/>
        <v>909.53</v>
      </c>
      <c r="L112" s="19">
        <f t="shared" si="23"/>
        <v>0</v>
      </c>
      <c r="M112" s="19">
        <f t="shared" si="23"/>
        <v>0</v>
      </c>
      <c r="N112" s="19">
        <f t="shared" si="23"/>
        <v>0</v>
      </c>
      <c r="O112" s="19">
        <f t="shared" si="23"/>
        <v>909.53</v>
      </c>
    </row>
    <row r="113" spans="1:15" ht="19.899999999999999" customHeight="1" outlineLevel="1" x14ac:dyDescent="0.25">
      <c r="A113" s="30" t="s">
        <v>516</v>
      </c>
      <c r="B113" s="29" t="s">
        <v>227</v>
      </c>
      <c r="C113" s="14" t="s">
        <v>228</v>
      </c>
      <c r="D113" s="26" t="s">
        <v>88</v>
      </c>
      <c r="E113" s="19">
        <v>1290.5</v>
      </c>
      <c r="F113" s="28">
        <v>1</v>
      </c>
      <c r="G113" s="28"/>
      <c r="H113" s="28"/>
      <c r="I113" s="28"/>
      <c r="J113" s="17">
        <f t="shared" si="20"/>
        <v>1</v>
      </c>
      <c r="K113" s="19">
        <f t="shared" si="22"/>
        <v>1290.5</v>
      </c>
      <c r="L113" s="19">
        <f t="shared" si="23"/>
        <v>0</v>
      </c>
      <c r="M113" s="19">
        <f t="shared" si="23"/>
        <v>0</v>
      </c>
      <c r="N113" s="19">
        <f t="shared" si="23"/>
        <v>0</v>
      </c>
      <c r="O113" s="19">
        <f t="shared" si="23"/>
        <v>1290.5</v>
      </c>
    </row>
    <row r="114" spans="1:15" ht="19.899999999999999" customHeight="1" outlineLevel="1" x14ac:dyDescent="0.25">
      <c r="A114" s="30" t="s">
        <v>517</v>
      </c>
      <c r="B114" s="13" t="s">
        <v>229</v>
      </c>
      <c r="C114" s="14" t="s">
        <v>230</v>
      </c>
      <c r="D114" s="15" t="s">
        <v>88</v>
      </c>
      <c r="E114" s="16">
        <v>1735.78</v>
      </c>
      <c r="F114" s="18">
        <v>1</v>
      </c>
      <c r="G114" s="18"/>
      <c r="H114" s="18"/>
      <c r="I114" s="18"/>
      <c r="J114" s="17">
        <f t="shared" si="20"/>
        <v>1</v>
      </c>
      <c r="K114" s="19">
        <f t="shared" si="22"/>
        <v>1735.78</v>
      </c>
      <c r="L114" s="19">
        <f t="shared" si="23"/>
        <v>0</v>
      </c>
      <c r="M114" s="19">
        <f t="shared" si="23"/>
        <v>0</v>
      </c>
      <c r="N114" s="19">
        <f t="shared" si="23"/>
        <v>0</v>
      </c>
      <c r="O114" s="19">
        <f t="shared" si="23"/>
        <v>1735.78</v>
      </c>
    </row>
    <row r="115" spans="1:15" ht="19.899999999999999" customHeight="1" outlineLevel="1" x14ac:dyDescent="0.25">
      <c r="A115" s="30" t="s">
        <v>518</v>
      </c>
      <c r="B115" s="26" t="s">
        <v>231</v>
      </c>
      <c r="C115" s="14" t="s">
        <v>232</v>
      </c>
      <c r="D115" s="26" t="s">
        <v>88</v>
      </c>
      <c r="E115" s="19">
        <v>1950.5</v>
      </c>
      <c r="F115" s="28">
        <v>2</v>
      </c>
      <c r="G115" s="28"/>
      <c r="H115" s="28"/>
      <c r="I115" s="28"/>
      <c r="J115" s="17">
        <f t="shared" si="20"/>
        <v>2</v>
      </c>
      <c r="K115" s="19">
        <f t="shared" si="22"/>
        <v>3901</v>
      </c>
      <c r="L115" s="19">
        <f t="shared" si="23"/>
        <v>0</v>
      </c>
      <c r="M115" s="19">
        <f t="shared" si="23"/>
        <v>0</v>
      </c>
      <c r="N115" s="19">
        <f t="shared" si="23"/>
        <v>0</v>
      </c>
      <c r="O115" s="19">
        <f t="shared" si="23"/>
        <v>3901</v>
      </c>
    </row>
    <row r="116" spans="1:15" ht="19.899999999999999" customHeight="1" outlineLevel="1" x14ac:dyDescent="0.25">
      <c r="A116" s="30" t="s">
        <v>519</v>
      </c>
      <c r="B116" s="13" t="s">
        <v>233</v>
      </c>
      <c r="C116" s="14" t="s">
        <v>234</v>
      </c>
      <c r="D116" s="15" t="s">
        <v>88</v>
      </c>
      <c r="E116" s="16">
        <v>2610.4899999999998</v>
      </c>
      <c r="F116" s="18">
        <v>1</v>
      </c>
      <c r="G116" s="18"/>
      <c r="H116" s="18"/>
      <c r="I116" s="18"/>
      <c r="J116" s="17">
        <f t="shared" si="20"/>
        <v>1</v>
      </c>
      <c r="K116" s="19">
        <f t="shared" si="22"/>
        <v>2610.4899999999998</v>
      </c>
      <c r="L116" s="19">
        <f t="shared" si="23"/>
        <v>0</v>
      </c>
      <c r="M116" s="19">
        <f t="shared" si="23"/>
        <v>0</v>
      </c>
      <c r="N116" s="19">
        <f t="shared" si="23"/>
        <v>0</v>
      </c>
      <c r="O116" s="19">
        <f t="shared" si="23"/>
        <v>2610.4899999999998</v>
      </c>
    </row>
    <row r="117" spans="1:15" ht="19.899999999999999" customHeight="1" outlineLevel="1" x14ac:dyDescent="0.25">
      <c r="A117" s="30" t="s">
        <v>520</v>
      </c>
      <c r="B117" s="26" t="s">
        <v>235</v>
      </c>
      <c r="C117" s="14" t="s">
        <v>236</v>
      </c>
      <c r="D117" s="26" t="s">
        <v>47</v>
      </c>
      <c r="E117" s="19">
        <v>44.79</v>
      </c>
      <c r="F117" s="28">
        <v>4919</v>
      </c>
      <c r="G117" s="28"/>
      <c r="H117" s="28"/>
      <c r="I117" s="28"/>
      <c r="J117" s="17">
        <f t="shared" si="20"/>
        <v>4919</v>
      </c>
      <c r="K117" s="19">
        <f t="shared" si="22"/>
        <v>220322.01</v>
      </c>
      <c r="L117" s="19">
        <f t="shared" si="23"/>
        <v>0</v>
      </c>
      <c r="M117" s="19">
        <f t="shared" si="23"/>
        <v>0</v>
      </c>
      <c r="N117" s="19">
        <f t="shared" si="23"/>
        <v>0</v>
      </c>
      <c r="O117" s="19">
        <f t="shared" si="23"/>
        <v>220322.01</v>
      </c>
    </row>
    <row r="118" spans="1:15" ht="19.899999999999999" customHeight="1" outlineLevel="1" x14ac:dyDescent="0.25">
      <c r="A118" s="30" t="s">
        <v>521</v>
      </c>
      <c r="B118" s="13" t="s">
        <v>237</v>
      </c>
      <c r="C118" s="14" t="s">
        <v>238</v>
      </c>
      <c r="D118" s="35" t="s">
        <v>76</v>
      </c>
      <c r="E118" s="32">
        <v>1.1399999999999999</v>
      </c>
      <c r="F118" s="33">
        <v>64340</v>
      </c>
      <c r="G118" s="33"/>
      <c r="H118" s="33"/>
      <c r="I118" s="33"/>
      <c r="J118" s="17">
        <f t="shared" si="20"/>
        <v>64340</v>
      </c>
      <c r="K118" s="19">
        <f t="shared" si="22"/>
        <v>73347.600000000006</v>
      </c>
      <c r="L118" s="19">
        <f t="shared" si="23"/>
        <v>0</v>
      </c>
      <c r="M118" s="19">
        <f t="shared" si="23"/>
        <v>0</v>
      </c>
      <c r="N118" s="19">
        <f t="shared" si="23"/>
        <v>0</v>
      </c>
      <c r="O118" s="19">
        <f t="shared" si="23"/>
        <v>73347.600000000006</v>
      </c>
    </row>
    <row r="119" spans="1:15" ht="19.899999999999999" customHeight="1" outlineLevel="1" x14ac:dyDescent="0.25">
      <c r="A119" s="30" t="s">
        <v>522</v>
      </c>
      <c r="B119" s="13" t="s">
        <v>239</v>
      </c>
      <c r="C119" s="14" t="s">
        <v>240</v>
      </c>
      <c r="D119" s="15" t="s">
        <v>76</v>
      </c>
      <c r="E119" s="16">
        <v>1.1299999999999999</v>
      </c>
      <c r="F119" s="18">
        <v>225836.1</v>
      </c>
      <c r="G119" s="18"/>
      <c r="H119" s="18"/>
      <c r="I119" s="18"/>
      <c r="J119" s="17">
        <f t="shared" si="20"/>
        <v>225836.1</v>
      </c>
      <c r="K119" s="19">
        <f t="shared" si="22"/>
        <v>255194.79</v>
      </c>
      <c r="L119" s="19">
        <f t="shared" si="23"/>
        <v>0</v>
      </c>
      <c r="M119" s="19">
        <f t="shared" si="23"/>
        <v>0</v>
      </c>
      <c r="N119" s="19">
        <f t="shared" si="23"/>
        <v>0</v>
      </c>
      <c r="O119" s="19">
        <f t="shared" si="23"/>
        <v>255194.79</v>
      </c>
    </row>
    <row r="120" spans="1:15" ht="19.899999999999999" customHeight="1" outlineLevel="1" x14ac:dyDescent="0.25">
      <c r="A120" s="30" t="s">
        <v>523</v>
      </c>
      <c r="B120" s="29" t="s">
        <v>241</v>
      </c>
      <c r="C120" s="14" t="s">
        <v>242</v>
      </c>
      <c r="D120" s="26" t="s">
        <v>47</v>
      </c>
      <c r="E120" s="19">
        <v>112.68</v>
      </c>
      <c r="F120" s="28">
        <v>1202</v>
      </c>
      <c r="G120" s="28"/>
      <c r="H120" s="28"/>
      <c r="I120" s="28"/>
      <c r="J120" s="17">
        <f t="shared" si="20"/>
        <v>1202</v>
      </c>
      <c r="K120" s="19">
        <f t="shared" si="22"/>
        <v>135441.35999999999</v>
      </c>
      <c r="L120" s="19">
        <f t="shared" si="23"/>
        <v>0</v>
      </c>
      <c r="M120" s="19">
        <f t="shared" si="23"/>
        <v>0</v>
      </c>
      <c r="N120" s="19">
        <f t="shared" si="23"/>
        <v>0</v>
      </c>
      <c r="O120" s="19">
        <f t="shared" si="23"/>
        <v>135441.35999999999</v>
      </c>
    </row>
    <row r="121" spans="1:15" ht="19.899999999999999" customHeight="1" outlineLevel="1" x14ac:dyDescent="0.25">
      <c r="A121" s="30" t="s">
        <v>524</v>
      </c>
      <c r="B121" s="13" t="s">
        <v>243</v>
      </c>
      <c r="C121" s="14" t="s">
        <v>244</v>
      </c>
      <c r="D121" s="15" t="s">
        <v>76</v>
      </c>
      <c r="E121" s="16">
        <v>1.22</v>
      </c>
      <c r="F121" s="18">
        <v>111100</v>
      </c>
      <c r="G121" s="18">
        <v>80040</v>
      </c>
      <c r="H121" s="18"/>
      <c r="I121" s="18"/>
      <c r="J121" s="17">
        <f t="shared" si="20"/>
        <v>191140</v>
      </c>
      <c r="K121" s="19">
        <f t="shared" si="22"/>
        <v>135542</v>
      </c>
      <c r="L121" s="19">
        <f t="shared" ref="L121:O134" si="24">TRUNC(G121*$E121,2)</f>
        <v>97648.8</v>
      </c>
      <c r="M121" s="19">
        <f t="shared" si="24"/>
        <v>0</v>
      </c>
      <c r="N121" s="19">
        <f t="shared" si="24"/>
        <v>0</v>
      </c>
      <c r="O121" s="19">
        <f t="shared" si="24"/>
        <v>233190.8</v>
      </c>
    </row>
    <row r="122" spans="1:15" ht="19.899999999999999" customHeight="1" outlineLevel="1" x14ac:dyDescent="0.25">
      <c r="A122" s="30" t="s">
        <v>525</v>
      </c>
      <c r="B122" s="26" t="s">
        <v>245</v>
      </c>
      <c r="C122" s="14" t="s">
        <v>246</v>
      </c>
      <c r="D122" s="26" t="s">
        <v>247</v>
      </c>
      <c r="E122" s="19">
        <v>3439.38</v>
      </c>
      <c r="F122" s="28"/>
      <c r="G122" s="28">
        <v>16</v>
      </c>
      <c r="H122" s="28"/>
      <c r="I122" s="28"/>
      <c r="J122" s="17">
        <f t="shared" si="20"/>
        <v>16</v>
      </c>
      <c r="K122" s="19">
        <f t="shared" si="22"/>
        <v>0</v>
      </c>
      <c r="L122" s="19">
        <f t="shared" si="24"/>
        <v>55030.080000000002</v>
      </c>
      <c r="M122" s="19">
        <f t="shared" si="24"/>
        <v>0</v>
      </c>
      <c r="N122" s="19">
        <f t="shared" si="24"/>
        <v>0</v>
      </c>
      <c r="O122" s="19">
        <f t="shared" si="24"/>
        <v>55030.080000000002</v>
      </c>
    </row>
    <row r="123" spans="1:15" ht="19.899999999999999" customHeight="1" outlineLevel="1" x14ac:dyDescent="0.25">
      <c r="A123" s="30" t="s">
        <v>526</v>
      </c>
      <c r="B123" s="13" t="s">
        <v>248</v>
      </c>
      <c r="C123" s="14" t="s">
        <v>249</v>
      </c>
      <c r="D123" s="15" t="s">
        <v>88</v>
      </c>
      <c r="E123" s="16">
        <v>17725.75</v>
      </c>
      <c r="F123" s="18"/>
      <c r="G123" s="18">
        <v>2</v>
      </c>
      <c r="H123" s="18"/>
      <c r="I123" s="18"/>
      <c r="J123" s="17">
        <f t="shared" si="20"/>
        <v>2</v>
      </c>
      <c r="K123" s="19">
        <f t="shared" si="22"/>
        <v>0</v>
      </c>
      <c r="L123" s="19">
        <f t="shared" si="24"/>
        <v>35451.5</v>
      </c>
      <c r="M123" s="19">
        <f t="shared" si="24"/>
        <v>0</v>
      </c>
      <c r="N123" s="19">
        <f t="shared" si="24"/>
        <v>0</v>
      </c>
      <c r="O123" s="19">
        <f t="shared" si="24"/>
        <v>35451.5</v>
      </c>
    </row>
    <row r="124" spans="1:15" ht="19.899999999999999" customHeight="1" outlineLevel="1" x14ac:dyDescent="0.25">
      <c r="A124" s="30" t="s">
        <v>527</v>
      </c>
      <c r="B124" s="26" t="s">
        <v>250</v>
      </c>
      <c r="C124" s="14" t="s">
        <v>251</v>
      </c>
      <c r="D124" s="26" t="s">
        <v>47</v>
      </c>
      <c r="E124" s="19">
        <v>502.34</v>
      </c>
      <c r="F124" s="28"/>
      <c r="G124" s="28">
        <v>60.834000000000003</v>
      </c>
      <c r="H124" s="28"/>
      <c r="I124" s="28">
        <v>24.4</v>
      </c>
      <c r="J124" s="17">
        <f t="shared" si="20"/>
        <v>85.234000000000009</v>
      </c>
      <c r="K124" s="19">
        <f t="shared" si="22"/>
        <v>0</v>
      </c>
      <c r="L124" s="19">
        <f t="shared" si="24"/>
        <v>30559.35</v>
      </c>
      <c r="M124" s="19">
        <f t="shared" si="24"/>
        <v>0</v>
      </c>
      <c r="N124" s="19">
        <f t="shared" si="24"/>
        <v>12257.09</v>
      </c>
      <c r="O124" s="19">
        <f t="shared" si="24"/>
        <v>42816.44</v>
      </c>
    </row>
    <row r="125" spans="1:15" ht="19.899999999999999" customHeight="1" outlineLevel="1" x14ac:dyDescent="0.25">
      <c r="A125" s="30" t="s">
        <v>637</v>
      </c>
      <c r="B125" s="26" t="s">
        <v>618</v>
      </c>
      <c r="C125" s="14" t="s">
        <v>617</v>
      </c>
      <c r="D125" s="26" t="s">
        <v>247</v>
      </c>
      <c r="E125" s="19">
        <v>53.06</v>
      </c>
      <c r="F125" s="28"/>
      <c r="G125" s="28"/>
      <c r="H125" s="28"/>
      <c r="I125" s="28">
        <v>1044</v>
      </c>
      <c r="J125" s="17">
        <f t="shared" si="20"/>
        <v>1044</v>
      </c>
      <c r="K125" s="19">
        <f t="shared" si="22"/>
        <v>0</v>
      </c>
      <c r="L125" s="19">
        <f t="shared" si="24"/>
        <v>0</v>
      </c>
      <c r="M125" s="19">
        <f t="shared" si="24"/>
        <v>0</v>
      </c>
      <c r="N125" s="19">
        <f t="shared" si="24"/>
        <v>55394.64</v>
      </c>
      <c r="O125" s="19">
        <f t="shared" si="24"/>
        <v>55394.64</v>
      </c>
    </row>
    <row r="126" spans="1:15" ht="19.899999999999999" customHeight="1" outlineLevel="1" x14ac:dyDescent="0.25">
      <c r="A126" s="30" t="s">
        <v>638</v>
      </c>
      <c r="B126" s="26" t="s">
        <v>621</v>
      </c>
      <c r="C126" s="14" t="s">
        <v>619</v>
      </c>
      <c r="D126" s="26" t="s">
        <v>247</v>
      </c>
      <c r="E126" s="19">
        <v>1221.94</v>
      </c>
      <c r="F126" s="28"/>
      <c r="G126" s="28"/>
      <c r="H126" s="28"/>
      <c r="I126" s="28">
        <v>5</v>
      </c>
      <c r="J126" s="17">
        <f t="shared" si="20"/>
        <v>5</v>
      </c>
      <c r="K126" s="19">
        <f t="shared" ref="K126:K134" si="25">TRUNC(F126*$E126,2)</f>
        <v>0</v>
      </c>
      <c r="L126" s="19">
        <f t="shared" si="24"/>
        <v>0</v>
      </c>
      <c r="M126" s="19">
        <f t="shared" si="24"/>
        <v>0</v>
      </c>
      <c r="N126" s="19">
        <f t="shared" si="24"/>
        <v>6109.7</v>
      </c>
      <c r="O126" s="19">
        <f t="shared" si="24"/>
        <v>6109.7</v>
      </c>
    </row>
    <row r="127" spans="1:15" ht="19.899999999999999" customHeight="1" outlineLevel="1" x14ac:dyDescent="0.25">
      <c r="A127" s="30" t="s">
        <v>639</v>
      </c>
      <c r="B127" s="26" t="s">
        <v>622</v>
      </c>
      <c r="C127" s="14" t="s">
        <v>630</v>
      </c>
      <c r="D127" s="15" t="s">
        <v>88</v>
      </c>
      <c r="E127" s="19">
        <v>2551.88</v>
      </c>
      <c r="F127" s="28"/>
      <c r="G127" s="28"/>
      <c r="H127" s="28"/>
      <c r="I127" s="28">
        <v>1</v>
      </c>
      <c r="J127" s="17">
        <f t="shared" si="20"/>
        <v>1</v>
      </c>
      <c r="K127" s="19">
        <f t="shared" si="25"/>
        <v>0</v>
      </c>
      <c r="L127" s="19">
        <f t="shared" si="24"/>
        <v>0</v>
      </c>
      <c r="M127" s="19">
        <f t="shared" si="24"/>
        <v>0</v>
      </c>
      <c r="N127" s="19">
        <f t="shared" si="24"/>
        <v>2551.88</v>
      </c>
      <c r="O127" s="19">
        <f t="shared" si="24"/>
        <v>2551.88</v>
      </c>
    </row>
    <row r="128" spans="1:15" ht="19.899999999999999" customHeight="1" outlineLevel="1" x14ac:dyDescent="0.25">
      <c r="A128" s="30" t="s">
        <v>640</v>
      </c>
      <c r="B128" s="26" t="s">
        <v>623</v>
      </c>
      <c r="C128" s="14" t="s">
        <v>631</v>
      </c>
      <c r="D128" s="26" t="s">
        <v>247</v>
      </c>
      <c r="E128" s="19">
        <v>2403.6799999999998</v>
      </c>
      <c r="F128" s="28"/>
      <c r="G128" s="28"/>
      <c r="H128" s="28"/>
      <c r="I128" s="28">
        <v>24</v>
      </c>
      <c r="J128" s="17">
        <f t="shared" si="20"/>
        <v>24</v>
      </c>
      <c r="K128" s="19">
        <f t="shared" si="25"/>
        <v>0</v>
      </c>
      <c r="L128" s="19">
        <f t="shared" si="24"/>
        <v>0</v>
      </c>
      <c r="M128" s="19">
        <f t="shared" si="24"/>
        <v>0</v>
      </c>
      <c r="N128" s="19">
        <f t="shared" si="24"/>
        <v>57688.32</v>
      </c>
      <c r="O128" s="19">
        <f t="shared" si="24"/>
        <v>57688.32</v>
      </c>
    </row>
    <row r="129" spans="1:15" ht="19.899999999999999" customHeight="1" outlineLevel="1" x14ac:dyDescent="0.25">
      <c r="A129" s="30" t="s">
        <v>641</v>
      </c>
      <c r="B129" s="26" t="s">
        <v>624</v>
      </c>
      <c r="C129" s="14" t="s">
        <v>632</v>
      </c>
      <c r="D129" s="15" t="s">
        <v>88</v>
      </c>
      <c r="E129" s="19">
        <v>2746.14</v>
      </c>
      <c r="F129" s="28"/>
      <c r="G129" s="28"/>
      <c r="H129" s="28"/>
      <c r="I129" s="28">
        <v>1</v>
      </c>
      <c r="J129" s="17">
        <f t="shared" si="20"/>
        <v>1</v>
      </c>
      <c r="K129" s="19">
        <f t="shared" si="25"/>
        <v>0</v>
      </c>
      <c r="L129" s="19">
        <f t="shared" si="24"/>
        <v>0</v>
      </c>
      <c r="M129" s="19">
        <f t="shared" si="24"/>
        <v>0</v>
      </c>
      <c r="N129" s="19">
        <f t="shared" si="24"/>
        <v>2746.14</v>
      </c>
      <c r="O129" s="19">
        <f t="shared" si="24"/>
        <v>2746.14</v>
      </c>
    </row>
    <row r="130" spans="1:15" ht="19.899999999999999" customHeight="1" outlineLevel="1" x14ac:dyDescent="0.25">
      <c r="A130" s="30" t="s">
        <v>642</v>
      </c>
      <c r="B130" s="26" t="s">
        <v>625</v>
      </c>
      <c r="C130" s="14" t="s">
        <v>633</v>
      </c>
      <c r="D130" s="15" t="s">
        <v>88</v>
      </c>
      <c r="E130" s="19">
        <v>308.48</v>
      </c>
      <c r="F130" s="28"/>
      <c r="G130" s="28"/>
      <c r="H130" s="28"/>
      <c r="I130" s="28">
        <v>26</v>
      </c>
      <c r="J130" s="17">
        <f t="shared" si="20"/>
        <v>26</v>
      </c>
      <c r="K130" s="19">
        <f t="shared" si="25"/>
        <v>0</v>
      </c>
      <c r="L130" s="19">
        <f t="shared" si="24"/>
        <v>0</v>
      </c>
      <c r="M130" s="19">
        <f t="shared" si="24"/>
        <v>0</v>
      </c>
      <c r="N130" s="19">
        <f t="shared" si="24"/>
        <v>8020.48</v>
      </c>
      <c r="O130" s="19">
        <f t="shared" si="24"/>
        <v>8020.48</v>
      </c>
    </row>
    <row r="131" spans="1:15" ht="19.899999999999999" customHeight="1" outlineLevel="1" x14ac:dyDescent="0.25">
      <c r="A131" s="30" t="s">
        <v>643</v>
      </c>
      <c r="B131" s="26" t="s">
        <v>626</v>
      </c>
      <c r="C131" s="14" t="s">
        <v>634</v>
      </c>
      <c r="D131" s="15" t="s">
        <v>88</v>
      </c>
      <c r="E131" s="19">
        <v>1285.48</v>
      </c>
      <c r="F131" s="28"/>
      <c r="G131" s="28"/>
      <c r="H131" s="28"/>
      <c r="I131" s="28">
        <v>1</v>
      </c>
      <c r="J131" s="17">
        <f t="shared" si="20"/>
        <v>1</v>
      </c>
      <c r="K131" s="19">
        <f t="shared" si="25"/>
        <v>0</v>
      </c>
      <c r="L131" s="19">
        <f t="shared" si="24"/>
        <v>0</v>
      </c>
      <c r="M131" s="19">
        <f t="shared" si="24"/>
        <v>0</v>
      </c>
      <c r="N131" s="19">
        <f t="shared" si="24"/>
        <v>1285.48</v>
      </c>
      <c r="O131" s="19">
        <f t="shared" si="24"/>
        <v>1285.48</v>
      </c>
    </row>
    <row r="132" spans="1:15" ht="19.899999999999999" customHeight="1" outlineLevel="1" x14ac:dyDescent="0.25">
      <c r="A132" s="30" t="s">
        <v>644</v>
      </c>
      <c r="B132" s="26" t="s">
        <v>627</v>
      </c>
      <c r="C132" s="14" t="s">
        <v>635</v>
      </c>
      <c r="D132" s="26" t="s">
        <v>247</v>
      </c>
      <c r="E132" s="19">
        <v>72.17</v>
      </c>
      <c r="F132" s="28"/>
      <c r="G132" s="28"/>
      <c r="H132" s="28"/>
      <c r="I132" s="28">
        <v>1799.6</v>
      </c>
      <c r="J132" s="17">
        <f t="shared" si="20"/>
        <v>1799.6</v>
      </c>
      <c r="K132" s="19">
        <f t="shared" si="25"/>
        <v>0</v>
      </c>
      <c r="L132" s="19">
        <f t="shared" si="24"/>
        <v>0</v>
      </c>
      <c r="M132" s="19">
        <f t="shared" si="24"/>
        <v>0</v>
      </c>
      <c r="N132" s="19">
        <f t="shared" si="24"/>
        <v>129877.13</v>
      </c>
      <c r="O132" s="19">
        <f t="shared" si="24"/>
        <v>129877.13</v>
      </c>
    </row>
    <row r="133" spans="1:15" ht="19.899999999999999" customHeight="1" outlineLevel="1" x14ac:dyDescent="0.25">
      <c r="A133" s="30" t="s">
        <v>645</v>
      </c>
      <c r="B133" s="26" t="s">
        <v>628</v>
      </c>
      <c r="C133" s="14" t="s">
        <v>620</v>
      </c>
      <c r="D133" s="15" t="s">
        <v>88</v>
      </c>
      <c r="E133" s="19">
        <v>1061.43</v>
      </c>
      <c r="F133" s="28"/>
      <c r="G133" s="28"/>
      <c r="H133" s="28"/>
      <c r="I133" s="28">
        <v>41</v>
      </c>
      <c r="J133" s="17">
        <f t="shared" si="20"/>
        <v>41</v>
      </c>
      <c r="K133" s="19">
        <f t="shared" si="25"/>
        <v>0</v>
      </c>
      <c r="L133" s="19">
        <f t="shared" si="24"/>
        <v>0</v>
      </c>
      <c r="M133" s="19">
        <f t="shared" si="24"/>
        <v>0</v>
      </c>
      <c r="N133" s="19">
        <f t="shared" si="24"/>
        <v>43518.63</v>
      </c>
      <c r="O133" s="19">
        <f t="shared" si="24"/>
        <v>43518.63</v>
      </c>
    </row>
    <row r="134" spans="1:15" ht="19.899999999999999" customHeight="1" outlineLevel="1" x14ac:dyDescent="0.25">
      <c r="A134" s="30" t="s">
        <v>646</v>
      </c>
      <c r="B134" s="26" t="s">
        <v>629</v>
      </c>
      <c r="C134" s="14" t="s">
        <v>636</v>
      </c>
      <c r="D134" s="15" t="s">
        <v>88</v>
      </c>
      <c r="E134" s="19">
        <v>5529.99</v>
      </c>
      <c r="F134" s="28"/>
      <c r="G134" s="28"/>
      <c r="H134" s="28"/>
      <c r="I134" s="28">
        <v>1</v>
      </c>
      <c r="J134" s="17">
        <f t="shared" si="20"/>
        <v>1</v>
      </c>
      <c r="K134" s="19">
        <f t="shared" si="25"/>
        <v>0</v>
      </c>
      <c r="L134" s="19">
        <f t="shared" si="24"/>
        <v>0</v>
      </c>
      <c r="M134" s="19">
        <f t="shared" si="24"/>
        <v>0</v>
      </c>
      <c r="N134" s="19">
        <f t="shared" si="24"/>
        <v>5529.99</v>
      </c>
      <c r="O134" s="19">
        <f t="shared" si="24"/>
        <v>5529.99</v>
      </c>
    </row>
    <row r="135" spans="1:15" s="11" customFormat="1" ht="19.899999999999999" customHeight="1" x14ac:dyDescent="0.25">
      <c r="A135" s="4" t="s">
        <v>408</v>
      </c>
      <c r="B135" s="7">
        <v>37</v>
      </c>
      <c r="C135" s="21" t="s">
        <v>252</v>
      </c>
      <c r="D135" s="22"/>
      <c r="E135" s="23"/>
      <c r="F135" s="24"/>
      <c r="G135" s="24"/>
      <c r="H135" s="24"/>
      <c r="I135" s="24"/>
      <c r="J135" s="6"/>
      <c r="K135" s="8">
        <f>SUM(K136:K166)</f>
        <v>32959664.710000001</v>
      </c>
      <c r="L135" s="8">
        <f t="shared" ref="L135:O135" si="26">SUM(L136:L166)</f>
        <v>4893677.9200000009</v>
      </c>
      <c r="M135" s="8">
        <f t="shared" si="26"/>
        <v>0</v>
      </c>
      <c r="N135" s="8">
        <f t="shared" si="26"/>
        <v>0</v>
      </c>
      <c r="O135" s="8">
        <f t="shared" si="26"/>
        <v>37853342.630000003</v>
      </c>
    </row>
    <row r="136" spans="1:15" ht="19.899999999999999" customHeight="1" outlineLevel="1" x14ac:dyDescent="0.25">
      <c r="A136" s="25" t="s">
        <v>528</v>
      </c>
      <c r="B136" s="29" t="s">
        <v>253</v>
      </c>
      <c r="C136" s="14" t="s">
        <v>254</v>
      </c>
      <c r="D136" s="26" t="s">
        <v>13</v>
      </c>
      <c r="E136" s="19">
        <v>432832.45</v>
      </c>
      <c r="F136" s="28">
        <v>1</v>
      </c>
      <c r="G136" s="28"/>
      <c r="H136" s="28"/>
      <c r="I136" s="28"/>
      <c r="J136" s="17">
        <f t="shared" si="20"/>
        <v>1</v>
      </c>
      <c r="K136" s="19">
        <f t="shared" ref="K136:K166" si="27">TRUNC(F136*$E136,2)</f>
        <v>432832.45</v>
      </c>
      <c r="L136" s="19">
        <f t="shared" ref="L136:O151" si="28">TRUNC(G136*$E136,2)</f>
        <v>0</v>
      </c>
      <c r="M136" s="19">
        <f t="shared" si="28"/>
        <v>0</v>
      </c>
      <c r="N136" s="19">
        <f t="shared" si="28"/>
        <v>0</v>
      </c>
      <c r="O136" s="19">
        <f t="shared" si="28"/>
        <v>432832.45</v>
      </c>
    </row>
    <row r="137" spans="1:15" ht="19.899999999999999" customHeight="1" outlineLevel="1" x14ac:dyDescent="0.25">
      <c r="A137" s="25" t="s">
        <v>529</v>
      </c>
      <c r="B137" s="13" t="s">
        <v>255</v>
      </c>
      <c r="C137" s="14" t="s">
        <v>256</v>
      </c>
      <c r="D137" s="15" t="s">
        <v>32</v>
      </c>
      <c r="E137" s="16">
        <v>0.95</v>
      </c>
      <c r="F137" s="18">
        <v>10620</v>
      </c>
      <c r="G137" s="18"/>
      <c r="H137" s="18"/>
      <c r="I137" s="18"/>
      <c r="J137" s="17">
        <f t="shared" si="20"/>
        <v>10620</v>
      </c>
      <c r="K137" s="19">
        <f t="shared" si="27"/>
        <v>10089</v>
      </c>
      <c r="L137" s="19">
        <f t="shared" si="28"/>
        <v>0</v>
      </c>
      <c r="M137" s="19">
        <f t="shared" si="28"/>
        <v>0</v>
      </c>
      <c r="N137" s="19">
        <f t="shared" si="28"/>
        <v>0</v>
      </c>
      <c r="O137" s="19">
        <f t="shared" si="28"/>
        <v>10089</v>
      </c>
    </row>
    <row r="138" spans="1:15" ht="19.899999999999999" customHeight="1" outlineLevel="1" x14ac:dyDescent="0.25">
      <c r="A138" s="25" t="s">
        <v>530</v>
      </c>
      <c r="B138" s="26" t="s">
        <v>257</v>
      </c>
      <c r="C138" s="14" t="s">
        <v>258</v>
      </c>
      <c r="D138" s="26" t="s">
        <v>47</v>
      </c>
      <c r="E138" s="19">
        <v>8.17</v>
      </c>
      <c r="F138" s="28">
        <v>1600</v>
      </c>
      <c r="G138" s="28"/>
      <c r="H138" s="28"/>
      <c r="I138" s="28"/>
      <c r="J138" s="17">
        <f t="shared" ref="J138:J203" si="29">SUM(F138:I138)</f>
        <v>1600</v>
      </c>
      <c r="K138" s="19">
        <f t="shared" si="27"/>
        <v>13072</v>
      </c>
      <c r="L138" s="19">
        <f t="shared" si="28"/>
        <v>0</v>
      </c>
      <c r="M138" s="19">
        <f t="shared" si="28"/>
        <v>0</v>
      </c>
      <c r="N138" s="19">
        <f t="shared" si="28"/>
        <v>0</v>
      </c>
      <c r="O138" s="19">
        <f t="shared" si="28"/>
        <v>13072</v>
      </c>
    </row>
    <row r="139" spans="1:15" ht="19.899999999999999" customHeight="1" outlineLevel="1" x14ac:dyDescent="0.25">
      <c r="A139" s="25" t="s">
        <v>531</v>
      </c>
      <c r="B139" s="13" t="s">
        <v>259</v>
      </c>
      <c r="C139" s="14" t="s">
        <v>260</v>
      </c>
      <c r="D139" s="15" t="s">
        <v>76</v>
      </c>
      <c r="E139" s="16">
        <v>2.3199999999999998</v>
      </c>
      <c r="F139" s="18">
        <v>1593</v>
      </c>
      <c r="G139" s="18"/>
      <c r="H139" s="18"/>
      <c r="I139" s="18"/>
      <c r="J139" s="17">
        <f t="shared" si="29"/>
        <v>1593</v>
      </c>
      <c r="K139" s="19">
        <f t="shared" si="27"/>
        <v>3695.76</v>
      </c>
      <c r="L139" s="19">
        <f t="shared" si="28"/>
        <v>0</v>
      </c>
      <c r="M139" s="19">
        <f t="shared" si="28"/>
        <v>0</v>
      </c>
      <c r="N139" s="19">
        <f t="shared" si="28"/>
        <v>0</v>
      </c>
      <c r="O139" s="19">
        <f t="shared" si="28"/>
        <v>3695.76</v>
      </c>
    </row>
    <row r="140" spans="1:15" ht="19.899999999999999" customHeight="1" outlineLevel="1" x14ac:dyDescent="0.25">
      <c r="A140" s="25" t="s">
        <v>532</v>
      </c>
      <c r="B140" s="26" t="s">
        <v>261</v>
      </c>
      <c r="C140" s="14" t="s">
        <v>262</v>
      </c>
      <c r="D140" s="26" t="s">
        <v>76</v>
      </c>
      <c r="E140" s="19">
        <v>2.0699999999999998</v>
      </c>
      <c r="F140" s="28">
        <v>8000</v>
      </c>
      <c r="G140" s="28"/>
      <c r="H140" s="28"/>
      <c r="I140" s="28"/>
      <c r="J140" s="17">
        <f t="shared" si="29"/>
        <v>8000</v>
      </c>
      <c r="K140" s="19">
        <f t="shared" si="27"/>
        <v>16560</v>
      </c>
      <c r="L140" s="19">
        <f t="shared" si="28"/>
        <v>0</v>
      </c>
      <c r="M140" s="19">
        <f t="shared" si="28"/>
        <v>0</v>
      </c>
      <c r="N140" s="19">
        <f t="shared" si="28"/>
        <v>0</v>
      </c>
      <c r="O140" s="19">
        <f t="shared" si="28"/>
        <v>16560</v>
      </c>
    </row>
    <row r="141" spans="1:15" ht="19.899999999999999" customHeight="1" outlineLevel="1" x14ac:dyDescent="0.25">
      <c r="A141" s="25" t="s">
        <v>533</v>
      </c>
      <c r="B141" s="13" t="s">
        <v>263</v>
      </c>
      <c r="C141" s="14" t="s">
        <v>264</v>
      </c>
      <c r="D141" s="31" t="s">
        <v>32</v>
      </c>
      <c r="E141" s="32">
        <v>1.3</v>
      </c>
      <c r="F141" s="33">
        <v>582766</v>
      </c>
      <c r="G141" s="33"/>
      <c r="H141" s="33"/>
      <c r="I141" s="33"/>
      <c r="J141" s="17">
        <f t="shared" si="29"/>
        <v>582766</v>
      </c>
      <c r="K141" s="19">
        <f t="shared" si="27"/>
        <v>757595.8</v>
      </c>
      <c r="L141" s="19">
        <f t="shared" si="28"/>
        <v>0</v>
      </c>
      <c r="M141" s="19">
        <f t="shared" si="28"/>
        <v>0</v>
      </c>
      <c r="N141" s="19">
        <f t="shared" si="28"/>
        <v>0</v>
      </c>
      <c r="O141" s="19">
        <f t="shared" si="28"/>
        <v>757595.8</v>
      </c>
    </row>
    <row r="142" spans="1:15" ht="19.899999999999999" customHeight="1" outlineLevel="1" x14ac:dyDescent="0.25">
      <c r="A142" s="25" t="s">
        <v>534</v>
      </c>
      <c r="B142" s="13" t="s">
        <v>265</v>
      </c>
      <c r="C142" s="14" t="s">
        <v>266</v>
      </c>
      <c r="D142" s="15" t="s">
        <v>47</v>
      </c>
      <c r="E142" s="16">
        <v>5.13</v>
      </c>
      <c r="F142" s="18">
        <v>41490.199999999997</v>
      </c>
      <c r="G142" s="18">
        <v>-12344.1</v>
      </c>
      <c r="H142" s="18"/>
      <c r="I142" s="18"/>
      <c r="J142" s="17">
        <f t="shared" si="29"/>
        <v>29146.1</v>
      </c>
      <c r="K142" s="19">
        <f t="shared" si="27"/>
        <v>212844.72</v>
      </c>
      <c r="L142" s="19">
        <f t="shared" si="28"/>
        <v>-63325.23</v>
      </c>
      <c r="M142" s="19">
        <f t="shared" si="28"/>
        <v>0</v>
      </c>
      <c r="N142" s="19">
        <f t="shared" si="28"/>
        <v>0</v>
      </c>
      <c r="O142" s="19">
        <f t="shared" si="28"/>
        <v>149519.49</v>
      </c>
    </row>
    <row r="143" spans="1:15" ht="19.899999999999999" customHeight="1" outlineLevel="1" x14ac:dyDescent="0.25">
      <c r="A143" s="25" t="s">
        <v>535</v>
      </c>
      <c r="B143" s="29" t="s">
        <v>267</v>
      </c>
      <c r="C143" s="14" t="s">
        <v>268</v>
      </c>
      <c r="D143" s="26" t="s">
        <v>47</v>
      </c>
      <c r="E143" s="19">
        <v>43.91</v>
      </c>
      <c r="F143" s="28">
        <v>83438</v>
      </c>
      <c r="G143" s="28"/>
      <c r="H143" s="28"/>
      <c r="I143" s="28"/>
      <c r="J143" s="17">
        <f t="shared" si="29"/>
        <v>83438</v>
      </c>
      <c r="K143" s="19">
        <f t="shared" si="27"/>
        <v>3663762.58</v>
      </c>
      <c r="L143" s="19">
        <f t="shared" si="28"/>
        <v>0</v>
      </c>
      <c r="M143" s="19">
        <f t="shared" si="28"/>
        <v>0</v>
      </c>
      <c r="N143" s="19">
        <f t="shared" si="28"/>
        <v>0</v>
      </c>
      <c r="O143" s="19">
        <f t="shared" si="28"/>
        <v>3663762.58</v>
      </c>
    </row>
    <row r="144" spans="1:15" ht="19.899999999999999" customHeight="1" outlineLevel="1" x14ac:dyDescent="0.25">
      <c r="A144" s="25" t="s">
        <v>536</v>
      </c>
      <c r="B144" s="13" t="s">
        <v>269</v>
      </c>
      <c r="C144" s="14" t="s">
        <v>270</v>
      </c>
      <c r="D144" s="15" t="s">
        <v>76</v>
      </c>
      <c r="E144" s="16">
        <v>2.93</v>
      </c>
      <c r="F144" s="18">
        <v>82102.990000000005</v>
      </c>
      <c r="G144" s="18"/>
      <c r="H144" s="18"/>
      <c r="I144" s="18"/>
      <c r="J144" s="17">
        <f t="shared" si="29"/>
        <v>82102.990000000005</v>
      </c>
      <c r="K144" s="19">
        <f t="shared" si="27"/>
        <v>240561.76</v>
      </c>
      <c r="L144" s="19">
        <f t="shared" si="28"/>
        <v>0</v>
      </c>
      <c r="M144" s="19">
        <f t="shared" si="28"/>
        <v>0</v>
      </c>
      <c r="N144" s="19">
        <f t="shared" si="28"/>
        <v>0</v>
      </c>
      <c r="O144" s="19">
        <f t="shared" si="28"/>
        <v>240561.76</v>
      </c>
    </row>
    <row r="145" spans="1:15" ht="19.899999999999999" customHeight="1" outlineLevel="1" x14ac:dyDescent="0.25">
      <c r="A145" s="25" t="s">
        <v>537</v>
      </c>
      <c r="B145" s="26" t="s">
        <v>271</v>
      </c>
      <c r="C145" s="14" t="s">
        <v>272</v>
      </c>
      <c r="D145" s="26" t="s">
        <v>76</v>
      </c>
      <c r="E145" s="19">
        <v>1.85</v>
      </c>
      <c r="F145" s="28">
        <v>665835.24</v>
      </c>
      <c r="G145" s="28"/>
      <c r="H145" s="28"/>
      <c r="I145" s="28"/>
      <c r="J145" s="17">
        <f t="shared" si="29"/>
        <v>665835.24</v>
      </c>
      <c r="K145" s="19">
        <f t="shared" si="27"/>
        <v>1231795.19</v>
      </c>
      <c r="L145" s="19">
        <f t="shared" si="28"/>
        <v>0</v>
      </c>
      <c r="M145" s="19">
        <f t="shared" si="28"/>
        <v>0</v>
      </c>
      <c r="N145" s="19">
        <f t="shared" si="28"/>
        <v>0</v>
      </c>
      <c r="O145" s="19">
        <f t="shared" si="28"/>
        <v>1231795.19</v>
      </c>
    </row>
    <row r="146" spans="1:15" ht="19.899999999999999" customHeight="1" outlineLevel="1" x14ac:dyDescent="0.25">
      <c r="A146" s="25" t="s">
        <v>538</v>
      </c>
      <c r="B146" s="13" t="s">
        <v>273</v>
      </c>
      <c r="C146" s="14" t="s">
        <v>274</v>
      </c>
      <c r="D146" s="15" t="s">
        <v>47</v>
      </c>
      <c r="E146" s="16">
        <v>47.3</v>
      </c>
      <c r="F146" s="18">
        <v>82294</v>
      </c>
      <c r="G146" s="18"/>
      <c r="H146" s="18"/>
      <c r="I146" s="18"/>
      <c r="J146" s="17">
        <f t="shared" si="29"/>
        <v>82294</v>
      </c>
      <c r="K146" s="19">
        <f t="shared" si="27"/>
        <v>3892506.2</v>
      </c>
      <c r="L146" s="19">
        <f t="shared" si="28"/>
        <v>0</v>
      </c>
      <c r="M146" s="19">
        <f t="shared" si="28"/>
        <v>0</v>
      </c>
      <c r="N146" s="19">
        <f t="shared" si="28"/>
        <v>0</v>
      </c>
      <c r="O146" s="19">
        <f t="shared" si="28"/>
        <v>3892506.2</v>
      </c>
    </row>
    <row r="147" spans="1:15" ht="19.899999999999999" customHeight="1" outlineLevel="1" x14ac:dyDescent="0.25">
      <c r="A147" s="25" t="s">
        <v>539</v>
      </c>
      <c r="B147" s="26" t="s">
        <v>275</v>
      </c>
      <c r="C147" s="14" t="s">
        <v>276</v>
      </c>
      <c r="D147" s="26" t="s">
        <v>76</v>
      </c>
      <c r="E147" s="19">
        <v>1.73</v>
      </c>
      <c r="F147" s="28">
        <v>424637.04</v>
      </c>
      <c r="G147" s="28">
        <v>-308602.5</v>
      </c>
      <c r="H147" s="28"/>
      <c r="I147" s="28"/>
      <c r="J147" s="17">
        <f t="shared" si="29"/>
        <v>116034.53999999998</v>
      </c>
      <c r="K147" s="19">
        <f t="shared" si="27"/>
        <v>734622.07</v>
      </c>
      <c r="L147" s="19">
        <f t="shared" si="28"/>
        <v>-533882.31999999995</v>
      </c>
      <c r="M147" s="19">
        <f t="shared" si="28"/>
        <v>0</v>
      </c>
      <c r="N147" s="19">
        <f t="shared" si="28"/>
        <v>0</v>
      </c>
      <c r="O147" s="19">
        <f t="shared" si="28"/>
        <v>200739.75</v>
      </c>
    </row>
    <row r="148" spans="1:15" ht="19.899999999999999" customHeight="1" outlineLevel="1" x14ac:dyDescent="0.25">
      <c r="A148" s="25" t="s">
        <v>540</v>
      </c>
      <c r="B148" s="13" t="s">
        <v>277</v>
      </c>
      <c r="C148" s="14" t="s">
        <v>278</v>
      </c>
      <c r="D148" s="35" t="s">
        <v>76</v>
      </c>
      <c r="E148" s="32">
        <v>1.85</v>
      </c>
      <c r="F148" s="33">
        <v>750521.28</v>
      </c>
      <c r="G148" s="33"/>
      <c r="H148" s="33"/>
      <c r="I148" s="33"/>
      <c r="J148" s="17">
        <f t="shared" si="29"/>
        <v>750521.28</v>
      </c>
      <c r="K148" s="19">
        <f t="shared" si="27"/>
        <v>1388464.36</v>
      </c>
      <c r="L148" s="19">
        <f t="shared" si="28"/>
        <v>0</v>
      </c>
      <c r="M148" s="19">
        <f t="shared" si="28"/>
        <v>0</v>
      </c>
      <c r="N148" s="19">
        <f t="shared" si="28"/>
        <v>0</v>
      </c>
      <c r="O148" s="19">
        <f t="shared" si="28"/>
        <v>1388464.36</v>
      </c>
    </row>
    <row r="149" spans="1:15" ht="19.899999999999999" customHeight="1" outlineLevel="1" x14ac:dyDescent="0.25">
      <c r="A149" s="25" t="s">
        <v>541</v>
      </c>
      <c r="B149" s="13" t="s">
        <v>279</v>
      </c>
      <c r="C149" s="14" t="s">
        <v>280</v>
      </c>
      <c r="D149" s="15" t="s">
        <v>32</v>
      </c>
      <c r="E149" s="16">
        <v>0.42</v>
      </c>
      <c r="F149" s="18">
        <v>536958</v>
      </c>
      <c r="G149" s="18"/>
      <c r="H149" s="18"/>
      <c r="I149" s="18"/>
      <c r="J149" s="17">
        <f t="shared" si="29"/>
        <v>536958</v>
      </c>
      <c r="K149" s="19">
        <f t="shared" si="27"/>
        <v>225522.36</v>
      </c>
      <c r="L149" s="19">
        <f t="shared" si="28"/>
        <v>0</v>
      </c>
      <c r="M149" s="19">
        <f t="shared" si="28"/>
        <v>0</v>
      </c>
      <c r="N149" s="19">
        <f t="shared" si="28"/>
        <v>0</v>
      </c>
      <c r="O149" s="19">
        <f t="shared" si="28"/>
        <v>225522.36</v>
      </c>
    </row>
    <row r="150" spans="1:15" ht="19.899999999999999" customHeight="1" outlineLevel="1" x14ac:dyDescent="0.25">
      <c r="A150" s="25" t="s">
        <v>542</v>
      </c>
      <c r="B150" s="29" t="s">
        <v>281</v>
      </c>
      <c r="C150" s="14" t="s">
        <v>282</v>
      </c>
      <c r="D150" s="26" t="s">
        <v>32</v>
      </c>
      <c r="E150" s="19">
        <v>0.31</v>
      </c>
      <c r="F150" s="28">
        <v>1042000</v>
      </c>
      <c r="G150" s="28"/>
      <c r="H150" s="28"/>
      <c r="I150" s="28"/>
      <c r="J150" s="17">
        <f t="shared" si="29"/>
        <v>1042000</v>
      </c>
      <c r="K150" s="19">
        <f t="shared" si="27"/>
        <v>323020</v>
      </c>
      <c r="L150" s="19">
        <f t="shared" si="28"/>
        <v>0</v>
      </c>
      <c r="M150" s="19">
        <f t="shared" si="28"/>
        <v>0</v>
      </c>
      <c r="N150" s="19">
        <f t="shared" si="28"/>
        <v>0</v>
      </c>
      <c r="O150" s="19">
        <f t="shared" si="28"/>
        <v>323020</v>
      </c>
    </row>
    <row r="151" spans="1:15" ht="19.899999999999999" customHeight="1" outlineLevel="1" x14ac:dyDescent="0.25">
      <c r="A151" s="25" t="s">
        <v>543</v>
      </c>
      <c r="B151" s="13" t="s">
        <v>283</v>
      </c>
      <c r="C151" s="14" t="s">
        <v>284</v>
      </c>
      <c r="D151" s="15" t="s">
        <v>47</v>
      </c>
      <c r="E151" s="16">
        <v>421.26</v>
      </c>
      <c r="F151" s="18">
        <v>20700</v>
      </c>
      <c r="G151" s="18"/>
      <c r="H151" s="18"/>
      <c r="I151" s="18"/>
      <c r="J151" s="17">
        <f t="shared" si="29"/>
        <v>20700</v>
      </c>
      <c r="K151" s="19">
        <f t="shared" si="27"/>
        <v>8720082</v>
      </c>
      <c r="L151" s="19">
        <f t="shared" si="28"/>
        <v>0</v>
      </c>
      <c r="M151" s="19">
        <f t="shared" si="28"/>
        <v>0</v>
      </c>
      <c r="N151" s="19">
        <f t="shared" si="28"/>
        <v>0</v>
      </c>
      <c r="O151" s="19">
        <f t="shared" si="28"/>
        <v>8720082</v>
      </c>
    </row>
    <row r="152" spans="1:15" ht="19.899999999999999" customHeight="1" outlineLevel="1" x14ac:dyDescent="0.25">
      <c r="A152" s="25" t="s">
        <v>544</v>
      </c>
      <c r="B152" s="26" t="s">
        <v>285</v>
      </c>
      <c r="C152" s="14" t="s">
        <v>286</v>
      </c>
      <c r="D152" s="26" t="s">
        <v>47</v>
      </c>
      <c r="E152" s="19">
        <v>416.18</v>
      </c>
      <c r="F152" s="28">
        <v>14240.97</v>
      </c>
      <c r="G152" s="28"/>
      <c r="H152" s="28"/>
      <c r="I152" s="28"/>
      <c r="J152" s="17">
        <f t="shared" si="29"/>
        <v>14240.97</v>
      </c>
      <c r="K152" s="19">
        <f t="shared" si="27"/>
        <v>5926806.8899999997</v>
      </c>
      <c r="L152" s="19">
        <f t="shared" ref="L152:O166" si="30">TRUNC(G152*$E152,2)</f>
        <v>0</v>
      </c>
      <c r="M152" s="19">
        <f t="shared" si="30"/>
        <v>0</v>
      </c>
      <c r="N152" s="19">
        <f t="shared" si="30"/>
        <v>0</v>
      </c>
      <c r="O152" s="19">
        <f t="shared" si="30"/>
        <v>5926806.8899999997</v>
      </c>
    </row>
    <row r="153" spans="1:15" ht="19.899999999999999" customHeight="1" outlineLevel="1" x14ac:dyDescent="0.25">
      <c r="A153" s="25" t="s">
        <v>545</v>
      </c>
      <c r="B153" s="13" t="s">
        <v>287</v>
      </c>
      <c r="C153" s="14" t="s">
        <v>288</v>
      </c>
      <c r="D153" s="15" t="s">
        <v>76</v>
      </c>
      <c r="E153" s="16">
        <v>1.76</v>
      </c>
      <c r="F153" s="18">
        <v>1942440.91</v>
      </c>
      <c r="G153" s="18">
        <v>613390.54</v>
      </c>
      <c r="H153" s="18"/>
      <c r="I153" s="18"/>
      <c r="J153" s="17">
        <f t="shared" si="29"/>
        <v>2555831.4500000002</v>
      </c>
      <c r="K153" s="19">
        <f t="shared" si="27"/>
        <v>3418696</v>
      </c>
      <c r="L153" s="19">
        <f t="shared" si="30"/>
        <v>1079567.3500000001</v>
      </c>
      <c r="M153" s="19">
        <f t="shared" si="30"/>
        <v>0</v>
      </c>
      <c r="N153" s="19">
        <f t="shared" si="30"/>
        <v>0</v>
      </c>
      <c r="O153" s="19">
        <f t="shared" si="30"/>
        <v>4498263.3499999996</v>
      </c>
    </row>
    <row r="154" spans="1:15" ht="19.899999999999999" customHeight="1" outlineLevel="1" x14ac:dyDescent="0.25">
      <c r="A154" s="25" t="s">
        <v>546</v>
      </c>
      <c r="B154" s="26" t="s">
        <v>289</v>
      </c>
      <c r="C154" s="14" t="s">
        <v>290</v>
      </c>
      <c r="D154" s="26" t="s">
        <v>76</v>
      </c>
      <c r="E154" s="19">
        <v>2.0099999999999998</v>
      </c>
      <c r="F154" s="28">
        <v>95479.5</v>
      </c>
      <c r="G154" s="28">
        <v>-95479.5</v>
      </c>
      <c r="H154" s="28"/>
      <c r="I154" s="28"/>
      <c r="J154" s="17">
        <f t="shared" si="29"/>
        <v>0</v>
      </c>
      <c r="K154" s="19">
        <f t="shared" si="27"/>
        <v>191913.79</v>
      </c>
      <c r="L154" s="19">
        <f t="shared" si="30"/>
        <v>-191913.79</v>
      </c>
      <c r="M154" s="19">
        <f t="shared" si="30"/>
        <v>0</v>
      </c>
      <c r="N154" s="19">
        <f t="shared" si="30"/>
        <v>0</v>
      </c>
      <c r="O154" s="19">
        <f t="shared" si="30"/>
        <v>0</v>
      </c>
    </row>
    <row r="155" spans="1:15" ht="19.899999999999999" customHeight="1" outlineLevel="1" x14ac:dyDescent="0.25">
      <c r="A155" s="25" t="s">
        <v>547</v>
      </c>
      <c r="B155" s="13" t="s">
        <v>291</v>
      </c>
      <c r="C155" s="14" t="s">
        <v>292</v>
      </c>
      <c r="D155" s="35" t="s">
        <v>76</v>
      </c>
      <c r="E155" s="32">
        <v>1.41</v>
      </c>
      <c r="F155" s="33"/>
      <c r="G155" s="33">
        <v>802360</v>
      </c>
      <c r="H155" s="33"/>
      <c r="I155" s="33"/>
      <c r="J155" s="17">
        <f t="shared" si="29"/>
        <v>802360</v>
      </c>
      <c r="K155" s="19">
        <f t="shared" si="27"/>
        <v>0</v>
      </c>
      <c r="L155" s="19">
        <f t="shared" si="30"/>
        <v>1131327.6000000001</v>
      </c>
      <c r="M155" s="19">
        <f t="shared" si="30"/>
        <v>0</v>
      </c>
      <c r="N155" s="19">
        <f t="shared" si="30"/>
        <v>0</v>
      </c>
      <c r="O155" s="19">
        <f t="shared" si="30"/>
        <v>1131327.6000000001</v>
      </c>
    </row>
    <row r="156" spans="1:15" ht="19.899999999999999" customHeight="1" outlineLevel="1" x14ac:dyDescent="0.25">
      <c r="A156" s="25" t="s">
        <v>548</v>
      </c>
      <c r="B156" s="13" t="s">
        <v>293</v>
      </c>
      <c r="C156" s="14" t="s">
        <v>294</v>
      </c>
      <c r="D156" s="15" t="s">
        <v>76</v>
      </c>
      <c r="E156" s="16">
        <v>1.01</v>
      </c>
      <c r="F156" s="18">
        <v>121912.07</v>
      </c>
      <c r="G156" s="18">
        <v>-121912.07</v>
      </c>
      <c r="H156" s="18"/>
      <c r="I156" s="18"/>
      <c r="J156" s="17">
        <f t="shared" si="29"/>
        <v>0</v>
      </c>
      <c r="K156" s="19">
        <f t="shared" si="27"/>
        <v>123131.19</v>
      </c>
      <c r="L156" s="19">
        <f t="shared" si="30"/>
        <v>-123131.19</v>
      </c>
      <c r="M156" s="19">
        <f t="shared" si="30"/>
        <v>0</v>
      </c>
      <c r="N156" s="19">
        <f t="shared" si="30"/>
        <v>0</v>
      </c>
      <c r="O156" s="19">
        <f t="shared" si="30"/>
        <v>0</v>
      </c>
    </row>
    <row r="157" spans="1:15" ht="19.899999999999999" customHeight="1" outlineLevel="1" x14ac:dyDescent="0.25">
      <c r="A157" s="25" t="s">
        <v>549</v>
      </c>
      <c r="B157" s="29" t="s">
        <v>295</v>
      </c>
      <c r="C157" s="14" t="s">
        <v>296</v>
      </c>
      <c r="D157" s="26" t="s">
        <v>76</v>
      </c>
      <c r="E157" s="19">
        <v>2.0699999999999998</v>
      </c>
      <c r="F157" s="28">
        <v>691831.20600000001</v>
      </c>
      <c r="G157" s="28"/>
      <c r="H157" s="28"/>
      <c r="I157" s="28"/>
      <c r="J157" s="17">
        <f t="shared" si="29"/>
        <v>691831.20600000001</v>
      </c>
      <c r="K157" s="19">
        <f t="shared" si="27"/>
        <v>1432090.59</v>
      </c>
      <c r="L157" s="19">
        <f t="shared" si="30"/>
        <v>0</v>
      </c>
      <c r="M157" s="19">
        <f t="shared" si="30"/>
        <v>0</v>
      </c>
      <c r="N157" s="19">
        <f t="shared" si="30"/>
        <v>0</v>
      </c>
      <c r="O157" s="19">
        <f t="shared" si="30"/>
        <v>1432090.59</v>
      </c>
    </row>
    <row r="158" spans="1:15" ht="19.899999999999999" customHeight="1" outlineLevel="1" x14ac:dyDescent="0.25">
      <c r="A158" s="25" t="s">
        <v>550</v>
      </c>
      <c r="B158" s="13" t="s">
        <v>297</v>
      </c>
      <c r="C158" s="14" t="s">
        <v>298</v>
      </c>
      <c r="D158" s="15" t="s">
        <v>299</v>
      </c>
      <c r="E158" s="16">
        <v>0</v>
      </c>
      <c r="F158" s="18">
        <v>644.35</v>
      </c>
      <c r="G158" s="18"/>
      <c r="H158" s="18"/>
      <c r="I158" s="18"/>
      <c r="J158" s="17">
        <f t="shared" si="29"/>
        <v>644.35</v>
      </c>
      <c r="K158" s="19">
        <f t="shared" si="27"/>
        <v>0</v>
      </c>
      <c r="L158" s="19">
        <f t="shared" si="30"/>
        <v>0</v>
      </c>
      <c r="M158" s="19">
        <f t="shared" si="30"/>
        <v>0</v>
      </c>
      <c r="N158" s="19">
        <f t="shared" si="30"/>
        <v>0</v>
      </c>
      <c r="O158" s="19">
        <f t="shared" si="30"/>
        <v>0</v>
      </c>
    </row>
    <row r="159" spans="1:15" ht="19.899999999999999" customHeight="1" outlineLevel="1" x14ac:dyDescent="0.25">
      <c r="A159" s="25" t="s">
        <v>551</v>
      </c>
      <c r="B159" s="26" t="s">
        <v>300</v>
      </c>
      <c r="C159" s="14" t="s">
        <v>301</v>
      </c>
      <c r="D159" s="26" t="s">
        <v>299</v>
      </c>
      <c r="E159" s="19">
        <v>0</v>
      </c>
      <c r="F159" s="28">
        <v>416.8</v>
      </c>
      <c r="G159" s="28"/>
      <c r="H159" s="28"/>
      <c r="I159" s="28"/>
      <c r="J159" s="17">
        <f t="shared" si="29"/>
        <v>416.8</v>
      </c>
      <c r="K159" s="19">
        <f t="shared" si="27"/>
        <v>0</v>
      </c>
      <c r="L159" s="19">
        <f t="shared" si="30"/>
        <v>0</v>
      </c>
      <c r="M159" s="19">
        <f t="shared" si="30"/>
        <v>0</v>
      </c>
      <c r="N159" s="19">
        <f t="shared" si="30"/>
        <v>0</v>
      </c>
      <c r="O159" s="19">
        <f t="shared" si="30"/>
        <v>0</v>
      </c>
    </row>
    <row r="160" spans="1:15" ht="19.899999999999999" customHeight="1" outlineLevel="1" x14ac:dyDescent="0.25">
      <c r="A160" s="25" t="s">
        <v>552</v>
      </c>
      <c r="B160" s="13" t="s">
        <v>302</v>
      </c>
      <c r="C160" s="14" t="s">
        <v>303</v>
      </c>
      <c r="D160" s="15" t="s">
        <v>299</v>
      </c>
      <c r="E160" s="16">
        <v>0</v>
      </c>
      <c r="F160" s="18">
        <v>4363.8100000000004</v>
      </c>
      <c r="G160" s="18"/>
      <c r="H160" s="18"/>
      <c r="I160" s="18"/>
      <c r="J160" s="17">
        <f t="shared" si="29"/>
        <v>4363.8100000000004</v>
      </c>
      <c r="K160" s="19">
        <f t="shared" si="27"/>
        <v>0</v>
      </c>
      <c r="L160" s="19">
        <f t="shared" si="30"/>
        <v>0</v>
      </c>
      <c r="M160" s="19">
        <f t="shared" si="30"/>
        <v>0</v>
      </c>
      <c r="N160" s="19">
        <f t="shared" si="30"/>
        <v>0</v>
      </c>
      <c r="O160" s="19">
        <f t="shared" si="30"/>
        <v>0</v>
      </c>
    </row>
    <row r="161" spans="1:15" ht="19.899999999999999" customHeight="1" outlineLevel="1" x14ac:dyDescent="0.25">
      <c r="A161" s="25" t="s">
        <v>553</v>
      </c>
      <c r="B161" s="26" t="s">
        <v>253</v>
      </c>
      <c r="C161" s="14" t="s">
        <v>304</v>
      </c>
      <c r="D161" s="26" t="s">
        <v>13</v>
      </c>
      <c r="E161" s="19">
        <v>198596.84</v>
      </c>
      <c r="F161" s="28"/>
      <c r="G161" s="28">
        <v>1</v>
      </c>
      <c r="H161" s="28"/>
      <c r="I161" s="28"/>
      <c r="J161" s="17">
        <f t="shared" si="29"/>
        <v>1</v>
      </c>
      <c r="K161" s="19">
        <f t="shared" si="27"/>
        <v>0</v>
      </c>
      <c r="L161" s="19">
        <f t="shared" si="30"/>
        <v>198596.84</v>
      </c>
      <c r="M161" s="19">
        <f t="shared" si="30"/>
        <v>0</v>
      </c>
      <c r="N161" s="19">
        <f t="shared" si="30"/>
        <v>0</v>
      </c>
      <c r="O161" s="19">
        <f t="shared" si="30"/>
        <v>198596.84</v>
      </c>
    </row>
    <row r="162" spans="1:15" ht="19.899999999999999" customHeight="1" outlineLevel="1" x14ac:dyDescent="0.25">
      <c r="A162" s="25" t="s">
        <v>554</v>
      </c>
      <c r="B162" s="13" t="s">
        <v>305</v>
      </c>
      <c r="C162" s="14" t="s">
        <v>306</v>
      </c>
      <c r="D162" s="31" t="s">
        <v>47</v>
      </c>
      <c r="E162" s="32">
        <v>9.99</v>
      </c>
      <c r="F162" s="33"/>
      <c r="G162" s="33">
        <v>124241.8</v>
      </c>
      <c r="H162" s="33"/>
      <c r="I162" s="33"/>
      <c r="J162" s="17">
        <f t="shared" si="29"/>
        <v>124241.8</v>
      </c>
      <c r="K162" s="19">
        <f t="shared" si="27"/>
        <v>0</v>
      </c>
      <c r="L162" s="19">
        <f t="shared" si="30"/>
        <v>1241175.58</v>
      </c>
      <c r="M162" s="19">
        <f t="shared" si="30"/>
        <v>0</v>
      </c>
      <c r="N162" s="19">
        <f t="shared" si="30"/>
        <v>0</v>
      </c>
      <c r="O162" s="19">
        <f t="shared" si="30"/>
        <v>1241175.58</v>
      </c>
    </row>
    <row r="163" spans="1:15" ht="19.899999999999999" customHeight="1" outlineLevel="1" x14ac:dyDescent="0.25">
      <c r="A163" s="25" t="s">
        <v>555</v>
      </c>
      <c r="B163" s="13" t="s">
        <v>307</v>
      </c>
      <c r="C163" s="14" t="s">
        <v>308</v>
      </c>
      <c r="D163" s="15" t="s">
        <v>47</v>
      </c>
      <c r="E163" s="16">
        <v>3.58</v>
      </c>
      <c r="F163" s="18"/>
      <c r="G163" s="18">
        <v>124241.8</v>
      </c>
      <c r="H163" s="18"/>
      <c r="I163" s="18"/>
      <c r="J163" s="17">
        <f t="shared" si="29"/>
        <v>124241.8</v>
      </c>
      <c r="K163" s="19">
        <f t="shared" si="27"/>
        <v>0</v>
      </c>
      <c r="L163" s="19">
        <f t="shared" si="30"/>
        <v>444785.64</v>
      </c>
      <c r="M163" s="19">
        <f t="shared" si="30"/>
        <v>0</v>
      </c>
      <c r="N163" s="19">
        <f t="shared" si="30"/>
        <v>0</v>
      </c>
      <c r="O163" s="19">
        <f t="shared" si="30"/>
        <v>444785.64</v>
      </c>
    </row>
    <row r="164" spans="1:15" ht="19.899999999999999" customHeight="1" outlineLevel="1" x14ac:dyDescent="0.25">
      <c r="A164" s="25" t="s">
        <v>556</v>
      </c>
      <c r="B164" s="29" t="s">
        <v>309</v>
      </c>
      <c r="C164" s="14" t="s">
        <v>310</v>
      </c>
      <c r="D164" s="26" t="s">
        <v>47</v>
      </c>
      <c r="E164" s="19">
        <v>2.87</v>
      </c>
      <c r="F164" s="28"/>
      <c r="G164" s="28">
        <v>49696.72</v>
      </c>
      <c r="H164" s="28"/>
      <c r="I164" s="28"/>
      <c r="J164" s="17">
        <f t="shared" si="29"/>
        <v>49696.72</v>
      </c>
      <c r="K164" s="19">
        <f t="shared" si="27"/>
        <v>0</v>
      </c>
      <c r="L164" s="19">
        <f t="shared" si="30"/>
        <v>142629.57999999999</v>
      </c>
      <c r="M164" s="19">
        <f t="shared" si="30"/>
        <v>0</v>
      </c>
      <c r="N164" s="19">
        <f t="shared" si="30"/>
        <v>0</v>
      </c>
      <c r="O164" s="19">
        <f t="shared" si="30"/>
        <v>142629.57999999999</v>
      </c>
    </row>
    <row r="165" spans="1:15" ht="19.899999999999999" customHeight="1" outlineLevel="1" x14ac:dyDescent="0.25">
      <c r="A165" s="25" t="s">
        <v>557</v>
      </c>
      <c r="B165" s="13" t="s">
        <v>311</v>
      </c>
      <c r="C165" s="14" t="s">
        <v>312</v>
      </c>
      <c r="D165" s="15" t="s">
        <v>47</v>
      </c>
      <c r="E165" s="16">
        <v>11.85</v>
      </c>
      <c r="F165" s="18"/>
      <c r="G165" s="18">
        <v>82294</v>
      </c>
      <c r="H165" s="18"/>
      <c r="I165" s="18"/>
      <c r="J165" s="17">
        <f t="shared" si="29"/>
        <v>82294</v>
      </c>
      <c r="K165" s="19">
        <f t="shared" si="27"/>
        <v>0</v>
      </c>
      <c r="L165" s="19">
        <f t="shared" si="30"/>
        <v>975183.9</v>
      </c>
      <c r="M165" s="19">
        <f t="shared" si="30"/>
        <v>0</v>
      </c>
      <c r="N165" s="19">
        <f t="shared" si="30"/>
        <v>0</v>
      </c>
      <c r="O165" s="19">
        <f t="shared" si="30"/>
        <v>975183.9</v>
      </c>
    </row>
    <row r="166" spans="1:15" ht="19.899999999999999" customHeight="1" outlineLevel="1" x14ac:dyDescent="0.25">
      <c r="A166" s="25" t="s">
        <v>558</v>
      </c>
      <c r="B166" s="26" t="s">
        <v>313</v>
      </c>
      <c r="C166" s="14" t="s">
        <v>314</v>
      </c>
      <c r="D166" s="26" t="s">
        <v>76</v>
      </c>
      <c r="E166" s="19">
        <v>1.01</v>
      </c>
      <c r="F166" s="28"/>
      <c r="G166" s="28">
        <v>586796</v>
      </c>
      <c r="H166" s="28"/>
      <c r="I166" s="28"/>
      <c r="J166" s="17">
        <f t="shared" si="29"/>
        <v>586796</v>
      </c>
      <c r="K166" s="19">
        <f t="shared" si="27"/>
        <v>0</v>
      </c>
      <c r="L166" s="19">
        <f t="shared" si="30"/>
        <v>592663.96</v>
      </c>
      <c r="M166" s="19">
        <f t="shared" si="30"/>
        <v>0</v>
      </c>
      <c r="N166" s="19">
        <f t="shared" si="30"/>
        <v>0</v>
      </c>
      <c r="O166" s="19">
        <f t="shared" si="30"/>
        <v>592663.96</v>
      </c>
    </row>
    <row r="167" spans="1:15" s="11" customFormat="1" ht="19.899999999999999" customHeight="1" x14ac:dyDescent="0.25">
      <c r="A167" s="4" t="s">
        <v>409</v>
      </c>
      <c r="B167" s="7">
        <v>38</v>
      </c>
      <c r="C167" s="36" t="s">
        <v>315</v>
      </c>
      <c r="D167" s="7"/>
      <c r="E167" s="8"/>
      <c r="F167" s="9"/>
      <c r="G167" s="9"/>
      <c r="H167" s="9"/>
      <c r="I167" s="9"/>
      <c r="J167" s="10"/>
      <c r="K167" s="8">
        <f>SUM(K168:K169)</f>
        <v>0</v>
      </c>
      <c r="L167" s="8">
        <f t="shared" ref="L167:O167" si="31">SUM(L168:L169)</f>
        <v>0</v>
      </c>
      <c r="M167" s="8">
        <f t="shared" si="31"/>
        <v>0</v>
      </c>
      <c r="N167" s="8">
        <f t="shared" si="31"/>
        <v>0</v>
      </c>
      <c r="O167" s="8">
        <f t="shared" si="31"/>
        <v>0</v>
      </c>
    </row>
    <row r="168" spans="1:15" ht="19.899999999999999" customHeight="1" outlineLevel="1" x14ac:dyDescent="0.25">
      <c r="A168" s="30" t="s">
        <v>559</v>
      </c>
      <c r="B168" s="13" t="s">
        <v>316</v>
      </c>
      <c r="C168" s="14" t="s">
        <v>317</v>
      </c>
      <c r="D168" s="31" t="s">
        <v>299</v>
      </c>
      <c r="E168" s="32">
        <v>0</v>
      </c>
      <c r="F168" s="33">
        <v>644.35</v>
      </c>
      <c r="G168" s="33"/>
      <c r="H168" s="33"/>
      <c r="I168" s="33"/>
      <c r="J168" s="17">
        <f t="shared" si="29"/>
        <v>644.35</v>
      </c>
      <c r="K168" s="19">
        <f>TRUNC(F168*$E168,2)</f>
        <v>0</v>
      </c>
      <c r="L168" s="19">
        <f t="shared" ref="L168:O169" si="32">TRUNC(G168*$E168,2)</f>
        <v>0</v>
      </c>
      <c r="M168" s="19">
        <f t="shared" si="32"/>
        <v>0</v>
      </c>
      <c r="N168" s="19">
        <f t="shared" si="32"/>
        <v>0</v>
      </c>
      <c r="O168" s="19">
        <f t="shared" si="32"/>
        <v>0</v>
      </c>
    </row>
    <row r="169" spans="1:15" ht="19.899999999999999" customHeight="1" outlineLevel="1" x14ac:dyDescent="0.25">
      <c r="A169" s="12" t="s">
        <v>560</v>
      </c>
      <c r="B169" s="13" t="s">
        <v>318</v>
      </c>
      <c r="C169" s="14" t="s">
        <v>319</v>
      </c>
      <c r="D169" s="15" t="s">
        <v>299</v>
      </c>
      <c r="E169" s="16">
        <v>0</v>
      </c>
      <c r="F169" s="18">
        <v>416.8</v>
      </c>
      <c r="G169" s="18"/>
      <c r="H169" s="18"/>
      <c r="I169" s="18"/>
      <c r="J169" s="17">
        <f t="shared" si="29"/>
        <v>416.8</v>
      </c>
      <c r="K169" s="19">
        <f>TRUNC(F169*$E169,2)</f>
        <v>0</v>
      </c>
      <c r="L169" s="19">
        <f t="shared" si="32"/>
        <v>0</v>
      </c>
      <c r="M169" s="19">
        <f t="shared" si="32"/>
        <v>0</v>
      </c>
      <c r="N169" s="19">
        <f t="shared" si="32"/>
        <v>0</v>
      </c>
      <c r="O169" s="19">
        <f t="shared" si="32"/>
        <v>0</v>
      </c>
    </row>
    <row r="170" spans="1:15" s="11" customFormat="1" ht="19.899999999999999" customHeight="1" x14ac:dyDescent="0.25">
      <c r="A170" s="4" t="s">
        <v>410</v>
      </c>
      <c r="B170" s="20">
        <v>178</v>
      </c>
      <c r="C170" s="21" t="s">
        <v>320</v>
      </c>
      <c r="D170" s="22"/>
      <c r="E170" s="23"/>
      <c r="F170" s="24"/>
      <c r="G170" s="24"/>
      <c r="H170" s="24"/>
      <c r="I170" s="24"/>
      <c r="J170" s="6"/>
      <c r="K170" s="8">
        <f>SUM(K171)</f>
        <v>0</v>
      </c>
      <c r="L170" s="8">
        <f t="shared" ref="L170:O170" si="33">SUM(L171)</f>
        <v>0</v>
      </c>
      <c r="M170" s="8">
        <f t="shared" si="33"/>
        <v>0</v>
      </c>
      <c r="N170" s="8">
        <f t="shared" si="33"/>
        <v>0</v>
      </c>
      <c r="O170" s="8">
        <f t="shared" si="33"/>
        <v>0</v>
      </c>
    </row>
    <row r="171" spans="1:15" ht="19.899999999999999" customHeight="1" outlineLevel="1" x14ac:dyDescent="0.25">
      <c r="A171" s="12" t="s">
        <v>411</v>
      </c>
      <c r="B171" s="26" t="s">
        <v>321</v>
      </c>
      <c r="C171" s="14" t="s">
        <v>322</v>
      </c>
      <c r="D171" s="26" t="s">
        <v>299</v>
      </c>
      <c r="E171" s="19">
        <v>0</v>
      </c>
      <c r="F171" s="28">
        <v>4363.8100000000004</v>
      </c>
      <c r="G171" s="28"/>
      <c r="H171" s="28"/>
      <c r="I171" s="28"/>
      <c r="J171" s="17">
        <f t="shared" si="29"/>
        <v>4363.8100000000004</v>
      </c>
      <c r="K171" s="19">
        <f>TRUNC(F171*$E171,2)</f>
        <v>0</v>
      </c>
      <c r="L171" s="19">
        <f t="shared" ref="L171:O171" si="34">TRUNC(G171*$E171,2)</f>
        <v>0</v>
      </c>
      <c r="M171" s="19">
        <f t="shared" si="34"/>
        <v>0</v>
      </c>
      <c r="N171" s="19">
        <f t="shared" si="34"/>
        <v>0</v>
      </c>
      <c r="O171" s="19">
        <f t="shared" si="34"/>
        <v>0</v>
      </c>
    </row>
    <row r="172" spans="1:15" s="11" customFormat="1" ht="19.899999999999999" customHeight="1" x14ac:dyDescent="0.25">
      <c r="A172" s="4" t="s">
        <v>412</v>
      </c>
      <c r="B172" s="7">
        <v>71</v>
      </c>
      <c r="C172" s="36" t="s">
        <v>323</v>
      </c>
      <c r="D172" s="7"/>
      <c r="E172" s="8"/>
      <c r="F172" s="9"/>
      <c r="G172" s="9"/>
      <c r="H172" s="9"/>
      <c r="I172" s="9"/>
      <c r="J172" s="10"/>
      <c r="K172" s="8">
        <f>SUM(K173:K192)</f>
        <v>6014645.1299999999</v>
      </c>
      <c r="L172" s="8">
        <f t="shared" ref="L172:O172" si="35">SUM(L173:L192)</f>
        <v>672262.25999999989</v>
      </c>
      <c r="M172" s="8">
        <f t="shared" si="35"/>
        <v>0</v>
      </c>
      <c r="N172" s="8">
        <f t="shared" si="35"/>
        <v>71251.66</v>
      </c>
      <c r="O172" s="8">
        <f t="shared" si="35"/>
        <v>6758159.0500000017</v>
      </c>
    </row>
    <row r="173" spans="1:15" ht="19.899999999999999" customHeight="1" outlineLevel="1" x14ac:dyDescent="0.25">
      <c r="A173" s="30" t="s">
        <v>561</v>
      </c>
      <c r="B173" s="13" t="s">
        <v>324</v>
      </c>
      <c r="C173" s="14" t="s">
        <v>325</v>
      </c>
      <c r="D173" s="31" t="s">
        <v>83</v>
      </c>
      <c r="E173" s="32">
        <v>15.76</v>
      </c>
      <c r="F173" s="33">
        <v>5852</v>
      </c>
      <c r="G173" s="33"/>
      <c r="H173" s="33"/>
      <c r="I173" s="33"/>
      <c r="J173" s="17">
        <f t="shared" si="29"/>
        <v>5852</v>
      </c>
      <c r="K173" s="19">
        <f t="shared" ref="K173:K190" si="36">TRUNC(F173*$E173,2)</f>
        <v>92227.520000000004</v>
      </c>
      <c r="L173" s="19">
        <f t="shared" ref="L173:O188" si="37">TRUNC(G173*$E173,2)</f>
        <v>0</v>
      </c>
      <c r="M173" s="19">
        <f t="shared" si="37"/>
        <v>0</v>
      </c>
      <c r="N173" s="19">
        <f t="shared" si="37"/>
        <v>0</v>
      </c>
      <c r="O173" s="19">
        <f t="shared" si="37"/>
        <v>92227.520000000004</v>
      </c>
    </row>
    <row r="174" spans="1:15" ht="19.899999999999999" customHeight="1" outlineLevel="1" x14ac:dyDescent="0.25">
      <c r="A174" s="30" t="s">
        <v>562</v>
      </c>
      <c r="B174" s="13" t="s">
        <v>326</v>
      </c>
      <c r="C174" s="14" t="s">
        <v>327</v>
      </c>
      <c r="D174" s="15" t="s">
        <v>83</v>
      </c>
      <c r="E174" s="16">
        <v>16.53</v>
      </c>
      <c r="F174" s="18">
        <v>80604</v>
      </c>
      <c r="G174" s="18">
        <v>-80604</v>
      </c>
      <c r="H174" s="18"/>
      <c r="I174" s="18"/>
      <c r="J174" s="17">
        <f t="shared" si="29"/>
        <v>0</v>
      </c>
      <c r="K174" s="19">
        <f t="shared" si="36"/>
        <v>1332384.1200000001</v>
      </c>
      <c r="L174" s="19">
        <f t="shared" si="37"/>
        <v>-1332384.1200000001</v>
      </c>
      <c r="M174" s="19">
        <f t="shared" si="37"/>
        <v>0</v>
      </c>
      <c r="N174" s="19">
        <f t="shared" si="37"/>
        <v>0</v>
      </c>
      <c r="O174" s="19">
        <f t="shared" si="37"/>
        <v>0</v>
      </c>
    </row>
    <row r="175" spans="1:15" ht="19.899999999999999" customHeight="1" outlineLevel="1" x14ac:dyDescent="0.25">
      <c r="A175" s="30" t="s">
        <v>563</v>
      </c>
      <c r="B175" s="29" t="s">
        <v>328</v>
      </c>
      <c r="C175" s="14" t="s">
        <v>329</v>
      </c>
      <c r="D175" s="26" t="s">
        <v>83</v>
      </c>
      <c r="E175" s="19">
        <v>18.73</v>
      </c>
      <c r="F175" s="28">
        <v>8956</v>
      </c>
      <c r="G175" s="28">
        <v>55124</v>
      </c>
      <c r="H175" s="28"/>
      <c r="I175" s="28"/>
      <c r="J175" s="17">
        <f t="shared" si="29"/>
        <v>64080</v>
      </c>
      <c r="K175" s="19">
        <f t="shared" si="36"/>
        <v>167745.88</v>
      </c>
      <c r="L175" s="19">
        <f t="shared" si="37"/>
        <v>1032472.52</v>
      </c>
      <c r="M175" s="19">
        <f t="shared" si="37"/>
        <v>0</v>
      </c>
      <c r="N175" s="19">
        <f t="shared" si="37"/>
        <v>0</v>
      </c>
      <c r="O175" s="19">
        <f t="shared" si="37"/>
        <v>1200218.3999999999</v>
      </c>
    </row>
    <row r="176" spans="1:15" ht="19.899999999999999" customHeight="1" outlineLevel="1" x14ac:dyDescent="0.25">
      <c r="A176" s="30" t="s">
        <v>564</v>
      </c>
      <c r="B176" s="13" t="s">
        <v>330</v>
      </c>
      <c r="C176" s="14" t="s">
        <v>331</v>
      </c>
      <c r="D176" s="15" t="s">
        <v>32</v>
      </c>
      <c r="E176" s="16">
        <v>0.85</v>
      </c>
      <c r="F176" s="18">
        <v>760810</v>
      </c>
      <c r="G176" s="18"/>
      <c r="H176" s="18"/>
      <c r="I176" s="18"/>
      <c r="J176" s="17">
        <f t="shared" si="29"/>
        <v>760810</v>
      </c>
      <c r="K176" s="19">
        <f t="shared" si="36"/>
        <v>646688.5</v>
      </c>
      <c r="L176" s="19">
        <f t="shared" si="37"/>
        <v>0</v>
      </c>
      <c r="M176" s="19">
        <f t="shared" si="37"/>
        <v>0</v>
      </c>
      <c r="N176" s="19">
        <f t="shared" si="37"/>
        <v>0</v>
      </c>
      <c r="O176" s="19">
        <f t="shared" si="37"/>
        <v>646688.5</v>
      </c>
    </row>
    <row r="177" spans="1:15" ht="19.899999999999999" customHeight="1" outlineLevel="1" x14ac:dyDescent="0.25">
      <c r="A177" s="30" t="s">
        <v>565</v>
      </c>
      <c r="B177" s="26" t="s">
        <v>332</v>
      </c>
      <c r="C177" s="14" t="s">
        <v>333</v>
      </c>
      <c r="D177" s="26" t="s">
        <v>32</v>
      </c>
      <c r="E177" s="19">
        <v>0.25</v>
      </c>
      <c r="F177" s="28">
        <v>94358</v>
      </c>
      <c r="G177" s="28"/>
      <c r="H177" s="28"/>
      <c r="I177" s="28"/>
      <c r="J177" s="17">
        <f t="shared" si="29"/>
        <v>94358</v>
      </c>
      <c r="K177" s="19">
        <f t="shared" si="36"/>
        <v>23589.5</v>
      </c>
      <c r="L177" s="19">
        <f t="shared" si="37"/>
        <v>0</v>
      </c>
      <c r="M177" s="19">
        <f t="shared" si="37"/>
        <v>0</v>
      </c>
      <c r="N177" s="19">
        <f t="shared" si="37"/>
        <v>0</v>
      </c>
      <c r="O177" s="19">
        <f t="shared" si="37"/>
        <v>23589.5</v>
      </c>
    </row>
    <row r="178" spans="1:15" ht="19.899999999999999" customHeight="1" outlineLevel="1" x14ac:dyDescent="0.25">
      <c r="A178" s="30" t="s">
        <v>566</v>
      </c>
      <c r="B178" s="13" t="s">
        <v>334</v>
      </c>
      <c r="C178" s="14" t="s">
        <v>335</v>
      </c>
      <c r="D178" s="15" t="s">
        <v>32</v>
      </c>
      <c r="E178" s="16">
        <v>0.84</v>
      </c>
      <c r="F178" s="18">
        <v>65347</v>
      </c>
      <c r="G178" s="18"/>
      <c r="H178" s="18"/>
      <c r="I178" s="18"/>
      <c r="J178" s="17">
        <f t="shared" si="29"/>
        <v>65347</v>
      </c>
      <c r="K178" s="19">
        <f t="shared" si="36"/>
        <v>54891.48</v>
      </c>
      <c r="L178" s="19">
        <f t="shared" si="37"/>
        <v>0</v>
      </c>
      <c r="M178" s="19">
        <f t="shared" si="37"/>
        <v>0</v>
      </c>
      <c r="N178" s="19">
        <f t="shared" si="37"/>
        <v>0</v>
      </c>
      <c r="O178" s="19">
        <f t="shared" si="37"/>
        <v>54891.48</v>
      </c>
    </row>
    <row r="179" spans="1:15" ht="19.899999999999999" customHeight="1" outlineLevel="1" x14ac:dyDescent="0.25">
      <c r="A179" s="30" t="s">
        <v>567</v>
      </c>
      <c r="B179" s="26" t="s">
        <v>336</v>
      </c>
      <c r="C179" s="14" t="s">
        <v>337</v>
      </c>
      <c r="D179" s="26" t="s">
        <v>76</v>
      </c>
      <c r="E179" s="19">
        <v>2.16</v>
      </c>
      <c r="F179" s="28">
        <v>114121</v>
      </c>
      <c r="G179" s="28"/>
      <c r="H179" s="28"/>
      <c r="I179" s="28"/>
      <c r="J179" s="17">
        <f t="shared" si="29"/>
        <v>114121</v>
      </c>
      <c r="K179" s="19">
        <f t="shared" si="36"/>
        <v>246501.36</v>
      </c>
      <c r="L179" s="19">
        <f t="shared" si="37"/>
        <v>0</v>
      </c>
      <c r="M179" s="19">
        <f t="shared" si="37"/>
        <v>0</v>
      </c>
      <c r="N179" s="19">
        <f t="shared" si="37"/>
        <v>0</v>
      </c>
      <c r="O179" s="19">
        <f t="shared" si="37"/>
        <v>246501.36</v>
      </c>
    </row>
    <row r="180" spans="1:15" ht="19.899999999999999" customHeight="1" outlineLevel="1" x14ac:dyDescent="0.25">
      <c r="A180" s="30" t="s">
        <v>568</v>
      </c>
      <c r="B180" s="13" t="s">
        <v>338</v>
      </c>
      <c r="C180" s="14" t="s">
        <v>339</v>
      </c>
      <c r="D180" s="31" t="s">
        <v>32</v>
      </c>
      <c r="E180" s="32">
        <v>2.38</v>
      </c>
      <c r="F180" s="33">
        <v>169515</v>
      </c>
      <c r="G180" s="33"/>
      <c r="H180" s="33"/>
      <c r="I180" s="33"/>
      <c r="J180" s="17">
        <f t="shared" si="29"/>
        <v>169515</v>
      </c>
      <c r="K180" s="19">
        <f t="shared" si="36"/>
        <v>403445.7</v>
      </c>
      <c r="L180" s="19">
        <f t="shared" si="37"/>
        <v>0</v>
      </c>
      <c r="M180" s="19">
        <f t="shared" si="37"/>
        <v>0</v>
      </c>
      <c r="N180" s="19">
        <f t="shared" si="37"/>
        <v>0</v>
      </c>
      <c r="O180" s="19">
        <f t="shared" si="37"/>
        <v>403445.7</v>
      </c>
    </row>
    <row r="181" spans="1:15" ht="19.899999999999999" customHeight="1" outlineLevel="1" x14ac:dyDescent="0.25">
      <c r="A181" s="30" t="s">
        <v>569</v>
      </c>
      <c r="B181" s="13" t="s">
        <v>340</v>
      </c>
      <c r="C181" s="14" t="s">
        <v>341</v>
      </c>
      <c r="D181" s="15" t="s">
        <v>88</v>
      </c>
      <c r="E181" s="16">
        <v>12.61</v>
      </c>
      <c r="F181" s="18">
        <v>91406</v>
      </c>
      <c r="G181" s="18"/>
      <c r="H181" s="18"/>
      <c r="I181" s="18"/>
      <c r="J181" s="17">
        <f t="shared" si="29"/>
        <v>91406</v>
      </c>
      <c r="K181" s="19">
        <f t="shared" si="36"/>
        <v>1152629.6599999999</v>
      </c>
      <c r="L181" s="19">
        <f t="shared" si="37"/>
        <v>0</v>
      </c>
      <c r="M181" s="19">
        <f t="shared" si="37"/>
        <v>0</v>
      </c>
      <c r="N181" s="19">
        <f t="shared" si="37"/>
        <v>0</v>
      </c>
      <c r="O181" s="19">
        <f t="shared" si="37"/>
        <v>1152629.6599999999</v>
      </c>
    </row>
    <row r="182" spans="1:15" ht="19.899999999999999" customHeight="1" outlineLevel="1" x14ac:dyDescent="0.25">
      <c r="A182" s="30" t="s">
        <v>570</v>
      </c>
      <c r="B182" s="29" t="s">
        <v>342</v>
      </c>
      <c r="C182" s="14" t="s">
        <v>343</v>
      </c>
      <c r="D182" s="26" t="s">
        <v>32</v>
      </c>
      <c r="E182" s="19">
        <v>0.19</v>
      </c>
      <c r="F182" s="28">
        <v>80435</v>
      </c>
      <c r="G182" s="28"/>
      <c r="H182" s="28"/>
      <c r="I182" s="28"/>
      <c r="J182" s="17">
        <f t="shared" si="29"/>
        <v>80435</v>
      </c>
      <c r="K182" s="19">
        <f t="shared" si="36"/>
        <v>15282.65</v>
      </c>
      <c r="L182" s="19">
        <f t="shared" si="37"/>
        <v>0</v>
      </c>
      <c r="M182" s="19">
        <f t="shared" si="37"/>
        <v>0</v>
      </c>
      <c r="N182" s="19">
        <f t="shared" si="37"/>
        <v>0</v>
      </c>
      <c r="O182" s="19">
        <f t="shared" si="37"/>
        <v>15282.65</v>
      </c>
    </row>
    <row r="183" spans="1:15" ht="19.899999999999999" customHeight="1" outlineLevel="1" x14ac:dyDescent="0.25">
      <c r="A183" s="30" t="s">
        <v>571</v>
      </c>
      <c r="B183" s="13" t="s">
        <v>344</v>
      </c>
      <c r="C183" s="14" t="s">
        <v>345</v>
      </c>
      <c r="D183" s="15" t="s">
        <v>32</v>
      </c>
      <c r="E183" s="16">
        <v>5.3</v>
      </c>
      <c r="F183" s="18">
        <v>271786</v>
      </c>
      <c r="G183" s="18"/>
      <c r="H183" s="18"/>
      <c r="I183" s="18"/>
      <c r="J183" s="17">
        <f t="shared" si="29"/>
        <v>271786</v>
      </c>
      <c r="K183" s="19">
        <f t="shared" si="36"/>
        <v>1440465.8</v>
      </c>
      <c r="L183" s="19">
        <f t="shared" si="37"/>
        <v>0</v>
      </c>
      <c r="M183" s="19">
        <f t="shared" si="37"/>
        <v>0</v>
      </c>
      <c r="N183" s="19">
        <f t="shared" si="37"/>
        <v>0</v>
      </c>
      <c r="O183" s="19">
        <f t="shared" si="37"/>
        <v>1440465.8</v>
      </c>
    </row>
    <row r="184" spans="1:15" ht="19.899999999999999" customHeight="1" outlineLevel="1" x14ac:dyDescent="0.25">
      <c r="A184" s="30" t="s">
        <v>572</v>
      </c>
      <c r="B184" s="26" t="s">
        <v>346</v>
      </c>
      <c r="C184" s="14" t="s">
        <v>347</v>
      </c>
      <c r="D184" s="26" t="s">
        <v>47</v>
      </c>
      <c r="E184" s="19">
        <v>5.4</v>
      </c>
      <c r="F184" s="28">
        <v>55.2</v>
      </c>
      <c r="G184" s="28"/>
      <c r="H184" s="28"/>
      <c r="I184" s="28"/>
      <c r="J184" s="17">
        <f t="shared" si="29"/>
        <v>55.2</v>
      </c>
      <c r="K184" s="19">
        <f t="shared" si="36"/>
        <v>298.08</v>
      </c>
      <c r="L184" s="19">
        <f t="shared" si="37"/>
        <v>0</v>
      </c>
      <c r="M184" s="19">
        <f t="shared" si="37"/>
        <v>0</v>
      </c>
      <c r="N184" s="19">
        <f t="shared" si="37"/>
        <v>0</v>
      </c>
      <c r="O184" s="19">
        <f t="shared" si="37"/>
        <v>298.08</v>
      </c>
    </row>
    <row r="185" spans="1:15" ht="19.899999999999999" customHeight="1" outlineLevel="1" x14ac:dyDescent="0.25">
      <c r="A185" s="30" t="s">
        <v>573</v>
      </c>
      <c r="B185" s="13" t="s">
        <v>348</v>
      </c>
      <c r="C185" s="14" t="s">
        <v>349</v>
      </c>
      <c r="D185" s="15" t="s">
        <v>32</v>
      </c>
      <c r="E185" s="16">
        <v>1.83</v>
      </c>
      <c r="F185" s="18">
        <v>238036</v>
      </c>
      <c r="G185" s="18"/>
      <c r="H185" s="18"/>
      <c r="I185" s="18"/>
      <c r="J185" s="17">
        <f t="shared" si="29"/>
        <v>238036</v>
      </c>
      <c r="K185" s="19">
        <f t="shared" si="36"/>
        <v>435605.88</v>
      </c>
      <c r="L185" s="19">
        <f t="shared" si="37"/>
        <v>0</v>
      </c>
      <c r="M185" s="19">
        <f t="shared" si="37"/>
        <v>0</v>
      </c>
      <c r="N185" s="19">
        <f t="shared" si="37"/>
        <v>0</v>
      </c>
      <c r="O185" s="19">
        <f t="shared" si="37"/>
        <v>435605.88</v>
      </c>
    </row>
    <row r="186" spans="1:15" ht="19.899999999999999" customHeight="1" outlineLevel="1" x14ac:dyDescent="0.25">
      <c r="A186" s="30" t="s">
        <v>574</v>
      </c>
      <c r="B186" s="26" t="s">
        <v>350</v>
      </c>
      <c r="C186" s="14" t="s">
        <v>351</v>
      </c>
      <c r="D186" s="26" t="s">
        <v>32</v>
      </c>
      <c r="E186" s="19">
        <v>6.42</v>
      </c>
      <c r="F186" s="28">
        <v>450</v>
      </c>
      <c r="G186" s="28"/>
      <c r="H186" s="28"/>
      <c r="I186" s="28"/>
      <c r="J186" s="17">
        <f t="shared" si="29"/>
        <v>450</v>
      </c>
      <c r="K186" s="19">
        <f t="shared" si="36"/>
        <v>2889</v>
      </c>
      <c r="L186" s="19">
        <f t="shared" si="37"/>
        <v>0</v>
      </c>
      <c r="M186" s="19">
        <f t="shared" si="37"/>
        <v>0</v>
      </c>
      <c r="N186" s="19">
        <f t="shared" si="37"/>
        <v>0</v>
      </c>
      <c r="O186" s="19">
        <f t="shared" si="37"/>
        <v>2889</v>
      </c>
    </row>
    <row r="187" spans="1:15" ht="19.899999999999999" customHeight="1" outlineLevel="1" x14ac:dyDescent="0.25">
      <c r="A187" s="30" t="s">
        <v>575</v>
      </c>
      <c r="B187" s="13" t="s">
        <v>352</v>
      </c>
      <c r="C187" s="14" t="s">
        <v>353</v>
      </c>
      <c r="D187" s="31" t="s">
        <v>247</v>
      </c>
      <c r="E187" s="32">
        <v>8.2799999999999994</v>
      </c>
      <c r="F187" s="33"/>
      <c r="G187" s="33">
        <v>8280</v>
      </c>
      <c r="H187" s="33"/>
      <c r="I187" s="33"/>
      <c r="J187" s="17">
        <f t="shared" si="29"/>
        <v>8280</v>
      </c>
      <c r="K187" s="19">
        <f t="shared" si="36"/>
        <v>0</v>
      </c>
      <c r="L187" s="19">
        <f t="shared" si="37"/>
        <v>68558.399999999994</v>
      </c>
      <c r="M187" s="19">
        <f t="shared" si="37"/>
        <v>0</v>
      </c>
      <c r="N187" s="19">
        <f t="shared" si="37"/>
        <v>0</v>
      </c>
      <c r="O187" s="19">
        <f t="shared" si="37"/>
        <v>68558.399999999994</v>
      </c>
    </row>
    <row r="188" spans="1:15" ht="19.899999999999999" customHeight="1" outlineLevel="1" x14ac:dyDescent="0.25">
      <c r="A188" s="30" t="s">
        <v>576</v>
      </c>
      <c r="B188" s="13" t="s">
        <v>354</v>
      </c>
      <c r="C188" s="14" t="s">
        <v>355</v>
      </c>
      <c r="D188" s="15" t="s">
        <v>247</v>
      </c>
      <c r="E188" s="16">
        <v>20.02</v>
      </c>
      <c r="F188" s="18"/>
      <c r="G188" s="18">
        <v>25480</v>
      </c>
      <c r="H188" s="18"/>
      <c r="I188" s="18"/>
      <c r="J188" s="17">
        <f t="shared" si="29"/>
        <v>25480</v>
      </c>
      <c r="K188" s="19">
        <f t="shared" si="36"/>
        <v>0</v>
      </c>
      <c r="L188" s="19">
        <f t="shared" si="37"/>
        <v>510109.6</v>
      </c>
      <c r="M188" s="19">
        <f t="shared" si="37"/>
        <v>0</v>
      </c>
      <c r="N188" s="19">
        <f t="shared" si="37"/>
        <v>0</v>
      </c>
      <c r="O188" s="19">
        <f t="shared" si="37"/>
        <v>510109.6</v>
      </c>
    </row>
    <row r="189" spans="1:15" ht="19.899999999999999" customHeight="1" outlineLevel="1" x14ac:dyDescent="0.25">
      <c r="A189" s="30" t="s">
        <v>577</v>
      </c>
      <c r="B189" s="29" t="s">
        <v>356</v>
      </c>
      <c r="C189" s="14" t="s">
        <v>357</v>
      </c>
      <c r="D189" s="26" t="s">
        <v>247</v>
      </c>
      <c r="E189" s="19">
        <v>4262.55</v>
      </c>
      <c r="F189" s="28"/>
      <c r="G189" s="28">
        <v>78</v>
      </c>
      <c r="H189" s="28"/>
      <c r="I189" s="28"/>
      <c r="J189" s="17">
        <f t="shared" si="29"/>
        <v>78</v>
      </c>
      <c r="K189" s="19">
        <f t="shared" si="36"/>
        <v>0</v>
      </c>
      <c r="L189" s="19">
        <f t="shared" ref="L189:O192" si="38">TRUNC(G189*$E189,2)</f>
        <v>332478.90000000002</v>
      </c>
      <c r="M189" s="19">
        <f t="shared" si="38"/>
        <v>0</v>
      </c>
      <c r="N189" s="19">
        <f t="shared" si="38"/>
        <v>0</v>
      </c>
      <c r="O189" s="19">
        <f t="shared" si="38"/>
        <v>332478.90000000002</v>
      </c>
    </row>
    <row r="190" spans="1:15" ht="19.899999999999999" customHeight="1" outlineLevel="1" x14ac:dyDescent="0.25">
      <c r="A190" s="30" t="s">
        <v>578</v>
      </c>
      <c r="B190" s="13" t="s">
        <v>358</v>
      </c>
      <c r="C190" s="14" t="s">
        <v>359</v>
      </c>
      <c r="D190" s="15" t="s">
        <v>88</v>
      </c>
      <c r="E190" s="16">
        <v>7628.37</v>
      </c>
      <c r="F190" s="18"/>
      <c r="G190" s="18">
        <v>8</v>
      </c>
      <c r="H190" s="18"/>
      <c r="I190" s="18">
        <v>4</v>
      </c>
      <c r="J190" s="17">
        <f t="shared" si="29"/>
        <v>12</v>
      </c>
      <c r="K190" s="19">
        <f t="shared" si="36"/>
        <v>0</v>
      </c>
      <c r="L190" s="19">
        <f t="shared" si="38"/>
        <v>61026.96</v>
      </c>
      <c r="M190" s="19">
        <f t="shared" si="38"/>
        <v>0</v>
      </c>
      <c r="N190" s="19">
        <f t="shared" si="38"/>
        <v>30513.48</v>
      </c>
      <c r="O190" s="19">
        <f t="shared" si="38"/>
        <v>91540.44</v>
      </c>
    </row>
    <row r="191" spans="1:15" ht="19.899999999999999" customHeight="1" outlineLevel="1" x14ac:dyDescent="0.25">
      <c r="A191" s="30" t="s">
        <v>652</v>
      </c>
      <c r="B191" s="13" t="s">
        <v>647</v>
      </c>
      <c r="C191" s="14" t="s">
        <v>649</v>
      </c>
      <c r="D191" s="15" t="s">
        <v>247</v>
      </c>
      <c r="E191" s="16">
        <v>5632.18</v>
      </c>
      <c r="F191" s="18"/>
      <c r="G191" s="18"/>
      <c r="H191" s="18"/>
      <c r="I191" s="18">
        <v>5</v>
      </c>
      <c r="J191" s="17">
        <f t="shared" si="29"/>
        <v>5</v>
      </c>
      <c r="K191" s="19">
        <f t="shared" ref="K191:K192" si="39">TRUNC(F191*$E191,2)</f>
        <v>0</v>
      </c>
      <c r="L191" s="19">
        <f t="shared" si="38"/>
        <v>0</v>
      </c>
      <c r="M191" s="19">
        <f t="shared" si="38"/>
        <v>0</v>
      </c>
      <c r="N191" s="19">
        <f t="shared" si="38"/>
        <v>28160.9</v>
      </c>
      <c r="O191" s="19">
        <f t="shared" si="38"/>
        <v>28160.9</v>
      </c>
    </row>
    <row r="192" spans="1:15" ht="19.899999999999999" customHeight="1" outlineLevel="1" x14ac:dyDescent="0.25">
      <c r="A192" s="30" t="s">
        <v>653</v>
      </c>
      <c r="B192" s="13" t="s">
        <v>648</v>
      </c>
      <c r="C192" s="14" t="s">
        <v>650</v>
      </c>
      <c r="D192" s="15" t="s">
        <v>612</v>
      </c>
      <c r="E192" s="16">
        <v>12577.28</v>
      </c>
      <c r="F192" s="18"/>
      <c r="G192" s="18"/>
      <c r="H192" s="18"/>
      <c r="I192" s="18">
        <v>1</v>
      </c>
      <c r="J192" s="17">
        <f t="shared" si="29"/>
        <v>1</v>
      </c>
      <c r="K192" s="19">
        <f t="shared" si="39"/>
        <v>0</v>
      </c>
      <c r="L192" s="19">
        <f t="shared" si="38"/>
        <v>0</v>
      </c>
      <c r="M192" s="19">
        <f t="shared" si="38"/>
        <v>0</v>
      </c>
      <c r="N192" s="19">
        <f t="shared" si="38"/>
        <v>12577.28</v>
      </c>
      <c r="O192" s="19">
        <f t="shared" si="38"/>
        <v>12577.28</v>
      </c>
    </row>
    <row r="193" spans="1:15" s="11" customFormat="1" ht="19.899999999999999" customHeight="1" x14ac:dyDescent="0.25">
      <c r="A193" s="4" t="s">
        <v>413</v>
      </c>
      <c r="B193" s="7">
        <v>70</v>
      </c>
      <c r="C193" s="21" t="s">
        <v>360</v>
      </c>
      <c r="D193" s="22"/>
      <c r="E193" s="23"/>
      <c r="F193" s="24"/>
      <c r="G193" s="24"/>
      <c r="H193" s="24"/>
      <c r="I193" s="24"/>
      <c r="J193" s="6"/>
      <c r="K193" s="8">
        <f>SUM(K194:K201)</f>
        <v>572080.52</v>
      </c>
      <c r="L193" s="8">
        <f t="shared" ref="L193:O193" si="40">SUM(L194:L201)</f>
        <v>0</v>
      </c>
      <c r="M193" s="8">
        <f t="shared" si="40"/>
        <v>0</v>
      </c>
      <c r="N193" s="8">
        <f t="shared" si="40"/>
        <v>0</v>
      </c>
      <c r="O193" s="8">
        <f t="shared" si="40"/>
        <v>572080.52</v>
      </c>
    </row>
    <row r="194" spans="1:15" ht="19.899999999999999" customHeight="1" outlineLevel="1" x14ac:dyDescent="0.25">
      <c r="A194" s="25" t="s">
        <v>579</v>
      </c>
      <c r="B194" s="26" t="s">
        <v>361</v>
      </c>
      <c r="C194" s="14" t="s">
        <v>362</v>
      </c>
      <c r="D194" s="26" t="s">
        <v>83</v>
      </c>
      <c r="E194" s="19">
        <v>2.34</v>
      </c>
      <c r="F194" s="28">
        <v>142407.28</v>
      </c>
      <c r="G194" s="28"/>
      <c r="H194" s="28"/>
      <c r="I194" s="28"/>
      <c r="J194" s="17">
        <f t="shared" si="29"/>
        <v>142407.28</v>
      </c>
      <c r="K194" s="19">
        <f t="shared" ref="K194:K201" si="41">TRUNC(F194*$E194,2)</f>
        <v>333233.03000000003</v>
      </c>
      <c r="L194" s="19">
        <f t="shared" ref="L194:O201" si="42">TRUNC(G194*$E194,2)</f>
        <v>0</v>
      </c>
      <c r="M194" s="19">
        <f t="shared" si="42"/>
        <v>0</v>
      </c>
      <c r="N194" s="19">
        <f t="shared" si="42"/>
        <v>0</v>
      </c>
      <c r="O194" s="19">
        <f t="shared" si="42"/>
        <v>333233.03000000003</v>
      </c>
    </row>
    <row r="195" spans="1:15" ht="19.899999999999999" customHeight="1" outlineLevel="1" x14ac:dyDescent="0.25">
      <c r="A195" s="25" t="s">
        <v>580</v>
      </c>
      <c r="B195" s="13" t="s">
        <v>363</v>
      </c>
      <c r="C195" s="14" t="s">
        <v>364</v>
      </c>
      <c r="D195" s="31" t="s">
        <v>83</v>
      </c>
      <c r="E195" s="32">
        <v>4.62</v>
      </c>
      <c r="F195" s="33">
        <v>1491.41</v>
      </c>
      <c r="G195" s="33"/>
      <c r="H195" s="33"/>
      <c r="I195" s="33"/>
      <c r="J195" s="17">
        <f t="shared" si="29"/>
        <v>1491.41</v>
      </c>
      <c r="K195" s="19">
        <f t="shared" si="41"/>
        <v>6890.31</v>
      </c>
      <c r="L195" s="19">
        <f t="shared" si="42"/>
        <v>0</v>
      </c>
      <c r="M195" s="19">
        <f t="shared" si="42"/>
        <v>0</v>
      </c>
      <c r="N195" s="19">
        <f t="shared" si="42"/>
        <v>0</v>
      </c>
      <c r="O195" s="19">
        <f t="shared" si="42"/>
        <v>6890.31</v>
      </c>
    </row>
    <row r="196" spans="1:15" ht="19.899999999999999" customHeight="1" outlineLevel="1" x14ac:dyDescent="0.25">
      <c r="A196" s="25" t="s">
        <v>581</v>
      </c>
      <c r="B196" s="13" t="s">
        <v>365</v>
      </c>
      <c r="C196" s="14" t="s">
        <v>366</v>
      </c>
      <c r="D196" s="15" t="s">
        <v>32</v>
      </c>
      <c r="E196" s="16">
        <v>15.04</v>
      </c>
      <c r="F196" s="18">
        <v>10.5</v>
      </c>
      <c r="G196" s="18"/>
      <c r="H196" s="18"/>
      <c r="I196" s="18"/>
      <c r="J196" s="17">
        <f t="shared" si="29"/>
        <v>10.5</v>
      </c>
      <c r="K196" s="19">
        <f t="shared" si="41"/>
        <v>157.91999999999999</v>
      </c>
      <c r="L196" s="19">
        <f t="shared" si="42"/>
        <v>0</v>
      </c>
      <c r="M196" s="19">
        <f t="shared" si="42"/>
        <v>0</v>
      </c>
      <c r="N196" s="19">
        <f t="shared" si="42"/>
        <v>0</v>
      </c>
      <c r="O196" s="19">
        <f t="shared" si="42"/>
        <v>157.91999999999999</v>
      </c>
    </row>
    <row r="197" spans="1:15" ht="19.899999999999999" customHeight="1" outlineLevel="1" x14ac:dyDescent="0.25">
      <c r="A197" s="25" t="s">
        <v>582</v>
      </c>
      <c r="B197" s="29" t="s">
        <v>367</v>
      </c>
      <c r="C197" s="14" t="s">
        <v>368</v>
      </c>
      <c r="D197" s="26" t="s">
        <v>32</v>
      </c>
      <c r="E197" s="19">
        <v>22.69</v>
      </c>
      <c r="F197" s="28">
        <v>664.61</v>
      </c>
      <c r="G197" s="28"/>
      <c r="H197" s="28"/>
      <c r="I197" s="28"/>
      <c r="J197" s="17">
        <f t="shared" si="29"/>
        <v>664.61</v>
      </c>
      <c r="K197" s="19">
        <f t="shared" si="41"/>
        <v>15080</v>
      </c>
      <c r="L197" s="19">
        <f t="shared" si="42"/>
        <v>0</v>
      </c>
      <c r="M197" s="19">
        <f t="shared" si="42"/>
        <v>0</v>
      </c>
      <c r="N197" s="19">
        <f t="shared" si="42"/>
        <v>0</v>
      </c>
      <c r="O197" s="19">
        <f t="shared" si="42"/>
        <v>15080</v>
      </c>
    </row>
    <row r="198" spans="1:15" ht="19.899999999999999" customHeight="1" outlineLevel="1" x14ac:dyDescent="0.25">
      <c r="A198" s="25" t="s">
        <v>583</v>
      </c>
      <c r="B198" s="13" t="s">
        <v>369</v>
      </c>
      <c r="C198" s="14" t="s">
        <v>370</v>
      </c>
      <c r="D198" s="15" t="s">
        <v>88</v>
      </c>
      <c r="E198" s="16">
        <v>53.32</v>
      </c>
      <c r="F198" s="18">
        <v>263</v>
      </c>
      <c r="G198" s="18"/>
      <c r="H198" s="18"/>
      <c r="I198" s="18"/>
      <c r="J198" s="17">
        <f t="shared" si="29"/>
        <v>263</v>
      </c>
      <c r="K198" s="19">
        <f t="shared" si="41"/>
        <v>14023.16</v>
      </c>
      <c r="L198" s="19">
        <f t="shared" si="42"/>
        <v>0</v>
      </c>
      <c r="M198" s="19">
        <f t="shared" si="42"/>
        <v>0</v>
      </c>
      <c r="N198" s="19">
        <f t="shared" si="42"/>
        <v>0</v>
      </c>
      <c r="O198" s="19">
        <f t="shared" si="42"/>
        <v>14023.16</v>
      </c>
    </row>
    <row r="199" spans="1:15" ht="19.899999999999999" customHeight="1" outlineLevel="1" x14ac:dyDescent="0.25">
      <c r="A199" s="25" t="s">
        <v>584</v>
      </c>
      <c r="B199" s="26" t="s">
        <v>371</v>
      </c>
      <c r="C199" s="14" t="s">
        <v>372</v>
      </c>
      <c r="D199" s="26" t="s">
        <v>88</v>
      </c>
      <c r="E199" s="19">
        <v>52.36</v>
      </c>
      <c r="F199" s="28">
        <v>247</v>
      </c>
      <c r="G199" s="28"/>
      <c r="H199" s="28"/>
      <c r="I199" s="28"/>
      <c r="J199" s="17">
        <f t="shared" si="29"/>
        <v>247</v>
      </c>
      <c r="K199" s="19">
        <f t="shared" si="41"/>
        <v>12932.92</v>
      </c>
      <c r="L199" s="19">
        <f t="shared" si="42"/>
        <v>0</v>
      </c>
      <c r="M199" s="19">
        <f t="shared" si="42"/>
        <v>0</v>
      </c>
      <c r="N199" s="19">
        <f t="shared" si="42"/>
        <v>0</v>
      </c>
      <c r="O199" s="19">
        <f t="shared" si="42"/>
        <v>12932.92</v>
      </c>
    </row>
    <row r="200" spans="1:15" ht="19.899999999999999" customHeight="1" outlineLevel="1" x14ac:dyDescent="0.25">
      <c r="A200" s="25" t="s">
        <v>585</v>
      </c>
      <c r="B200" s="13" t="s">
        <v>373</v>
      </c>
      <c r="C200" s="14" t="s">
        <v>374</v>
      </c>
      <c r="D200" s="15" t="s">
        <v>88</v>
      </c>
      <c r="E200" s="16">
        <v>17.989999999999998</v>
      </c>
      <c r="F200" s="18">
        <v>9650</v>
      </c>
      <c r="G200" s="18"/>
      <c r="H200" s="18"/>
      <c r="I200" s="18"/>
      <c r="J200" s="17">
        <f t="shared" si="29"/>
        <v>9650</v>
      </c>
      <c r="K200" s="19">
        <f t="shared" si="41"/>
        <v>173603.5</v>
      </c>
      <c r="L200" s="19">
        <f t="shared" si="42"/>
        <v>0</v>
      </c>
      <c r="M200" s="19">
        <f t="shared" si="42"/>
        <v>0</v>
      </c>
      <c r="N200" s="19">
        <f t="shared" si="42"/>
        <v>0</v>
      </c>
      <c r="O200" s="19">
        <f t="shared" si="42"/>
        <v>173603.5</v>
      </c>
    </row>
    <row r="201" spans="1:15" ht="19.899999999999999" customHeight="1" outlineLevel="1" x14ac:dyDescent="0.25">
      <c r="A201" s="25" t="s">
        <v>586</v>
      </c>
      <c r="B201" s="26" t="s">
        <v>375</v>
      </c>
      <c r="C201" s="14" t="s">
        <v>376</v>
      </c>
      <c r="D201" s="26" t="s">
        <v>88</v>
      </c>
      <c r="E201" s="19">
        <v>14.88</v>
      </c>
      <c r="F201" s="28">
        <v>1086</v>
      </c>
      <c r="G201" s="28"/>
      <c r="H201" s="28"/>
      <c r="I201" s="28"/>
      <c r="J201" s="17">
        <f t="shared" si="29"/>
        <v>1086</v>
      </c>
      <c r="K201" s="19">
        <f t="shared" si="41"/>
        <v>16159.68</v>
      </c>
      <c r="L201" s="19">
        <f t="shared" si="42"/>
        <v>0</v>
      </c>
      <c r="M201" s="19">
        <f t="shared" si="42"/>
        <v>0</v>
      </c>
      <c r="N201" s="19">
        <f t="shared" si="42"/>
        <v>0</v>
      </c>
      <c r="O201" s="19">
        <f t="shared" si="42"/>
        <v>16159.68</v>
      </c>
    </row>
    <row r="202" spans="1:15" s="11" customFormat="1" ht="19.899999999999999" customHeight="1" x14ac:dyDescent="0.25">
      <c r="A202" s="4" t="s">
        <v>414</v>
      </c>
      <c r="B202" s="7">
        <v>39</v>
      </c>
      <c r="C202" s="21" t="s">
        <v>377</v>
      </c>
      <c r="D202" s="22"/>
      <c r="E202" s="23"/>
      <c r="F202" s="24"/>
      <c r="G202" s="24"/>
      <c r="H202" s="24"/>
      <c r="I202" s="24"/>
      <c r="J202" s="6"/>
      <c r="K202" s="8">
        <f>SUM(K203:K213)</f>
        <v>1095962.67</v>
      </c>
      <c r="L202" s="8">
        <f t="shared" ref="L202:O202" si="43">SUM(L203:L213)</f>
        <v>0</v>
      </c>
      <c r="M202" s="8">
        <f t="shared" si="43"/>
        <v>0</v>
      </c>
      <c r="N202" s="8">
        <f t="shared" si="43"/>
        <v>0</v>
      </c>
      <c r="O202" s="8">
        <f t="shared" si="43"/>
        <v>1095962.67</v>
      </c>
    </row>
    <row r="203" spans="1:15" ht="19.899999999999999" customHeight="1" outlineLevel="1" x14ac:dyDescent="0.25">
      <c r="A203" s="25" t="s">
        <v>587</v>
      </c>
      <c r="B203" s="29" t="s">
        <v>378</v>
      </c>
      <c r="C203" s="14" t="s">
        <v>379</v>
      </c>
      <c r="D203" s="26" t="s">
        <v>83</v>
      </c>
      <c r="E203" s="19">
        <v>355.34</v>
      </c>
      <c r="F203" s="28">
        <v>2424</v>
      </c>
      <c r="G203" s="28"/>
      <c r="H203" s="28"/>
      <c r="I203" s="28"/>
      <c r="J203" s="17">
        <f t="shared" si="29"/>
        <v>2424</v>
      </c>
      <c r="K203" s="19">
        <f t="shared" ref="K203:K213" si="44">TRUNC(F203*$E203,2)</f>
        <v>861344.16</v>
      </c>
      <c r="L203" s="19">
        <f t="shared" ref="L203:O213" si="45">TRUNC(G203*$E203,2)</f>
        <v>0</v>
      </c>
      <c r="M203" s="19">
        <f t="shared" si="45"/>
        <v>0</v>
      </c>
      <c r="N203" s="19">
        <f t="shared" si="45"/>
        <v>0</v>
      </c>
      <c r="O203" s="19">
        <f t="shared" si="45"/>
        <v>861344.16</v>
      </c>
    </row>
    <row r="204" spans="1:15" ht="19.899999999999999" customHeight="1" outlineLevel="1" x14ac:dyDescent="0.25">
      <c r="A204" s="25" t="s">
        <v>588</v>
      </c>
      <c r="B204" s="13" t="s">
        <v>380</v>
      </c>
      <c r="C204" s="14" t="s">
        <v>381</v>
      </c>
      <c r="D204" s="15" t="s">
        <v>32</v>
      </c>
      <c r="E204" s="16">
        <v>493.51</v>
      </c>
      <c r="F204" s="18">
        <v>91.06</v>
      </c>
      <c r="G204" s="18"/>
      <c r="H204" s="18"/>
      <c r="I204" s="18"/>
      <c r="J204" s="17">
        <f t="shared" ref="J204:J213" si="46">SUM(F204:I204)</f>
        <v>91.06</v>
      </c>
      <c r="K204" s="19">
        <f t="shared" si="44"/>
        <v>44939.02</v>
      </c>
      <c r="L204" s="19">
        <f t="shared" si="45"/>
        <v>0</v>
      </c>
      <c r="M204" s="19">
        <f t="shared" si="45"/>
        <v>0</v>
      </c>
      <c r="N204" s="19">
        <f t="shared" si="45"/>
        <v>0</v>
      </c>
      <c r="O204" s="19">
        <f t="shared" si="45"/>
        <v>44939.02</v>
      </c>
    </row>
    <row r="205" spans="1:15" ht="19.899999999999999" customHeight="1" outlineLevel="1" x14ac:dyDescent="0.25">
      <c r="A205" s="25" t="s">
        <v>589</v>
      </c>
      <c r="B205" s="26" t="s">
        <v>382</v>
      </c>
      <c r="C205" s="14" t="s">
        <v>383</v>
      </c>
      <c r="D205" s="26" t="s">
        <v>32</v>
      </c>
      <c r="E205" s="19">
        <v>458.04</v>
      </c>
      <c r="F205" s="28">
        <v>33.950000000000003</v>
      </c>
      <c r="G205" s="28"/>
      <c r="H205" s="28"/>
      <c r="I205" s="28"/>
      <c r="J205" s="17">
        <f t="shared" si="46"/>
        <v>33.950000000000003</v>
      </c>
      <c r="K205" s="19">
        <f t="shared" si="44"/>
        <v>15550.45</v>
      </c>
      <c r="L205" s="19">
        <f t="shared" si="45"/>
        <v>0</v>
      </c>
      <c r="M205" s="19">
        <f t="shared" si="45"/>
        <v>0</v>
      </c>
      <c r="N205" s="19">
        <f t="shared" si="45"/>
        <v>0</v>
      </c>
      <c r="O205" s="19">
        <f t="shared" si="45"/>
        <v>15550.45</v>
      </c>
    </row>
    <row r="206" spans="1:15" ht="19.899999999999999" customHeight="1" outlineLevel="1" x14ac:dyDescent="0.25">
      <c r="A206" s="25" t="s">
        <v>590</v>
      </c>
      <c r="B206" s="13" t="s">
        <v>384</v>
      </c>
      <c r="C206" s="14" t="s">
        <v>385</v>
      </c>
      <c r="D206" s="15" t="s">
        <v>32</v>
      </c>
      <c r="E206" s="16">
        <v>433.47</v>
      </c>
      <c r="F206" s="18">
        <v>7.36</v>
      </c>
      <c r="G206" s="18"/>
      <c r="H206" s="18"/>
      <c r="I206" s="18"/>
      <c r="J206" s="17">
        <f t="shared" si="46"/>
        <v>7.36</v>
      </c>
      <c r="K206" s="19">
        <f t="shared" si="44"/>
        <v>3190.33</v>
      </c>
      <c r="L206" s="19">
        <f t="shared" si="45"/>
        <v>0</v>
      </c>
      <c r="M206" s="19">
        <f t="shared" si="45"/>
        <v>0</v>
      </c>
      <c r="N206" s="19">
        <f t="shared" si="45"/>
        <v>0</v>
      </c>
      <c r="O206" s="19">
        <f t="shared" si="45"/>
        <v>3190.33</v>
      </c>
    </row>
    <row r="207" spans="1:15" ht="19.899999999999999" customHeight="1" outlineLevel="1" x14ac:dyDescent="0.25">
      <c r="A207" s="25" t="s">
        <v>591</v>
      </c>
      <c r="B207" s="26" t="s">
        <v>386</v>
      </c>
      <c r="C207" s="14" t="s">
        <v>387</v>
      </c>
      <c r="D207" s="26" t="s">
        <v>32</v>
      </c>
      <c r="E207" s="19">
        <v>475.05</v>
      </c>
      <c r="F207" s="28">
        <v>54</v>
      </c>
      <c r="G207" s="28"/>
      <c r="H207" s="28"/>
      <c r="I207" s="28"/>
      <c r="J207" s="17">
        <f t="shared" si="46"/>
        <v>54</v>
      </c>
      <c r="K207" s="19">
        <f t="shared" si="44"/>
        <v>25652.7</v>
      </c>
      <c r="L207" s="19">
        <f t="shared" si="45"/>
        <v>0</v>
      </c>
      <c r="M207" s="19">
        <f t="shared" si="45"/>
        <v>0</v>
      </c>
      <c r="N207" s="19">
        <f t="shared" si="45"/>
        <v>0</v>
      </c>
      <c r="O207" s="19">
        <f t="shared" si="45"/>
        <v>25652.7</v>
      </c>
    </row>
    <row r="208" spans="1:15" ht="19.899999999999999" customHeight="1" outlineLevel="1" x14ac:dyDescent="0.25">
      <c r="A208" s="25" t="s">
        <v>592</v>
      </c>
      <c r="B208" s="13" t="s">
        <v>388</v>
      </c>
      <c r="C208" s="14" t="s">
        <v>389</v>
      </c>
      <c r="D208" s="31" t="s">
        <v>32</v>
      </c>
      <c r="E208" s="32">
        <v>505.23</v>
      </c>
      <c r="F208" s="33">
        <v>244.44</v>
      </c>
      <c r="G208" s="33"/>
      <c r="H208" s="33"/>
      <c r="I208" s="33"/>
      <c r="J208" s="17">
        <f t="shared" si="46"/>
        <v>244.44</v>
      </c>
      <c r="K208" s="19">
        <f t="shared" si="44"/>
        <v>123498.42</v>
      </c>
      <c r="L208" s="19">
        <f t="shared" si="45"/>
        <v>0</v>
      </c>
      <c r="M208" s="19">
        <f t="shared" si="45"/>
        <v>0</v>
      </c>
      <c r="N208" s="19">
        <f t="shared" si="45"/>
        <v>0</v>
      </c>
      <c r="O208" s="19">
        <f t="shared" si="45"/>
        <v>123498.42</v>
      </c>
    </row>
    <row r="209" spans="1:15" ht="19.899999999999999" customHeight="1" outlineLevel="1" x14ac:dyDescent="0.25">
      <c r="A209" s="25" t="s">
        <v>593</v>
      </c>
      <c r="B209" s="13" t="s">
        <v>390</v>
      </c>
      <c r="C209" s="14" t="s">
        <v>391</v>
      </c>
      <c r="D209" s="15" t="s">
        <v>32</v>
      </c>
      <c r="E209" s="16">
        <v>508.37</v>
      </c>
      <c r="F209" s="18">
        <v>4.2</v>
      </c>
      <c r="G209" s="18"/>
      <c r="H209" s="18"/>
      <c r="I209" s="18"/>
      <c r="J209" s="17">
        <f t="shared" si="46"/>
        <v>4.2</v>
      </c>
      <c r="K209" s="19">
        <f t="shared" si="44"/>
        <v>2135.15</v>
      </c>
      <c r="L209" s="19">
        <f t="shared" si="45"/>
        <v>0</v>
      </c>
      <c r="M209" s="19">
        <f t="shared" si="45"/>
        <v>0</v>
      </c>
      <c r="N209" s="19">
        <f t="shared" si="45"/>
        <v>0</v>
      </c>
      <c r="O209" s="19">
        <f t="shared" si="45"/>
        <v>2135.15</v>
      </c>
    </row>
    <row r="210" spans="1:15" ht="19.899999999999999" customHeight="1" outlineLevel="1" x14ac:dyDescent="0.25">
      <c r="A210" s="25" t="s">
        <v>594</v>
      </c>
      <c r="B210" s="29" t="s">
        <v>392</v>
      </c>
      <c r="C210" s="14" t="s">
        <v>393</v>
      </c>
      <c r="D210" s="26" t="s">
        <v>32</v>
      </c>
      <c r="E210" s="19">
        <v>202</v>
      </c>
      <c r="F210" s="28">
        <v>6</v>
      </c>
      <c r="G210" s="28"/>
      <c r="H210" s="28"/>
      <c r="I210" s="28"/>
      <c r="J210" s="17">
        <f t="shared" si="46"/>
        <v>6</v>
      </c>
      <c r="K210" s="19">
        <f t="shared" si="44"/>
        <v>1212</v>
      </c>
      <c r="L210" s="19">
        <f t="shared" si="45"/>
        <v>0</v>
      </c>
      <c r="M210" s="19">
        <f t="shared" si="45"/>
        <v>0</v>
      </c>
      <c r="N210" s="19">
        <f t="shared" si="45"/>
        <v>0</v>
      </c>
      <c r="O210" s="19">
        <f t="shared" si="45"/>
        <v>1212</v>
      </c>
    </row>
    <row r="211" spans="1:15" ht="19.899999999999999" customHeight="1" outlineLevel="1" x14ac:dyDescent="0.25">
      <c r="A211" s="25" t="s">
        <v>595</v>
      </c>
      <c r="B211" s="13" t="s">
        <v>394</v>
      </c>
      <c r="C211" s="14" t="s">
        <v>395</v>
      </c>
      <c r="D211" s="15" t="s">
        <v>32</v>
      </c>
      <c r="E211" s="16">
        <v>202</v>
      </c>
      <c r="F211" s="18">
        <v>9.99</v>
      </c>
      <c r="G211" s="18"/>
      <c r="H211" s="18"/>
      <c r="I211" s="18"/>
      <c r="J211" s="17">
        <f t="shared" si="46"/>
        <v>9.99</v>
      </c>
      <c r="K211" s="19">
        <f t="shared" si="44"/>
        <v>2017.98</v>
      </c>
      <c r="L211" s="19">
        <f t="shared" si="45"/>
        <v>0</v>
      </c>
      <c r="M211" s="19">
        <f t="shared" si="45"/>
        <v>0</v>
      </c>
      <c r="N211" s="19">
        <f t="shared" si="45"/>
        <v>0</v>
      </c>
      <c r="O211" s="19">
        <f t="shared" si="45"/>
        <v>2017.98</v>
      </c>
    </row>
    <row r="212" spans="1:15" ht="19.899999999999999" customHeight="1" outlineLevel="1" x14ac:dyDescent="0.25">
      <c r="A212" s="25" t="s">
        <v>596</v>
      </c>
      <c r="B212" s="26" t="s">
        <v>396</v>
      </c>
      <c r="C212" s="14" t="s">
        <v>397</v>
      </c>
      <c r="D212" s="26" t="s">
        <v>32</v>
      </c>
      <c r="E212" s="19">
        <v>508.47</v>
      </c>
      <c r="F212" s="28">
        <v>21.56</v>
      </c>
      <c r="G212" s="28"/>
      <c r="H212" s="28"/>
      <c r="I212" s="28"/>
      <c r="J212" s="17">
        <f t="shared" si="46"/>
        <v>21.56</v>
      </c>
      <c r="K212" s="19">
        <f t="shared" si="44"/>
        <v>10962.61</v>
      </c>
      <c r="L212" s="19">
        <f t="shared" si="45"/>
        <v>0</v>
      </c>
      <c r="M212" s="19">
        <f t="shared" si="45"/>
        <v>0</v>
      </c>
      <c r="N212" s="19">
        <f t="shared" si="45"/>
        <v>0</v>
      </c>
      <c r="O212" s="19">
        <f t="shared" si="45"/>
        <v>10962.61</v>
      </c>
    </row>
    <row r="213" spans="1:15" ht="19.899999999999999" customHeight="1" outlineLevel="1" x14ac:dyDescent="0.25">
      <c r="A213" s="25" t="s">
        <v>597</v>
      </c>
      <c r="B213" s="13" t="s">
        <v>398</v>
      </c>
      <c r="C213" s="14" t="s">
        <v>399</v>
      </c>
      <c r="D213" s="15" t="s">
        <v>88</v>
      </c>
      <c r="E213" s="16">
        <v>121.33</v>
      </c>
      <c r="F213" s="18">
        <v>45</v>
      </c>
      <c r="G213" s="18"/>
      <c r="H213" s="18"/>
      <c r="I213" s="18"/>
      <c r="J213" s="17">
        <f t="shared" si="46"/>
        <v>45</v>
      </c>
      <c r="K213" s="19">
        <f t="shared" si="44"/>
        <v>5459.85</v>
      </c>
      <c r="L213" s="19">
        <f t="shared" si="45"/>
        <v>0</v>
      </c>
      <c r="M213" s="19">
        <f t="shared" si="45"/>
        <v>0</v>
      </c>
      <c r="N213" s="19">
        <f t="shared" si="45"/>
        <v>0</v>
      </c>
      <c r="O213" s="19">
        <f t="shared" si="45"/>
        <v>5459.85</v>
      </c>
    </row>
    <row r="214" spans="1:15" s="11" customFormat="1" ht="19.899999999999999" customHeight="1" x14ac:dyDescent="0.25">
      <c r="A214" s="4" t="s">
        <v>598</v>
      </c>
      <c r="B214" s="7"/>
      <c r="C214" s="21" t="s">
        <v>651</v>
      </c>
      <c r="D214" s="22"/>
      <c r="E214" s="23"/>
      <c r="F214" s="24"/>
      <c r="G214" s="24"/>
      <c r="H214" s="24"/>
      <c r="I214" s="24"/>
      <c r="J214" s="6"/>
      <c r="K214" s="8">
        <f>SUM(K215:K218)</f>
        <v>0</v>
      </c>
      <c r="L214" s="8">
        <f t="shared" ref="L214:O214" si="47">SUM(L215:L218)</f>
        <v>0</v>
      </c>
      <c r="M214" s="8">
        <f t="shared" si="47"/>
        <v>0</v>
      </c>
      <c r="N214" s="8">
        <f t="shared" si="47"/>
        <v>0</v>
      </c>
      <c r="O214" s="8">
        <f t="shared" si="47"/>
        <v>0</v>
      </c>
    </row>
    <row r="215" spans="1:15" ht="19.899999999999999" customHeight="1" outlineLevel="1" x14ac:dyDescent="0.25">
      <c r="A215" s="25" t="s">
        <v>599</v>
      </c>
      <c r="B215" s="49" t="s">
        <v>603</v>
      </c>
      <c r="C215" s="14" t="s">
        <v>607</v>
      </c>
      <c r="D215" s="26" t="s">
        <v>611</v>
      </c>
      <c r="E215" s="19">
        <v>1</v>
      </c>
      <c r="F215" s="28"/>
      <c r="G215" s="28"/>
      <c r="H215" s="28"/>
      <c r="I215" s="28"/>
      <c r="J215" s="17">
        <f t="shared" ref="J215:J218" si="48">SUM(F215:I215)</f>
        <v>0</v>
      </c>
      <c r="K215" s="19">
        <f>TRUNC(F215*$E215,2)</f>
        <v>0</v>
      </c>
      <c r="L215" s="19">
        <f t="shared" ref="L215:O218" si="49">TRUNC(G215*$E215,2)</f>
        <v>0</v>
      </c>
      <c r="M215" s="19">
        <f t="shared" si="49"/>
        <v>0</v>
      </c>
      <c r="N215" s="19">
        <f t="shared" si="49"/>
        <v>0</v>
      </c>
      <c r="O215" s="19">
        <f t="shared" si="49"/>
        <v>0</v>
      </c>
    </row>
    <row r="216" spans="1:15" ht="19.899999999999999" customHeight="1" outlineLevel="1" x14ac:dyDescent="0.25">
      <c r="A216" s="25" t="s">
        <v>600</v>
      </c>
      <c r="B216" s="50" t="s">
        <v>604</v>
      </c>
      <c r="C216" s="14" t="s">
        <v>608</v>
      </c>
      <c r="D216" s="15" t="s">
        <v>611</v>
      </c>
      <c r="E216" s="16">
        <v>1</v>
      </c>
      <c r="F216" s="18"/>
      <c r="G216" s="18"/>
      <c r="H216" s="18"/>
      <c r="I216" s="18"/>
      <c r="J216" s="17">
        <f t="shared" si="48"/>
        <v>0</v>
      </c>
      <c r="K216" s="19">
        <f>TRUNC(F216*$E216,2)</f>
        <v>0</v>
      </c>
      <c r="L216" s="19">
        <f t="shared" si="49"/>
        <v>0</v>
      </c>
      <c r="M216" s="19">
        <f t="shared" si="49"/>
        <v>0</v>
      </c>
      <c r="N216" s="19">
        <f t="shared" si="49"/>
        <v>0</v>
      </c>
      <c r="O216" s="19">
        <f t="shared" si="49"/>
        <v>0</v>
      </c>
    </row>
    <row r="217" spans="1:15" ht="19.899999999999999" customHeight="1" outlineLevel="1" x14ac:dyDescent="0.25">
      <c r="A217" s="25" t="s">
        <v>601</v>
      </c>
      <c r="B217" s="51" t="s">
        <v>605</v>
      </c>
      <c r="C217" s="14" t="s">
        <v>609</v>
      </c>
      <c r="D217" s="26" t="s">
        <v>612</v>
      </c>
      <c r="E217" s="19">
        <v>1</v>
      </c>
      <c r="F217" s="28"/>
      <c r="G217" s="28"/>
      <c r="H217" s="28"/>
      <c r="I217" s="28"/>
      <c r="J217" s="17">
        <f t="shared" si="48"/>
        <v>0</v>
      </c>
      <c r="K217" s="19">
        <f>TRUNC(F217*$E217,2)</f>
        <v>0</v>
      </c>
      <c r="L217" s="19">
        <f t="shared" si="49"/>
        <v>0</v>
      </c>
      <c r="M217" s="19">
        <f t="shared" si="49"/>
        <v>0</v>
      </c>
      <c r="N217" s="19">
        <f t="shared" si="49"/>
        <v>0</v>
      </c>
      <c r="O217" s="19">
        <f t="shared" si="49"/>
        <v>0</v>
      </c>
    </row>
    <row r="218" spans="1:15" ht="19.899999999999999" customHeight="1" outlineLevel="1" x14ac:dyDescent="0.25">
      <c r="A218" s="25" t="s">
        <v>602</v>
      </c>
      <c r="B218" s="50" t="s">
        <v>606</v>
      </c>
      <c r="C218" s="14" t="s">
        <v>610</v>
      </c>
      <c r="D218" s="15" t="s">
        <v>611</v>
      </c>
      <c r="E218" s="16">
        <v>1</v>
      </c>
      <c r="F218" s="18"/>
      <c r="G218" s="18"/>
      <c r="H218" s="18"/>
      <c r="I218" s="18"/>
      <c r="J218" s="17">
        <f t="shared" si="48"/>
        <v>0</v>
      </c>
      <c r="K218" s="19">
        <f>TRUNC(F218*$E218,2)</f>
        <v>0</v>
      </c>
      <c r="L218" s="19">
        <f t="shared" si="49"/>
        <v>0</v>
      </c>
      <c r="M218" s="19">
        <f t="shared" si="49"/>
        <v>0</v>
      </c>
      <c r="N218" s="19">
        <f t="shared" si="49"/>
        <v>0</v>
      </c>
      <c r="O218" s="19">
        <f t="shared" si="49"/>
        <v>0</v>
      </c>
    </row>
    <row r="219" spans="1:15" ht="19.899999999999999" customHeight="1" x14ac:dyDescent="0.25">
      <c r="A219" s="37"/>
      <c r="B219" s="38"/>
      <c r="C219" s="39"/>
      <c r="D219" s="40"/>
      <c r="E219" s="41"/>
      <c r="F219" s="40"/>
      <c r="G219" s="41"/>
      <c r="H219" s="41"/>
      <c r="I219" s="41"/>
      <c r="J219" s="41"/>
      <c r="K219" s="42"/>
      <c r="L219" s="42"/>
      <c r="M219" s="42"/>
      <c r="N219" s="42"/>
      <c r="O219" s="43"/>
    </row>
    <row r="220" spans="1:15" s="11" customFormat="1" ht="19.899999999999999" customHeight="1" x14ac:dyDescent="0.25">
      <c r="A220" s="56" t="s">
        <v>400</v>
      </c>
      <c r="B220" s="57"/>
      <c r="C220" s="57"/>
      <c r="D220" s="57"/>
      <c r="E220" s="57"/>
      <c r="F220" s="57"/>
      <c r="G220" s="57"/>
      <c r="H220" s="57"/>
      <c r="I220" s="57"/>
      <c r="J220" s="58"/>
      <c r="K220" s="8">
        <f>SUM(K5:K218)/2</f>
        <v>71809455.780000016</v>
      </c>
      <c r="L220" s="8">
        <f t="shared" ref="L220:M220" si="50">SUM(L5:L218)/2</f>
        <v>6478289.0500000017</v>
      </c>
      <c r="M220" s="8">
        <f t="shared" si="50"/>
        <v>-673735.34999999986</v>
      </c>
      <c r="N220" s="8">
        <f>SUM(N5:N218)/2</f>
        <v>3819261.2200000007</v>
      </c>
      <c r="O220" s="8">
        <f>SUM(O5:O218)/2</f>
        <v>81433270.700000033</v>
      </c>
    </row>
  </sheetData>
  <autoFilter ref="A4:O218" xr:uid="{0CAFA36E-77BE-48B8-B223-6FCB4BED23FE}"/>
  <mergeCells count="11">
    <mergeCell ref="F3:F4"/>
    <mergeCell ref="K3:K4"/>
    <mergeCell ref="A220:J220"/>
    <mergeCell ref="A1:O1"/>
    <mergeCell ref="A2:A4"/>
    <mergeCell ref="B2:B4"/>
    <mergeCell ref="C2:C4"/>
    <mergeCell ref="D2:D4"/>
    <mergeCell ref="E2:E4"/>
    <mergeCell ref="F2:J2"/>
    <mergeCell ref="K2:O2"/>
  </mergeCells>
  <phoneticPr fontId="4" type="noConversion"/>
  <hyperlinks>
    <hyperlink ref="B215" location="'13.1'!A1" display="RO-43917" xr:uid="{FDEBA641-BB8E-4CC5-B1B7-F135E8C33C42}"/>
    <hyperlink ref="B216" location="'13.2'!A1" display="RO-43918" xr:uid="{354C3250-5DED-4172-9737-CEB6AAC97077}"/>
    <hyperlink ref="B217" location="'13.3'!A1" display="RO-29079" xr:uid="{84D4B060-65A3-4FC5-AB02-6A78DF6E8A8D}"/>
    <hyperlink ref="B218" location="'13.4'!A1" display="RO-43916" xr:uid="{D4D37187-5A0E-43B7-A19D-2CE0D548976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Lima</dc:creator>
  <cp:lastModifiedBy>Paulo Sergio Santos Lima</cp:lastModifiedBy>
  <cp:lastPrinted>2024-11-19T11:08:54Z</cp:lastPrinted>
  <dcterms:created xsi:type="dcterms:W3CDTF">2024-07-19T11:42:13Z</dcterms:created>
  <dcterms:modified xsi:type="dcterms:W3CDTF">2025-12-16T22:19:17Z</dcterms:modified>
</cp:coreProperties>
</file>